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vlinet.local\Localidades_02\TIPLAM\dados\3_Manutencao\9_EXECUÇÃO\Leandro Manut\12 - Lubrificação\1 - Lista Técnica\"/>
    </mc:Choice>
  </mc:AlternateContent>
  <xr:revisionPtr revIDLastSave="0" documentId="13_ncr:1_{DB471730-F88D-4796-9DDA-E2FEC23CBF11}" xr6:coauthVersionLast="47" xr6:coauthVersionMax="47" xr10:uidLastSave="{00000000-0000-0000-0000-000000000000}"/>
  <bookViews>
    <workbookView xWindow="-120" yWindow="-120" windowWidth="29040" windowHeight="15720" xr2:uid="{FB1C2BD0-5BA6-4A8F-A2D1-502907FE5444}"/>
  </bookViews>
  <sheets>
    <sheet name="Lista Técnica" sheetId="1" r:id="rId1"/>
    <sheet name="ALIMENTICIO" sheetId="8" r:id="rId2"/>
    <sheet name="Planilha1" sheetId="7" r:id="rId3"/>
    <sheet name="Lista Técnica 2" sheetId="4" r:id="rId4"/>
    <sheet name="Planilha2" sheetId="6" r:id="rId5"/>
    <sheet name="Pendencias" sheetId="2" r:id="rId6"/>
    <sheet name="RG" sheetId="17" r:id="rId7"/>
    <sheet name="IMPRIMIR" sheetId="19" r:id="rId8"/>
    <sheet name="Planilha7" sheetId="14" r:id="rId9"/>
    <sheet name="TAG PONTO DE COLETA" sheetId="18" r:id="rId10"/>
  </sheets>
  <definedNames>
    <definedName name="_xlnm._FilterDatabase" localSheetId="1" hidden="1">ALIMENTICIO!$A$1:$AL$19</definedName>
    <definedName name="_xlnm._FilterDatabase" localSheetId="0" hidden="1">'Lista Técnica'!$A$3:$AL$262</definedName>
    <definedName name="_xlnm._FilterDatabase" localSheetId="3" hidden="1">'Lista Técnica 2'!$A$3:$J$219</definedName>
    <definedName name="_xlnm.Print_Area" localSheetId="0">'Lista Técnica'!$A$1:$AL$59</definedName>
    <definedName name="_xlnm.Print_Area" localSheetId="6">RG!$A:$AN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225" i="1" l="1"/>
  <c r="V14" i="1"/>
  <c r="V5" i="1"/>
  <c r="V6" i="1"/>
  <c r="V7" i="1"/>
  <c r="V8" i="1"/>
  <c r="V9" i="1"/>
  <c r="V10" i="1"/>
  <c r="V11" i="1"/>
  <c r="V16" i="1"/>
  <c r="V21" i="1"/>
  <c r="V26" i="1"/>
  <c r="V31" i="1"/>
  <c r="V41" i="1"/>
  <c r="V42" i="1"/>
  <c r="V48" i="1"/>
  <c r="V49" i="1"/>
  <c r="V50" i="1"/>
  <c r="V51" i="1"/>
  <c r="V52" i="1"/>
  <c r="V53" i="1"/>
  <c r="V54" i="1"/>
  <c r="V55" i="1"/>
  <c r="V56" i="1"/>
  <c r="V57" i="1"/>
  <c r="V64" i="1"/>
  <c r="V65" i="1"/>
  <c r="V66" i="1"/>
  <c r="V67" i="1"/>
  <c r="V68" i="1"/>
  <c r="V69" i="1"/>
  <c r="V202" i="1"/>
  <c r="V203" i="1"/>
  <c r="V204" i="1"/>
  <c r="V205" i="1"/>
  <c r="V211" i="1"/>
  <c r="V212" i="1"/>
  <c r="V4" i="1"/>
  <c r="L190" i="1"/>
  <c r="L191" i="1"/>
  <c r="L262" i="1"/>
  <c r="L261" i="1"/>
  <c r="L258" i="1"/>
  <c r="L257" i="1"/>
  <c r="L256" i="1"/>
  <c r="L260" i="1"/>
  <c r="L259" i="1"/>
  <c r="L157" i="1"/>
  <c r="L114" i="1"/>
  <c r="L205" i="1"/>
  <c r="L202" i="1"/>
  <c r="L197" i="1"/>
  <c r="L196" i="1"/>
  <c r="L188" i="1"/>
  <c r="L187" i="1"/>
  <c r="L186" i="1"/>
  <c r="L185" i="1"/>
  <c r="L113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4" i="1"/>
  <c r="L203" i="1"/>
  <c r="L201" i="1"/>
  <c r="L200" i="1"/>
  <c r="L199" i="1"/>
  <c r="L198" i="1"/>
  <c r="L195" i="1"/>
  <c r="L194" i="1"/>
  <c r="L193" i="1"/>
  <c r="L192" i="1"/>
  <c r="L189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0" i="1"/>
  <c r="L56" i="1"/>
  <c r="L47" i="1"/>
  <c r="L46" i="1"/>
  <c r="L45" i="1"/>
  <c r="L44" i="1"/>
  <c r="L39" i="1"/>
  <c r="L36" i="1"/>
  <c r="L37" i="1"/>
  <c r="L38" i="1"/>
  <c r="C2" i="18" l="1"/>
  <c r="C3" i="18" s="1"/>
  <c r="C4" i="18" s="1"/>
  <c r="C5" i="18" s="1"/>
  <c r="C6" i="18" s="1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C34" i="18" s="1"/>
  <c r="C35" i="18" s="1"/>
  <c r="C36" i="18" s="1"/>
  <c r="C37" i="18" s="1"/>
  <c r="C38" i="18" s="1"/>
  <c r="C39" i="18" s="1"/>
  <c r="C40" i="18" s="1"/>
  <c r="G1" i="18" s="1"/>
  <c r="G2" i="18" s="1"/>
  <c r="G3" i="18" s="1"/>
  <c r="G4" i="18" s="1"/>
  <c r="G5" i="18" s="1"/>
  <c r="G6" i="18" s="1"/>
  <c r="G7" i="18" s="1"/>
  <c r="G8" i="18" s="1"/>
  <c r="G9" i="18" s="1"/>
  <c r="G10" i="18" s="1"/>
  <c r="G11" i="18" s="1"/>
  <c r="G12" i="18" s="1"/>
  <c r="G13" i="18" s="1"/>
  <c r="G14" i="18" s="1"/>
  <c r="G15" i="18" s="1"/>
  <c r="G16" i="18" s="1"/>
  <c r="G17" i="18" s="1"/>
  <c r="G18" i="18" s="1"/>
  <c r="G19" i="18" s="1"/>
  <c r="G20" i="18" s="1"/>
  <c r="G21" i="18" s="1"/>
  <c r="G22" i="18" s="1"/>
  <c r="G23" i="18" s="1"/>
  <c r="G24" i="18" s="1"/>
  <c r="G25" i="18" s="1"/>
  <c r="G26" i="18" s="1"/>
  <c r="G27" i="18" s="1"/>
  <c r="G28" i="18" s="1"/>
  <c r="G29" i="18" s="1"/>
  <c r="G30" i="18" s="1"/>
  <c r="G31" i="18" s="1"/>
  <c r="G32" i="18" s="1"/>
  <c r="G33" i="18" s="1"/>
  <c r="G34" i="18" s="1"/>
  <c r="G35" i="18" s="1"/>
  <c r="G36" i="18" s="1"/>
  <c r="G37" i="18" s="1"/>
  <c r="G38" i="18" s="1"/>
  <c r="G39" i="18" s="1"/>
  <c r="G40" i="18" s="1"/>
  <c r="K1" i="18" s="1"/>
  <c r="K2" i="18" s="1"/>
  <c r="K3" i="18" s="1"/>
  <c r="K4" i="18" s="1"/>
  <c r="K5" i="18" s="1"/>
  <c r="K6" i="18" s="1"/>
  <c r="K7" i="18" s="1"/>
  <c r="K8" i="18" s="1"/>
  <c r="K9" i="18" s="1"/>
  <c r="K10" i="18" s="1"/>
  <c r="K11" i="18" s="1"/>
  <c r="K12" i="18" s="1"/>
  <c r="K13" i="18" s="1"/>
  <c r="K14" i="18" s="1"/>
  <c r="K15" i="18" s="1"/>
  <c r="K16" i="18" s="1"/>
  <c r="K17" i="18" s="1"/>
  <c r="K18" i="18" s="1"/>
  <c r="K19" i="18" s="1"/>
  <c r="K20" i="18" s="1"/>
  <c r="K21" i="18" s="1"/>
  <c r="K22" i="18" s="1"/>
  <c r="K23" i="18" s="1"/>
  <c r="K24" i="18" s="1"/>
  <c r="K25" i="18" s="1"/>
  <c r="K26" i="18" s="1"/>
  <c r="K27" i="18" s="1"/>
  <c r="K28" i="18" s="1"/>
  <c r="K29" i="18" s="1"/>
  <c r="K30" i="18" s="1"/>
  <c r="K31" i="18" s="1"/>
  <c r="K32" i="18" s="1"/>
  <c r="K33" i="18" s="1"/>
  <c r="K34" i="18" s="1"/>
  <c r="K35" i="18" s="1"/>
  <c r="K36" i="18" s="1"/>
  <c r="K37" i="18" s="1"/>
  <c r="K38" i="18" s="1"/>
  <c r="K39" i="18" s="1"/>
  <c r="K40" i="18" s="1"/>
  <c r="O1" i="18" s="1"/>
  <c r="O2" i="18" s="1"/>
  <c r="O3" i="18" s="1"/>
  <c r="O4" i="18" s="1"/>
  <c r="O5" i="18" s="1"/>
  <c r="O6" i="18" s="1"/>
  <c r="O7" i="18" s="1"/>
  <c r="O8" i="18" s="1"/>
  <c r="O9" i="18" s="1"/>
  <c r="O10" i="18" s="1"/>
  <c r="O11" i="18" s="1"/>
  <c r="O12" i="18" s="1"/>
  <c r="O13" i="18" s="1"/>
  <c r="O14" i="18" s="1"/>
  <c r="O15" i="18" s="1"/>
  <c r="O16" i="18" s="1"/>
  <c r="O17" i="18" s="1"/>
  <c r="O18" i="18" s="1"/>
  <c r="O19" i="18" s="1"/>
  <c r="O20" i="18" s="1"/>
  <c r="O21" i="18" s="1"/>
  <c r="O22" i="18" s="1"/>
  <c r="O23" i="18" s="1"/>
  <c r="O24" i="18" s="1"/>
  <c r="O25" i="18" s="1"/>
  <c r="O26" i="18" s="1"/>
  <c r="O27" i="18" s="1"/>
  <c r="O28" i="18" s="1"/>
  <c r="O29" i="18" s="1"/>
  <c r="O30" i="18" s="1"/>
  <c r="O31" i="18" s="1"/>
  <c r="O32" i="18" s="1"/>
  <c r="O33" i="18" s="1"/>
  <c r="O34" i="18" s="1"/>
  <c r="O35" i="18" s="1"/>
  <c r="O36" i="18" s="1"/>
  <c r="O37" i="18" s="1"/>
  <c r="O38" i="18" s="1"/>
  <c r="O39" i="18" s="1"/>
  <c r="O40" i="18" s="1"/>
  <c r="H12" i="14"/>
  <c r="C7" i="14"/>
  <c r="B7" i="14"/>
  <c r="D27" i="8"/>
  <c r="D24" i="8"/>
  <c r="AI19" i="8"/>
  <c r="Y19" i="8"/>
  <c r="AI18" i="8"/>
  <c r="Y18" i="8"/>
  <c r="B3" i="7"/>
  <c r="AA219" i="1" l="1"/>
  <c r="AA220" i="1"/>
  <c r="AA221" i="1"/>
  <c r="AA218" i="1"/>
  <c r="AA210" i="1"/>
  <c r="AA225" i="1"/>
  <c r="AA226" i="1"/>
  <c r="AA227" i="1"/>
  <c r="AA228" i="1"/>
  <c r="AA229" i="1"/>
  <c r="AA230" i="1"/>
  <c r="AA231" i="1"/>
  <c r="AK225" i="1"/>
  <c r="AK226" i="1"/>
  <c r="AK227" i="1"/>
  <c r="AK228" i="1"/>
  <c r="AK229" i="1"/>
  <c r="AK230" i="1"/>
  <c r="AK231" i="1"/>
  <c r="AA224" i="1"/>
  <c r="AA223" i="1"/>
  <c r="AA222" i="1"/>
  <c r="AA217" i="1"/>
  <c r="AA216" i="1" l="1"/>
  <c r="AA215" i="1"/>
  <c r="AA214" i="1"/>
  <c r="AA213" i="1"/>
  <c r="AA212" i="1"/>
  <c r="AA206" i="1"/>
  <c r="AA207" i="1"/>
  <c r="AA208" i="1"/>
  <c r="AA209" i="1"/>
  <c r="AA211" i="1"/>
  <c r="AA205" i="1"/>
  <c r="AA204" i="1"/>
  <c r="AA203" i="1"/>
  <c r="AA201" i="1"/>
  <c r="AA200" i="1"/>
  <c r="AA199" i="1"/>
  <c r="AA198" i="1"/>
  <c r="AA202" i="1"/>
  <c r="AK212" i="1"/>
  <c r="AK211" i="1"/>
  <c r="AK205" i="1"/>
  <c r="AK204" i="1"/>
  <c r="AK203" i="1"/>
  <c r="AK202" i="1"/>
  <c r="AK14" i="1"/>
  <c r="AK186" i="1"/>
  <c r="AK187" i="1"/>
  <c r="AK188" i="1"/>
  <c r="AK185" i="1"/>
  <c r="AK197" i="1"/>
  <c r="AK196" i="1"/>
  <c r="AK156" i="1"/>
  <c r="AA197" i="1"/>
  <c r="AA196" i="1"/>
  <c r="AK107" i="1"/>
  <c r="AK113" i="1"/>
  <c r="AK106" i="1"/>
  <c r="AA107" i="1"/>
  <c r="AA106" i="1"/>
  <c r="AA195" i="1"/>
  <c r="AA194" i="1"/>
  <c r="AA193" i="1"/>
  <c r="AA192" i="1"/>
  <c r="AA40" i="1"/>
  <c r="AA187" i="1"/>
  <c r="AA186" i="1"/>
  <c r="AA5" i="1" l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109" i="1"/>
  <c r="AA110" i="1"/>
  <c r="AA111" i="1"/>
  <c r="AA112" i="1"/>
  <c r="AA113" i="1"/>
  <c r="AA151" i="1"/>
  <c r="AA152" i="1"/>
  <c r="AA153" i="1"/>
  <c r="AA154" i="1"/>
  <c r="AA156" i="1"/>
  <c r="AA4" i="1"/>
  <c r="AK31" i="1" l="1"/>
  <c r="L62" i="1"/>
  <c r="L63" i="1"/>
  <c r="L64" i="1"/>
  <c r="L65" i="1"/>
  <c r="L66" i="1"/>
  <c r="L67" i="1"/>
  <c r="L68" i="1"/>
  <c r="L69" i="1"/>
  <c r="L40" i="1"/>
  <c r="L41" i="1"/>
  <c r="L42" i="1"/>
  <c r="L61" i="1"/>
  <c r="AK69" i="1"/>
  <c r="AK68" i="1"/>
  <c r="AK67" i="1"/>
  <c r="AK66" i="1"/>
  <c r="AK65" i="1"/>
  <c r="AK64" i="1"/>
  <c r="AK42" i="1"/>
  <c r="AK41" i="1"/>
  <c r="AK40" i="1"/>
  <c r="AK15" i="1"/>
  <c r="L14" i="1"/>
  <c r="L15" i="1"/>
  <c r="L59" i="1"/>
  <c r="L58" i="1"/>
  <c r="L57" i="1"/>
  <c r="L55" i="1"/>
  <c r="L54" i="1"/>
  <c r="L53" i="1"/>
  <c r="L52" i="1"/>
  <c r="L51" i="1"/>
  <c r="L50" i="1"/>
  <c r="L49" i="1"/>
  <c r="L48" i="1"/>
  <c r="L43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3" i="1"/>
  <c r="L12" i="1"/>
  <c r="L11" i="1"/>
  <c r="L10" i="1"/>
  <c r="L9" i="1"/>
  <c r="L8" i="1"/>
  <c r="L7" i="1"/>
  <c r="L6" i="1"/>
  <c r="L5" i="1"/>
  <c r="L4" i="1"/>
  <c r="AK59" i="1" l="1"/>
  <c r="AK58" i="1"/>
  <c r="AK57" i="1"/>
  <c r="AK56" i="1"/>
  <c r="AK55" i="1"/>
  <c r="AK54" i="1"/>
  <c r="AK53" i="1"/>
  <c r="AK52" i="1"/>
  <c r="AK51" i="1"/>
  <c r="AK50" i="1"/>
  <c r="AK49" i="1"/>
  <c r="AK48" i="1"/>
  <c r="AK43" i="1"/>
  <c r="AK26" i="1"/>
  <c r="AK21" i="1"/>
  <c r="AK16" i="1"/>
  <c r="AK13" i="1"/>
  <c r="AK12" i="1"/>
  <c r="AK11" i="1"/>
  <c r="AK10" i="1"/>
  <c r="AK9" i="1"/>
  <c r="AK8" i="1"/>
  <c r="AK7" i="1"/>
  <c r="AK6" i="1"/>
  <c r="AK5" i="1"/>
  <c r="AK4" i="1"/>
</calcChain>
</file>

<file path=xl/sharedStrings.xml><?xml version="1.0" encoding="utf-8"?>
<sst xmlns="http://schemas.openxmlformats.org/spreadsheetml/2006/main" count="12483" uniqueCount="1650">
  <si>
    <t>Área</t>
  </si>
  <si>
    <t>Equipamento</t>
  </si>
  <si>
    <t>Criticidade</t>
  </si>
  <si>
    <t>Observação</t>
  </si>
  <si>
    <t>UT-3140-TR01</t>
  </si>
  <si>
    <t>TR-3140UT-01</t>
  </si>
  <si>
    <t>TR-3140UT-01-M001 REDUTOR</t>
  </si>
  <si>
    <t>RE-101-0109</t>
  </si>
  <si>
    <t>A</t>
  </si>
  <si>
    <t>UT-3140-TR02</t>
  </si>
  <si>
    <t>TR-3140UT-02</t>
  </si>
  <si>
    <t>RE-101-0122</t>
  </si>
  <si>
    <t>UT-3140-TR03</t>
  </si>
  <si>
    <t>TR-3140UT-03</t>
  </si>
  <si>
    <t>RE-101-0110</t>
  </si>
  <si>
    <t>RE-101-0021</t>
  </si>
  <si>
    <t>UT-3140-TR04</t>
  </si>
  <si>
    <t>TR-3140UT-04</t>
  </si>
  <si>
    <t>RE-101-0123</t>
  </si>
  <si>
    <t>RE-101-0022</t>
  </si>
  <si>
    <t>UT-3140-TR05</t>
  </si>
  <si>
    <t>TR-3140UT-05</t>
  </si>
  <si>
    <t>RE-101-0111</t>
  </si>
  <si>
    <t>UT-3140-TR06</t>
  </si>
  <si>
    <t>TR-3140UT-06</t>
  </si>
  <si>
    <t>UT-3140-TR07</t>
  </si>
  <si>
    <t>TR-3140UT-07</t>
  </si>
  <si>
    <t>RE-101-0112</t>
  </si>
  <si>
    <t>UT-3140-TR08</t>
  </si>
  <si>
    <t>TR-3140UT-08</t>
  </si>
  <si>
    <t>RE-101-0125</t>
  </si>
  <si>
    <t>UT-3250-TR31</t>
  </si>
  <si>
    <t>TR-3220UT-01</t>
  </si>
  <si>
    <t>RE-101-0101</t>
  </si>
  <si>
    <t>C</t>
  </si>
  <si>
    <t>TR-3230UT-01</t>
  </si>
  <si>
    <t>UT-3250-TR43</t>
  </si>
  <si>
    <t>TR-3240UT-01</t>
  </si>
  <si>
    <t>RE-101-0113</t>
  </si>
  <si>
    <t>REDUTOR 1 DO TRIPPER LADO DIREITO</t>
  </si>
  <si>
    <t>RE-101-0034</t>
  </si>
  <si>
    <t>REDUTOR 2 DO TRIPPER LADO DIREITO</t>
  </si>
  <si>
    <t>RE-101-0035</t>
  </si>
  <si>
    <t>REDUTOR 3 DO TRIPPER LADO ESQUERDO</t>
  </si>
  <si>
    <t>RE-101-0036</t>
  </si>
  <si>
    <t>REDUTOR 4 DO TRIPPER LADO ESQUERDO</t>
  </si>
  <si>
    <t>RE-101-0037</t>
  </si>
  <si>
    <t>UT-3250-TR56</t>
  </si>
  <si>
    <t>TR-3240UT-02</t>
  </si>
  <si>
    <t>RE-101-0126</t>
  </si>
  <si>
    <t>RE-101-0042</t>
  </si>
  <si>
    <t>RE-101-0043</t>
  </si>
  <si>
    <t>RE-101-0044</t>
  </si>
  <si>
    <t>RE-101-0045</t>
  </si>
  <si>
    <t>UT-3250-TR44</t>
  </si>
  <si>
    <t>TR-3240UT-03</t>
  </si>
  <si>
    <t>RE-101-0114</t>
  </si>
  <si>
    <t>RE-101-0038</t>
  </si>
  <si>
    <t>RE-101-0040</t>
  </si>
  <si>
    <t>RE-101-0041</t>
  </si>
  <si>
    <t>UT-3250-TR57</t>
  </si>
  <si>
    <t>TR-3240UT-04</t>
  </si>
  <si>
    <t>RE-101-0127</t>
  </si>
  <si>
    <t>RE-101-0046</t>
  </si>
  <si>
    <t>RE-101-0047</t>
  </si>
  <si>
    <t>RE-101-0048</t>
  </si>
  <si>
    <t>RE-101-0049</t>
  </si>
  <si>
    <t>TR-3330UT-01</t>
  </si>
  <si>
    <t>RE-101-0102</t>
  </si>
  <si>
    <t>TR-3330UT-02</t>
  </si>
  <si>
    <t>RE-101-0103</t>
  </si>
  <si>
    <t>UT-3342-TR45</t>
  </si>
  <si>
    <t>TR-3340UT-01</t>
  </si>
  <si>
    <t>UT-3340-TR58</t>
  </si>
  <si>
    <t>TR-3340UT-02</t>
  </si>
  <si>
    <t>RE-101-0128</t>
  </si>
  <si>
    <t>UT-3342-TR46</t>
  </si>
  <si>
    <t>TR-3340UT-03</t>
  </si>
  <si>
    <t>RE-101-0116</t>
  </si>
  <si>
    <t>UT-3340-TR59</t>
  </si>
  <si>
    <t>TR-3340UT-04</t>
  </si>
  <si>
    <t>RE-101-0129</t>
  </si>
  <si>
    <t>UT-3342-TR47</t>
  </si>
  <si>
    <t>TR-3340UT-05</t>
  </si>
  <si>
    <t>RE-101-0117</t>
  </si>
  <si>
    <t>UT-3340-TR60</t>
  </si>
  <si>
    <t>TR-3340UT-06</t>
  </si>
  <si>
    <t>RE-101-0130</t>
  </si>
  <si>
    <t>UT-3342-TR48</t>
  </si>
  <si>
    <t>TR-3340UT-07</t>
  </si>
  <si>
    <t>RE-101-0118</t>
  </si>
  <si>
    <t>UT-3340-TR61</t>
  </si>
  <si>
    <t>TR-3340UT-08</t>
  </si>
  <si>
    <t>RE-101-0131</t>
  </si>
  <si>
    <t>UT-3342-TR49</t>
  </si>
  <si>
    <t>TR-3340UT-09</t>
  </si>
  <si>
    <t>RE-101-0119</t>
  </si>
  <si>
    <t>UT-3340-TR62</t>
  </si>
  <si>
    <t>TR-3340UT-10</t>
  </si>
  <si>
    <t>RE-101-0132</t>
  </si>
  <si>
    <t>Redutor</t>
  </si>
  <si>
    <t xml:space="preserve">Volume (l) </t>
  </si>
  <si>
    <t>Volume (l)</t>
  </si>
  <si>
    <t>Mancais</t>
  </si>
  <si>
    <t>Graxa</t>
  </si>
  <si>
    <t>Extrator de metais</t>
  </si>
  <si>
    <t>Blindagem</t>
  </si>
  <si>
    <t>Lista Técnica de Lubrificação</t>
  </si>
  <si>
    <t>Quant. Mancais</t>
  </si>
  <si>
    <t>N/A</t>
  </si>
  <si>
    <t>220 EP</t>
  </si>
  <si>
    <t>RM 220</t>
  </si>
  <si>
    <t>SIM</t>
  </si>
  <si>
    <t>Equipamento com Blindagem?</t>
  </si>
  <si>
    <t xml:space="preserve">Temperatura de operação </t>
  </si>
  <si>
    <t xml:space="preserve">Óleo (código Lis) </t>
  </si>
  <si>
    <t xml:space="preserve">Óleo </t>
  </si>
  <si>
    <t xml:space="preserve">N/A </t>
  </si>
  <si>
    <t>Hidrodinânico</t>
  </si>
  <si>
    <t xml:space="preserve">Motores </t>
  </si>
  <si>
    <t>Código Lis</t>
  </si>
  <si>
    <t>Graxa (quant.)</t>
  </si>
  <si>
    <t>27 g</t>
  </si>
  <si>
    <t>34g</t>
  </si>
  <si>
    <t>27g</t>
  </si>
  <si>
    <t>PU-2/150M</t>
  </si>
  <si>
    <t xml:space="preserve">SIM </t>
  </si>
  <si>
    <t>TR-3240UT-05</t>
  </si>
  <si>
    <t>CM32</t>
  </si>
  <si>
    <t>NÃO</t>
  </si>
  <si>
    <t xml:space="preserve">Local de Instalação </t>
  </si>
  <si>
    <t xml:space="preserve">Denominação </t>
  </si>
  <si>
    <t>ME-101-0115</t>
  </si>
  <si>
    <t>ME-101-0138</t>
  </si>
  <si>
    <t>ME-101-0096</t>
  </si>
  <si>
    <t>ME-101-0116</t>
  </si>
  <si>
    <t>ME-101-0139</t>
  </si>
  <si>
    <t>ME-101-0097</t>
  </si>
  <si>
    <t>ME-101-0117</t>
  </si>
  <si>
    <t>RE-101-0124</t>
  </si>
  <si>
    <t>ME-101-0140</t>
  </si>
  <si>
    <t>ME-101-0118</t>
  </si>
  <si>
    <t>ME-101-0141</t>
  </si>
  <si>
    <t>ME-101-0055</t>
  </si>
  <si>
    <t>ME-101-0056</t>
  </si>
  <si>
    <t>ME-101-0057</t>
  </si>
  <si>
    <t>ME-101-0058</t>
  </si>
  <si>
    <t>ME-101-0142</t>
  </si>
  <si>
    <t>ME-101-0063</t>
  </si>
  <si>
    <t>ME-101-0064</t>
  </si>
  <si>
    <t>ME-101-0065</t>
  </si>
  <si>
    <t>ME-101-0066</t>
  </si>
  <si>
    <t>ME-101-0120</t>
  </si>
  <si>
    <t>ME-101-0059</t>
  </si>
  <si>
    <t>ME-101-0060</t>
  </si>
  <si>
    <t>ME-101-0061</t>
  </si>
  <si>
    <t>ME-101-0062</t>
  </si>
  <si>
    <t>ME-101-0143</t>
  </si>
  <si>
    <t>ME-101-0067</t>
  </si>
  <si>
    <t>ME-101-0068</t>
  </si>
  <si>
    <t>ME-101-0069</t>
  </si>
  <si>
    <t>ME-101-0070</t>
  </si>
  <si>
    <t>ME-101-0147</t>
  </si>
  <si>
    <t>ME-101-0125</t>
  </si>
  <si>
    <t>ME-101-0148</t>
  </si>
  <si>
    <t>ME-101-0101</t>
  </si>
  <si>
    <t>RE-101-0104</t>
  </si>
  <si>
    <t>ME-101-0106</t>
  </si>
  <si>
    <t>ME-101-0104</t>
  </si>
  <si>
    <t>ME-101-0105</t>
  </si>
  <si>
    <t>ME-101-0144</t>
  </si>
  <si>
    <t>ME-101-0122</t>
  </si>
  <si>
    <t>ME-101-0145</t>
  </si>
  <si>
    <t>ME-101-0123</t>
  </si>
  <si>
    <t>ME-101-0146</t>
  </si>
  <si>
    <t>ME-101-0124</t>
  </si>
  <si>
    <t>51g/34g</t>
  </si>
  <si>
    <t>UT-3250-TR05</t>
  </si>
  <si>
    <t>TR-3340UT-15</t>
  </si>
  <si>
    <t>TR-3340UT-17</t>
  </si>
  <si>
    <t>51/34g</t>
  </si>
  <si>
    <t xml:space="preserve">34g </t>
  </si>
  <si>
    <t>UT-3340-TR15</t>
  </si>
  <si>
    <t>UT-3342-TR17</t>
  </si>
  <si>
    <t>ME-101-0278</t>
  </si>
  <si>
    <t>Valor</t>
  </si>
  <si>
    <t>Litro</t>
  </si>
  <si>
    <t>Total</t>
  </si>
  <si>
    <t>REDUTOR 1 TRIPPER DIREITO</t>
  </si>
  <si>
    <t>REDUTOR 2 TRIPPER DIREITO</t>
  </si>
  <si>
    <t>REDUTOR 3 TRIPPER ESQUERDO</t>
  </si>
  <si>
    <t>AL-3130UT-01</t>
  </si>
  <si>
    <t>UT-3130-TR35</t>
  </si>
  <si>
    <t>RE-101-0105</t>
  </si>
  <si>
    <t>ME-101-0107</t>
  </si>
  <si>
    <t>ME-101-0298</t>
  </si>
  <si>
    <t>ME-101-0299</t>
  </si>
  <si>
    <t>ME-101-0300</t>
  </si>
  <si>
    <t>ME-101-0301</t>
  </si>
  <si>
    <t>UT-3230-TR01</t>
  </si>
  <si>
    <t>UT-3330-TR02</t>
  </si>
  <si>
    <t>UT-3330-TR01</t>
  </si>
  <si>
    <t>TR-3130UT-01</t>
  </si>
  <si>
    <t>UT-3130-TR37</t>
  </si>
  <si>
    <t>TR-3130UT-02</t>
  </si>
  <si>
    <t>UT-3130-TR76</t>
  </si>
  <si>
    <t>TR-3130UT-03</t>
  </si>
  <si>
    <t>UT-3130-TR36</t>
  </si>
  <si>
    <t>RE-101-0106</t>
  </si>
  <si>
    <t>ME-101-0108</t>
  </si>
  <si>
    <t>TR-3340UT-11</t>
  </si>
  <si>
    <t>UT-3342-TR50</t>
  </si>
  <si>
    <t>RE-101-0120</t>
  </si>
  <si>
    <t>60g/45g</t>
  </si>
  <si>
    <t>TR-3340UT-12</t>
  </si>
  <si>
    <t>ME-101-0126</t>
  </si>
  <si>
    <t>UT-3340-TR12</t>
  </si>
  <si>
    <t>REDUTOR LOCAL UT-3340-TR12 M01</t>
  </si>
  <si>
    <t>REDUTOR LOCAL UT-3340-TR12 M02</t>
  </si>
  <si>
    <t>RE-101-0133</t>
  </si>
  <si>
    <t>ME-101-0149</t>
  </si>
  <si>
    <t>ME-101-0303</t>
  </si>
  <si>
    <t>TR-3340UT-13</t>
  </si>
  <si>
    <t>TR-3340UT-14</t>
  </si>
  <si>
    <t>UT-3342-TR51</t>
  </si>
  <si>
    <t>RE-101-0121</t>
  </si>
  <si>
    <t>ME-101-0305</t>
  </si>
  <si>
    <t>UT-3340-TR14</t>
  </si>
  <si>
    <t>RE-101-0134</t>
  </si>
  <si>
    <t>ME-101-0150</t>
  </si>
  <si>
    <t>UT-3340-CN01</t>
  </si>
  <si>
    <t>CN-3340UT-01</t>
  </si>
  <si>
    <t>RE-101-0153</t>
  </si>
  <si>
    <t>REDUTOR PRIMÁRIO 01 LADO MAR</t>
  </si>
  <si>
    <t>REDUTOR SECUNDÁRIO 01 LADO MAR</t>
  </si>
  <si>
    <t>REDUTOR PRIMÁRIO 02 LADO MAR</t>
  </si>
  <si>
    <t>REDUTOR SECUNDÁRIO 02 LADO MAR</t>
  </si>
  <si>
    <t>REDUTOR PRIMÁRIO 03 LADO MAR</t>
  </si>
  <si>
    <t>REDUTOR SECUNDÁRIO 03 LADO MAR</t>
  </si>
  <si>
    <t>REDUTOR PRIMÁRIO 04 LADO MAR</t>
  </si>
  <si>
    <t>REDUTOR SECUNDÁRIO 04 LADO MAR</t>
  </si>
  <si>
    <t>REDUTOR PRIMÁRIO 05 LADO MAR</t>
  </si>
  <si>
    <t>REDUTOR SECUNDÁRIO 05 LADO MAR</t>
  </si>
  <si>
    <t>REDUTOR PRIMÁRIO 06 LADO MAR</t>
  </si>
  <si>
    <t>REDUTOR SECUNDÁRIO 06 LADO MAR</t>
  </si>
  <si>
    <t>REDUTOR PRIMÁRIO 07 LADO MAR</t>
  </si>
  <si>
    <t>REDUTOR SECUNDÁRIO 07 LADO MAR</t>
  </si>
  <si>
    <t>REDUTOR PRIMÁRIO 08 LADO MAR</t>
  </si>
  <si>
    <t>REDUTOR SECUNDÁRIO 08 LADO MAR</t>
  </si>
  <si>
    <t>REDUTOR PRIMÁRIO 09 LADO TERRA</t>
  </si>
  <si>
    <t>REDUTOR SECUNDÁRIO 09 LADO TERRA</t>
  </si>
  <si>
    <t>REDUTOR PRIMÁRIO 10 LADO TERRA</t>
  </si>
  <si>
    <t>REDUTOR SECUNDÁRIO 10 LADO TERRA</t>
  </si>
  <si>
    <t>REDUTOR PRIMÁRIO 11 LADO TERRA</t>
  </si>
  <si>
    <t>REDUTOR SECUNDÁRIO 12 LADO TERRA</t>
  </si>
  <si>
    <t>REDUTOR SECUNDÁRIO 11 LADO TERRA</t>
  </si>
  <si>
    <t>REDUTOR PRIMÁRIO 12 LADO TERRA</t>
  </si>
  <si>
    <t>REDUTOR PRIMÁRIO 13 LADO TERRA</t>
  </si>
  <si>
    <t>REDUTOR SECUNDÁRIO 13 LADO TERRA</t>
  </si>
  <si>
    <t>REDUTOR PRIMÁRIO 14 LADO TERRA</t>
  </si>
  <si>
    <t>REDUTOR SECUNDÁRIO 14 LADO TERRA</t>
  </si>
  <si>
    <t>REDUTOR PRIMÁRIO 15 LADO TERRA</t>
  </si>
  <si>
    <t>REDUTOR SECUNDÁRIO 15 LADO TERRA</t>
  </si>
  <si>
    <t>REDUTOR PRIMÁRIO 16 LADO TERRA</t>
  </si>
  <si>
    <t>REDUTOR SECUNDÁRIO 16 LADO TERRA</t>
  </si>
  <si>
    <t>REDUTOR PRIMÁRIO 17 LADO TERRA</t>
  </si>
  <si>
    <t>REDUTOR SECUNDÁRIO 17 LADO TERRA</t>
  </si>
  <si>
    <t>REDUTOR PRIMÁRIO 18 LADO TERRA</t>
  </si>
  <si>
    <t>REDUTOR SECUNDÁRIO 18 LADO TERRA</t>
  </si>
  <si>
    <t>RE-101-0154</t>
  </si>
  <si>
    <t>RE-101-0155</t>
  </si>
  <si>
    <t>RE-101-0156</t>
  </si>
  <si>
    <t>RE-101-0157</t>
  </si>
  <si>
    <t>RE-101-0158</t>
  </si>
  <si>
    <t>RE-101-0159</t>
  </si>
  <si>
    <t>RE-101-0160</t>
  </si>
  <si>
    <t>RE-101-0161</t>
  </si>
  <si>
    <t>RE-101-0162</t>
  </si>
  <si>
    <t>RE-101-0163</t>
  </si>
  <si>
    <t>RE-101-0164</t>
  </si>
  <si>
    <t>RE-101-0165</t>
  </si>
  <si>
    <t>RE-101-0166</t>
  </si>
  <si>
    <t>RE-101-0167</t>
  </si>
  <si>
    <t>RE-101-0168</t>
  </si>
  <si>
    <t>RE-101-0169</t>
  </si>
  <si>
    <t>RE-101-0170</t>
  </si>
  <si>
    <t>ENROLADOR DE CABOS</t>
  </si>
  <si>
    <t>ME-101-0262</t>
  </si>
  <si>
    <t>B</t>
  </si>
  <si>
    <t>REDUTOR 1 DO GIRO DA LANÇA</t>
  </si>
  <si>
    <t>REDUTOR 2 DO GIRO DA LANÇA</t>
  </si>
  <si>
    <t>REDUTOR 3 DO GIRO DA LANÇA</t>
  </si>
  <si>
    <t>REDUTOR 4 DO GIRO DA LANÇA</t>
  </si>
  <si>
    <t>REDUTOR ELEVAÇÃO DA LANÇA</t>
  </si>
  <si>
    <t>RE-101-0029</t>
  </si>
  <si>
    <t>HIDRAULICA DO FREIO DA LANÇA</t>
  </si>
  <si>
    <t>HM 68</t>
  </si>
  <si>
    <t>CN-3340UT-02</t>
  </si>
  <si>
    <t>RE-101-0139</t>
  </si>
  <si>
    <t>RE-101-0140</t>
  </si>
  <si>
    <t>RE-101-0141</t>
  </si>
  <si>
    <t>RE-101-0142</t>
  </si>
  <si>
    <t>RE-101-0171</t>
  </si>
  <si>
    <t>RE-101-0172</t>
  </si>
  <si>
    <t>RE-101-0173</t>
  </si>
  <si>
    <t>RE-101-0174</t>
  </si>
  <si>
    <t>RE-101-0175</t>
  </si>
  <si>
    <t>RE-101-0176</t>
  </si>
  <si>
    <t>RE-101-0177</t>
  </si>
  <si>
    <t>RE-101-0178</t>
  </si>
  <si>
    <t>RE-101-0179</t>
  </si>
  <si>
    <t>RE-101-0180</t>
  </si>
  <si>
    <t>RE-101-0181</t>
  </si>
  <si>
    <t>RE-101-0182</t>
  </si>
  <si>
    <t>RE-101-0183</t>
  </si>
  <si>
    <t>RE-101-0184</t>
  </si>
  <si>
    <t xml:space="preserve">CN-3340UT-02 </t>
  </si>
  <si>
    <t>REDUTOR DE ELEVAÇÃO DA LANÇA</t>
  </si>
  <si>
    <t>CORREIA TRANSPORTADORA</t>
  </si>
  <si>
    <t>Denominação</t>
  </si>
  <si>
    <t>TR-3140UT-01-M001 MOTOR ELÉTRICO</t>
  </si>
  <si>
    <t>Pontos por Mancais</t>
  </si>
  <si>
    <t xml:space="preserve">Total de Pontos </t>
  </si>
  <si>
    <t>Código SAP</t>
  </si>
  <si>
    <t>CARFILL</t>
  </si>
  <si>
    <t>Óleo Vegetal</t>
  </si>
  <si>
    <t>Redutor
Volume (l)</t>
  </si>
  <si>
    <t xml:space="preserve">Temperatura de Trabalho </t>
  </si>
  <si>
    <t>Temparatura Máxima de Trabalho</t>
  </si>
  <si>
    <t>Custos</t>
  </si>
  <si>
    <t>UT-3140-TR03-MOTR-RE01</t>
  </si>
  <si>
    <t>UT-3140-TR03-MOTR-RE02</t>
  </si>
  <si>
    <t>UT-3140-TR04-MOTR-RE01</t>
  </si>
  <si>
    <t>UT-3140-TR04-MOTR-RE02</t>
  </si>
  <si>
    <t>RS 460</t>
  </si>
  <si>
    <t>UT-3140-TR02-MOTR-RE01</t>
  </si>
  <si>
    <t>UT-3140-TR02-MOTR-ME01</t>
  </si>
  <si>
    <t>UT-3140-TR03-MOTR-ME01</t>
  </si>
  <si>
    <t>UT-3140-TR03-MOTR-ME02</t>
  </si>
  <si>
    <t>UT-3140-TR04-MOTR-ME01</t>
  </si>
  <si>
    <t>UT-3140-TR04-MOTR-ME02</t>
  </si>
  <si>
    <t>UT-3140-TR05-MOTR-RE01</t>
  </si>
  <si>
    <t>UT-3140-TR05-MOTR-ME01</t>
  </si>
  <si>
    <t>UT-3140-TR06-MOTR-RE01</t>
  </si>
  <si>
    <t>UT-3140-TR06-MOTR-ME01</t>
  </si>
  <si>
    <t>UT-3140-TR07-MOTR-ME01</t>
  </si>
  <si>
    <t>UT-3140-TR07-MOTR-RE01</t>
  </si>
  <si>
    <t>UT-3140-TR08-MOTR-RE01</t>
  </si>
  <si>
    <t>UT-3140-TR08-MOTR-ME01</t>
  </si>
  <si>
    <t>UT-3250-TR43-MOTR-RE05</t>
  </si>
  <si>
    <t>UT-3250-TR43-MOTR-ME01</t>
  </si>
  <si>
    <t>ME-101-0008</t>
  </si>
  <si>
    <t>UT-3250-TR43-TRIP-RE01</t>
  </si>
  <si>
    <t>UT-3250-TR43-TRIP-RE02</t>
  </si>
  <si>
    <t>UT-3250-TR43-TRIP-RE03</t>
  </si>
  <si>
    <t>UT-3250-TR43-TRIP-RE04</t>
  </si>
  <si>
    <t>UT-3250-TR43-TRIP-ME02</t>
  </si>
  <si>
    <t>UT-3250-TR43-TRIP-ME03</t>
  </si>
  <si>
    <t>UT-3250-TR43-TRIP-ME04</t>
  </si>
  <si>
    <t>UT-3250-TR43-TRIP-ME05</t>
  </si>
  <si>
    <t>UT-3250-TR56-MOTR-RE05</t>
  </si>
  <si>
    <t>UT-3250-TR56-TRIP-RE01</t>
  </si>
  <si>
    <t>UT-3250-TR56-TRIP-RE02</t>
  </si>
  <si>
    <t>UT-3250-TR56-TRIP-RE03</t>
  </si>
  <si>
    <t>UT-3250-TR56-TRIP-RE04</t>
  </si>
  <si>
    <t>UT-3250-TR56-TRIP-ME01</t>
  </si>
  <si>
    <t>UT-3250-TR56-MOTR-ME05</t>
  </si>
  <si>
    <t>UT-3250-TR56-TRIP-ME02</t>
  </si>
  <si>
    <t>UT-3250-TR56-TRIP-ME03</t>
  </si>
  <si>
    <t>UT-3250-TR56-TRIP-ME04</t>
  </si>
  <si>
    <t>UT-3250-TR44-MOTR-RE05</t>
  </si>
  <si>
    <t>UT-3250-TR44-TRIP-RE01</t>
  </si>
  <si>
    <t>UT-3250-TR44-TRIP-RE02</t>
  </si>
  <si>
    <t>UT-3250-TR44-TRIP-RE03</t>
  </si>
  <si>
    <t>UT-3250-TR44-TRIP-RE04</t>
  </si>
  <si>
    <t xml:space="preserve"> RE-101-0039   </t>
  </si>
  <si>
    <t>UT-3250-TR44-TRIP-ME01</t>
  </si>
  <si>
    <t>UT-3250-TR44-MOTR-ME05</t>
  </si>
  <si>
    <t>UT-3250-TR44-TRIP-ME02</t>
  </si>
  <si>
    <t>UT-3250-TR44-TRIP-ME03</t>
  </si>
  <si>
    <t>UT-3250-TR44-TRIP-ME04</t>
  </si>
  <si>
    <t>UT-3250-TR57-MOTR-RE05</t>
  </si>
  <si>
    <t>UT-3250-TR57-TRIP-RE01</t>
  </si>
  <si>
    <t>UT-3250-TR57-TRIP-RE02</t>
  </si>
  <si>
    <t>UT-3250-TR57-TRIP-RE03</t>
  </si>
  <si>
    <t>UT-3250-TR57-TRIP-RE04</t>
  </si>
  <si>
    <t>UT-3250-TR57-MOTR-ME05</t>
  </si>
  <si>
    <t>UT-3250-TR57-TRIP-ME01</t>
  </si>
  <si>
    <t>UT-3250-TR57-TRIP-ME02</t>
  </si>
  <si>
    <t>UT-3250-TR57-TRIP-ME03</t>
  </si>
  <si>
    <t>UT-3250-TR57-TRIP-ME04</t>
  </si>
  <si>
    <t>UT-3250-TR05-MOTR-ME01</t>
  </si>
  <si>
    <t>UT-3250-TR05-MOTR-RE01</t>
  </si>
  <si>
    <t>UT-3250-TR05-TRIP-ME01</t>
  </si>
  <si>
    <t>UT-3250-TR05-TRIP-ME02</t>
  </si>
  <si>
    <t>UT-3250-TR05-TRIP-ME03</t>
  </si>
  <si>
    <t>UT-3250-TR05-TRIP-ME04</t>
  </si>
  <si>
    <t>UT-3250-TR05-TRIP-RE01</t>
  </si>
  <si>
    <t>UT-3250-TR05-TRIP-RE02</t>
  </si>
  <si>
    <t>UT-3250-TR05-TRIP-RE03</t>
  </si>
  <si>
    <t>UT-3250-TR05-TRIP-RE04</t>
  </si>
  <si>
    <t>UT-3342-TR45-MOTR-RE01</t>
  </si>
  <si>
    <t>UT-3342-TR45-MOTR-ME01</t>
  </si>
  <si>
    <t>UT-3340-TR58-MOTR-RE05</t>
  </si>
  <si>
    <t>UT-3340-TR58-MOTR-ME01</t>
  </si>
  <si>
    <t>UT-3342-TR46-MOTR-RE01</t>
  </si>
  <si>
    <t>UT-3342-TR46-MOTR-ME01</t>
  </si>
  <si>
    <t>UT-3340-TR04-MOTR-RE01</t>
  </si>
  <si>
    <t>UT-3340-TR04-MOTR-ME01</t>
  </si>
  <si>
    <t>UT-3342-TR47-MOTR-RE01</t>
  </si>
  <si>
    <t>UT-3342-TR47-MOTR-ME01</t>
  </si>
  <si>
    <t>UT-3340-TR60-MOTR-RE01</t>
  </si>
  <si>
    <t>UT-3340-TR60-MOTR-ME01</t>
  </si>
  <si>
    <t>UT-3342-TR48-MOTR-RE01</t>
  </si>
  <si>
    <t>UT-3342-TR48-MOTR-ME01</t>
  </si>
  <si>
    <t>UT-3340-TR61-MOTR-RE01</t>
  </si>
  <si>
    <t>UT-3340-TR61-MOTR-ME01</t>
  </si>
  <si>
    <t>UT-3342-TR49-MOTR-RE01</t>
  </si>
  <si>
    <t>UT-3342-TR49-MOTR-ME01</t>
  </si>
  <si>
    <t>UT-3340-TR10-MOTR-RE01</t>
  </si>
  <si>
    <t>UT-3340-TR10-MOTR-ME01</t>
  </si>
  <si>
    <t>UT-3340-TR15-MOTR-RE01</t>
  </si>
  <si>
    <t>UT-3340-TR17-MOTR-RE01</t>
  </si>
  <si>
    <t>UT-3340-TR15-MOTR-ME01</t>
  </si>
  <si>
    <t>UT-3340-TR17-MOTR-ME01</t>
  </si>
  <si>
    <t>DN-3330UT-02</t>
  </si>
  <si>
    <t>TRUQUE DE ACIONAMENTO LADO TERRA 1</t>
  </si>
  <si>
    <t>TRUQUE DE ACIONAMENTO LADO TERRA 2</t>
  </si>
  <si>
    <t>TRUQUE DE ACIONAMENTO LADO TERRA 3</t>
  </si>
  <si>
    <t>TRUQUE DE ACIONAMENTO LADO TERRA 4</t>
  </si>
  <si>
    <t>TRUQUE DE ACIONAMENTO LADO TERRA 5</t>
  </si>
  <si>
    <t>TRUQUE DE ACIONAMENTO LADO TERRA 6</t>
  </si>
  <si>
    <t>TRUQUE DE ACIONAMENTO LADO TERRA 7</t>
  </si>
  <si>
    <t>TRUQUE DE ACIONAMENTO LADO TERRA 8</t>
  </si>
  <si>
    <t>TRUQUE DE ACIONAMENTO LADO TERRA 9</t>
  </si>
  <si>
    <t>TRUQUE DE ACIONAMENTO LADO TERRA 10</t>
  </si>
  <si>
    <t>TRUQUE DE ACIONAMENTO LADO TERRA 11</t>
  </si>
  <si>
    <t>TRUQUE DE ACIONAMENTO LADO TERRA 12</t>
  </si>
  <si>
    <t>TRUQUE DE ACIONAMENTO LADO MAR 1</t>
  </si>
  <si>
    <t>TRUQUE DE ACIONAMENTO LADO MAR 2</t>
  </si>
  <si>
    <t>TRUQUE DE ACIONAMENTO LADO MAR 3</t>
  </si>
  <si>
    <t>TRUQUE DE ACIONAMENTO LADO MAR 4</t>
  </si>
  <si>
    <t>TRUQUE DE ACIONAMENTO LADO MAR 5</t>
  </si>
  <si>
    <t>TRUQUE DE ACIONAMENTO LADO MAR 6</t>
  </si>
  <si>
    <t>TRUQUE DE ACIONAMENTO LADO MAR 7</t>
  </si>
  <si>
    <t>TRUQUE DE ACIONAMENTO LADO MAR 8</t>
  </si>
  <si>
    <t>TRUQUE DE ACIONAMENTO LADO MAR 9</t>
  </si>
  <si>
    <t>TRUQUE DE ACIONAMENTO LADO MAR 10</t>
  </si>
  <si>
    <t>TRUQUE DE ACIONAMENTO LADO MAR 11</t>
  </si>
  <si>
    <t>TRUQUE DE ACIONAMENTO LADO MAR 12</t>
  </si>
  <si>
    <t>REDUTOR DE EMERGENCIA TROLLEY 1</t>
  </si>
  <si>
    <t>REDUTOR DE EMERGENCIA TROLLEY 2</t>
  </si>
  <si>
    <t>REDUTOR DO ENROLADOR DE CABOS</t>
  </si>
  <si>
    <t>HIDRAULICA GARRA DO TRILHO</t>
  </si>
  <si>
    <t>HIDRAULICA DO FREIO</t>
  </si>
  <si>
    <t>RM 320</t>
  </si>
  <si>
    <t>REDUTORA ALIMENTADORA</t>
  </si>
  <si>
    <t>72g/45g</t>
  </si>
  <si>
    <t>UT-3330-DN02</t>
  </si>
  <si>
    <t>UT-3230-TR01-MOTR-RE01</t>
  </si>
  <si>
    <t>UT-3230-TR01-MOTR-ME01</t>
  </si>
  <si>
    <t>UT-3230-TR01-TRIP-ME02</t>
  </si>
  <si>
    <t>UT-3230-TR01-TRIP-ME03</t>
  </si>
  <si>
    <t>UT-3230-TR01-TRIP-ME04</t>
  </si>
  <si>
    <t>UT-3230-TR01-TRIP-ME05</t>
  </si>
  <si>
    <t>UT-3230-TR01-TRIP-RE02</t>
  </si>
  <si>
    <t>UT-3230-TR01-TRIP-RE03</t>
  </si>
  <si>
    <t>UT-3230-TR01-TRIP-RE04</t>
  </si>
  <si>
    <t>UT-3230-TR01-TRIP-RE05</t>
  </si>
  <si>
    <t>UT-3330-TR01-MOTR-RE01</t>
  </si>
  <si>
    <t>UT-3330-TR01-MOTR-ME01</t>
  </si>
  <si>
    <t>UT-3330-TR02-MOTR-RE01</t>
  </si>
  <si>
    <t>UT-3330-TR02-MOTR-RE02</t>
  </si>
  <si>
    <t>UT-3330-TR02-MOTR-ME01</t>
  </si>
  <si>
    <t>UT-3330-TR02-MOTR-ME02</t>
  </si>
  <si>
    <t>UT-3130-TR35-MOTR-RE01</t>
  </si>
  <si>
    <t>UT-3130-TR35-MOTR-ME01</t>
  </si>
  <si>
    <t>UT-3130-TR37-MOTR-RE01</t>
  </si>
  <si>
    <t>UT-3130-TR37-MOTR-ME01</t>
  </si>
  <si>
    <t>UT-3130-TR76-MOTR-RE01</t>
  </si>
  <si>
    <t>UT-3130-TR76-MOTR-ME01</t>
  </si>
  <si>
    <t>UT-3130-TR36-MOTR-RE01</t>
  </si>
  <si>
    <t>UT-3130-TR36-MOTR-ME01</t>
  </si>
  <si>
    <t>REDUTOR TRIPPER LADO DIREITO 1</t>
  </si>
  <si>
    <t>REDUTOR TRIPPER LADO DIREITO 2</t>
  </si>
  <si>
    <t>REDUTOR TRIPPER LADO ESQUERDO 3</t>
  </si>
  <si>
    <t>REDUTOR TRIPPER LADO ESQUERDO 4</t>
  </si>
  <si>
    <t>UT-3130-TR36-TRIP-ME02</t>
  </si>
  <si>
    <t>UT-3130-TR36-TRIP-RE02</t>
  </si>
  <si>
    <t>UT-3130-TR36-TRIP-RE03</t>
  </si>
  <si>
    <t>UT-3130-TR36-TRIP-RE04</t>
  </si>
  <si>
    <t>UT-3130-TR36-TRIP-RE05</t>
  </si>
  <si>
    <t>UT-3130-TR36-TRIP-ME03</t>
  </si>
  <si>
    <t>UT-3130-TR36-TRIP-ME04</t>
  </si>
  <si>
    <t>UT-3130-TR36-TRIP-ME05</t>
  </si>
  <si>
    <t>ME-101-0294</t>
  </si>
  <si>
    <t>ME-101-0295</t>
  </si>
  <si>
    <t>ME-101-0296</t>
  </si>
  <si>
    <t>ME-101-0297</t>
  </si>
  <si>
    <t>UT-3342-TR50-MOTR-RE01</t>
  </si>
  <si>
    <t>UT-3342-TR50-MOTR-RE02</t>
  </si>
  <si>
    <t>UT-3342-TR50-MOTR-ME01</t>
  </si>
  <si>
    <t>UT-3342-TR50-MOTR-ME02</t>
  </si>
  <si>
    <t>ME-101-0127</t>
  </si>
  <si>
    <t>UT-3340-TR12-MOTR-RE01</t>
  </si>
  <si>
    <t>UT-3340-TR12-MOTR-RE02</t>
  </si>
  <si>
    <t>UT-3340-TR12-MOTR-ME01</t>
  </si>
  <si>
    <t>UT-3340-TR12-MOTR-ME02</t>
  </si>
  <si>
    <t>UT-3342-TR51-MOTR-RE01</t>
  </si>
  <si>
    <t>UT-3342-TR51-MOTR-ME01</t>
  </si>
  <si>
    <t>UT-3340-TR14-MOTR-RE01</t>
  </si>
  <si>
    <t>UT-3340-TR14-MOTR-ME01</t>
  </si>
  <si>
    <t>UT-3330-DN03</t>
  </si>
  <si>
    <t>UT-3250-TR31-MOTR-RE02</t>
  </si>
  <si>
    <t xml:space="preserve">27g </t>
  </si>
  <si>
    <t>REDUTOR LOCAL - INTERMEDIÁRIA</t>
  </si>
  <si>
    <t>REDUTOR LOCAL - LANÇA</t>
  </si>
  <si>
    <t>ME-101-0198</t>
  </si>
  <si>
    <t>ME-101-0199</t>
  </si>
  <si>
    <t>ME-101-0200</t>
  </si>
  <si>
    <t>ME-101-0201</t>
  </si>
  <si>
    <t>ME-101-0202</t>
  </si>
  <si>
    <t>ME-101-0203</t>
  </si>
  <si>
    <t>ME-101-0204</t>
  </si>
  <si>
    <t>ME-101-0205</t>
  </si>
  <si>
    <t>CN-3340UT-01.M8 MOTOR 01 LADO MAR</t>
  </si>
  <si>
    <t>CN-3340UT-01.M9 MOTOR 02 LADO MAR</t>
  </si>
  <si>
    <t>CN-3340UT-01.M10 MOTOR 03 LADO MAR</t>
  </si>
  <si>
    <t>CN-3340UT-01.M11 MOTOR 04 LADO MAR</t>
  </si>
  <si>
    <t>CN-3340UT-01.M12 MOTOR 05 LADO MAR</t>
  </si>
  <si>
    <t>CN-3340UT-01.M13 MOTOR 06 LADO MAR</t>
  </si>
  <si>
    <t>CN-3340UT-01.M14 MOTOR 07 LADO MAR</t>
  </si>
  <si>
    <t>CN-3340UT-01.M15 MOTOR 08 LADO MAR</t>
  </si>
  <si>
    <t>CN-3340UT-01 REDUTOR 01 LADO MAR</t>
  </si>
  <si>
    <t>CN-3340UT-01 REDUTOR 02 LADO MAR</t>
  </si>
  <si>
    <t>CN-3340UT-01 REDUTOR 03 LADO MAR</t>
  </si>
  <si>
    <t>CN-3340UT-01 REDUTOR 04 LADO MAR</t>
  </si>
  <si>
    <t>CN-3340UT-01 REDUTOR 05 LADO MAR</t>
  </si>
  <si>
    <t>CN-3340UT-01 REDUTOR 06 LADO MAR</t>
  </si>
  <si>
    <t>CN-3340UT-01 REDUTOR 07 LADO MAR</t>
  </si>
  <si>
    <t>CN-3340UT-01 REDUTOR 08 LADO MAR</t>
  </si>
  <si>
    <t>CN-3340UT-01 REDUTOR 09 LADO TERRA</t>
  </si>
  <si>
    <t>CN-3340UT-01 REDUTOR 10 LADO TERRA</t>
  </si>
  <si>
    <t>CN-3340UT-01 REDUTOR 11 LADO TERRA</t>
  </si>
  <si>
    <t>CN-3340UT-01 REDUTOR 12 LADO TERRA</t>
  </si>
  <si>
    <t>CN-3340UT-01 REDUTOR 13 LADO TERRA</t>
  </si>
  <si>
    <t>CN-3340UT-01 REDUTOR 14 LADO TERRA</t>
  </si>
  <si>
    <t>CN-3340UT-01 REDUTOR 15 LADO TERRA</t>
  </si>
  <si>
    <t>CN-3340UT-01 REDUTOR 16 LADO TERRA</t>
  </si>
  <si>
    <t>CN-3340UT-01 REDUTOR 17 LADO TERRA</t>
  </si>
  <si>
    <t>CN-3340UT-01 REDUTOR 18 LADO TERRA</t>
  </si>
  <si>
    <t>ME-101-0206</t>
  </si>
  <si>
    <t>ME-101-0207</t>
  </si>
  <si>
    <t>ME-101-0208</t>
  </si>
  <si>
    <t>ME-101-0209</t>
  </si>
  <si>
    <t>ME-101-0210</t>
  </si>
  <si>
    <t>ME-101-0211</t>
  </si>
  <si>
    <t>ME-101-0212</t>
  </si>
  <si>
    <t>ME-101-0213</t>
  </si>
  <si>
    <t>ME-101-0214</t>
  </si>
  <si>
    <t>ME-101-0215</t>
  </si>
  <si>
    <t>CN-3340UT-01.M16 MOTOR 09 LADO TERRA</t>
  </si>
  <si>
    <t>CN-3340UT-01.M17 MOTOR 10 LADO TERRA</t>
  </si>
  <si>
    <t>CN-3340UT-01.M18 MOTOR 11 LADO TERRA</t>
  </si>
  <si>
    <t>CN-3340UT-01.M19 MOTOR 12 LADO TERRA</t>
  </si>
  <si>
    <t>CN-3340UT-01.M20 MOTOR 13 LADO TERRA</t>
  </si>
  <si>
    <t>CN-3340UT-01.M21 MOTOR 14 LADO TERRA</t>
  </si>
  <si>
    <t>CN-3340UT-01.M22 MOTOR 15 LADO TERRA</t>
  </si>
  <si>
    <t>CN-3340UT-01.M23 MOTOR 16 LADO TERRA</t>
  </si>
  <si>
    <t>CN-3340UT-01.M25 MOTOR 17 LADO TERRA</t>
  </si>
  <si>
    <t>CN-3340UT-01.M26 MOTOR 18 LADO TERRA</t>
  </si>
  <si>
    <t>RE-101-0135</t>
  </si>
  <si>
    <t>RE-101-0136</t>
  </si>
  <si>
    <t>RE-101-0137</t>
  </si>
  <si>
    <t>RE-101-0138</t>
  </si>
  <si>
    <t>REDUTOR LOCAL UT-3340-CN01</t>
  </si>
  <si>
    <t>REDUTOR ELEVAÇÃO LANÇA UT-3340-CN01</t>
  </si>
  <si>
    <t>CN-3340UT-01.M64 MOTOR ENROLADOR DO CABO</t>
  </si>
  <si>
    <t>ME-101-0216</t>
  </si>
  <si>
    <t>ME-101-0217</t>
  </si>
  <si>
    <t>ME-101-0218</t>
  </si>
  <si>
    <t>ME-101-0219</t>
  </si>
  <si>
    <t>ME-101-0220</t>
  </si>
  <si>
    <t>CN-3340UT-01.M27 MOTOR TRANSP. INTERMEDI</t>
  </si>
  <si>
    <t>CN-3340UT-01.M4 MOTOR DE GIRO 1 LD TERRA</t>
  </si>
  <si>
    <t>CN-3340UT-01.M5 MOTOR DE GIRO 2 LD TERRA</t>
  </si>
  <si>
    <t>CN-3340UT-01.M6 MOTOR DE GIRO 3 LD MAR</t>
  </si>
  <si>
    <t>CN-3340UT-01.M7 MOTOR DE GIRO 3 LD MAR</t>
  </si>
  <si>
    <t>CN-3340UT-01-TR01</t>
  </si>
  <si>
    <t>CN-3340UT-01-TR02</t>
  </si>
  <si>
    <t>REDUTOR LOCAL - INTERMEDIÁRIA CN-3340-01-TR01</t>
  </si>
  <si>
    <t>REDUTOR LOCAL - LANÇA CN-3340-01-TR02</t>
  </si>
  <si>
    <t xml:space="preserve">CN-3340UT-01 </t>
  </si>
  <si>
    <t xml:space="preserve">ENROLADOR DE CABOS CN-3340UT-01 </t>
  </si>
  <si>
    <t>ME-101-0316</t>
  </si>
  <si>
    <t xml:space="preserve">CN-3340UT-01 MOTOR CHUTE LANÇA CN1 </t>
  </si>
  <si>
    <t>ME-101-0050</t>
  </si>
  <si>
    <t>CN-3340UT-01 MOTOR ELEVAÇÃO LANÇA</t>
  </si>
  <si>
    <t>CN-3340UT-01 HIDRAULICA DO FREIO DA LANÇA</t>
  </si>
  <si>
    <t>UT-3342-CN02</t>
  </si>
  <si>
    <t>CN-3340UT-02 REDUTOR 01 LADO MAR</t>
  </si>
  <si>
    <t>CN-3340UT-02 REDUTOR 02 LADO MAR</t>
  </si>
  <si>
    <t>CN-3340UT-02 REDUTOR 03 LADO MAR</t>
  </si>
  <si>
    <t>CN-3340UT-02 REDUTOR 04 LADO MAR</t>
  </si>
  <si>
    <t>CN-3340UT-02 REDUTOR 05 LADO MAR</t>
  </si>
  <si>
    <t>CN-3340UT-02 REDUTOR 06 LADO MAR</t>
  </si>
  <si>
    <t>CN-3340UT-02 REDUTOR 07 LADO MAR</t>
  </si>
  <si>
    <t>CN-3340UT-02 REDUTOR 08 LADO MAR</t>
  </si>
  <si>
    <t>ME-101-0230</t>
  </si>
  <si>
    <t>ME-101-0231</t>
  </si>
  <si>
    <t>ME-101-0232</t>
  </si>
  <si>
    <t>ME-101-0233</t>
  </si>
  <si>
    <t>ME-101-0234</t>
  </si>
  <si>
    <t>ME-101-0235</t>
  </si>
  <si>
    <t>ME-101-0236</t>
  </si>
  <si>
    <t>ME-101-0237</t>
  </si>
  <si>
    <t>CN-3340UT-02.M8 MOTOR 01 LADO MAR</t>
  </si>
  <si>
    <t>CN-3340UT-02.M9 MOTOR 02 LADO MAR</t>
  </si>
  <si>
    <t>CN-3340UT-02.M10 MOTOR 03 LADO MAR</t>
  </si>
  <si>
    <t>CN-3340UT-02.M11 MOTOR 04 LADO MAR</t>
  </si>
  <si>
    <t>CN-3340UT-02.M12 MOTOR 05 LADO MAR</t>
  </si>
  <si>
    <t>CN-3340UT-02.M13 MOTOR 06 LADO MAR</t>
  </si>
  <si>
    <t>CN-3340UT-02.M14 MOTOR 07 LADO MAR</t>
  </si>
  <si>
    <t>CN-3340UT-02. M15 MOTOR 08 LADO MAR</t>
  </si>
  <si>
    <t>CN-3340UT-02.M15 MOTOR 08 LADO MAR</t>
  </si>
  <si>
    <t>CN-3340UT-02 REDUTOR 09 LADO TERRA</t>
  </si>
  <si>
    <t>CN-3340UT-02 REDUTOR 10 LADO TERRA</t>
  </si>
  <si>
    <t>CN-3340UT-02 REDUTOR 11 LADO TERRA</t>
  </si>
  <si>
    <t>CN-3340UT-02 REDUTOR 12 LADO TERRA</t>
  </si>
  <si>
    <t>CN-3340UT-02 REDUTOR 13 LADO TERRA</t>
  </si>
  <si>
    <t>CN-3340UT-02 REDUTOR 14 LADO TERRA</t>
  </si>
  <si>
    <t>CN-3340UT-02 REDUTOR 15 LADO TERRA</t>
  </si>
  <si>
    <t>CN-3340UT-02 REDUTOR 16 LADO TERRA</t>
  </si>
  <si>
    <t>CN-3340UT-02 REDUTOR 17 LADO TERRA</t>
  </si>
  <si>
    <t>CN-3340UT-02 REDUTOR 18 LADO TERRA</t>
  </si>
  <si>
    <t>ME-101-0238</t>
  </si>
  <si>
    <t>ME-101-0239</t>
  </si>
  <si>
    <t>ME-101-0240</t>
  </si>
  <si>
    <t>ME-101-0241</t>
  </si>
  <si>
    <t>ME-101-0242</t>
  </si>
  <si>
    <t>ME-101-0243</t>
  </si>
  <si>
    <t>ME-101-0244</t>
  </si>
  <si>
    <t>ME-101-0245</t>
  </si>
  <si>
    <t>ME-101-0246</t>
  </si>
  <si>
    <t>ME-101-0247</t>
  </si>
  <si>
    <t>CN-3340UT-02.M16 MOTOR 09 LADO TERRA</t>
  </si>
  <si>
    <t>CN-3340UT-02.M17 MOTOR 10 LADO TERRA</t>
  </si>
  <si>
    <t>CN-3340UT-02.M18 MOTOR 11 LADO TERRA</t>
  </si>
  <si>
    <t>CN-3340UT-02.M19 MOTOR 12 LADO TERRA</t>
  </si>
  <si>
    <t>CN-3340UT-02.M20 MOTOR 13 LADO TERRA</t>
  </si>
  <si>
    <t>CN-3340UT-02.M21 MOTOR 14 LADO TERRA</t>
  </si>
  <si>
    <t>CN-3340UT-02.M22 MOTOR 15 LADO TERRA</t>
  </si>
  <si>
    <t>CN-3340UT-02.M23 MOTOR 16 LADO TERRA</t>
  </si>
  <si>
    <t>CN-3340UT-02.M26 MOTOR 18 LADO TERRA</t>
  </si>
  <si>
    <t>CN-3340UT-02.M25 MOTOR 17 LADO TERRA</t>
  </si>
  <si>
    <t>RE-101-0008</t>
  </si>
  <si>
    <t>RE-101-0009</t>
  </si>
  <si>
    <t>RE-101-0010</t>
  </si>
  <si>
    <t>RE-101-0011</t>
  </si>
  <si>
    <t>REDUTOR LD TERRA 1 DESLOCAMENTO TORR CN2</t>
  </si>
  <si>
    <t>REDUTOR LD TERRA 2 DESLOCAMENTO TORR CN2</t>
  </si>
  <si>
    <t>REDUTOR LD MAR 1 DESLOCAMENTO TORRE CN2</t>
  </si>
  <si>
    <t>REDUTOR LD MAR 2 DESLOCAMENTO TORRE CN2</t>
  </si>
  <si>
    <t>ME-101-0090</t>
  </si>
  <si>
    <t>ME-101-0091</t>
  </si>
  <si>
    <t>ME-101-0092</t>
  </si>
  <si>
    <t>ME-101-0093</t>
  </si>
  <si>
    <t>MOTOR LD TERRA 1 DESLOCAMENTO TORRE CN2</t>
  </si>
  <si>
    <t>MOTOR LD TERRA 2 DESLOCAMENTO TORRE CN2</t>
  </si>
  <si>
    <t>MOTOR LD MAR 1 DESLOCAMENTO TORRE DO CN2</t>
  </si>
  <si>
    <t>MOTOR LD MAR 2 DESLOCAMENTO TORRE DO CN2</t>
  </si>
  <si>
    <t>ME-101-0263</t>
  </si>
  <si>
    <t>CN-3340UT-02.M64 MOTOR ENROLADOR DO CABO</t>
  </si>
  <si>
    <t>CN-3340UT-02 ENROLADOR DE CABOS</t>
  </si>
  <si>
    <t>ME-101-0317</t>
  </si>
  <si>
    <t>MOTOR CHUTE LANÇA CN2</t>
  </si>
  <si>
    <t>CN-3340UT-02 REDUTOR DE ELEVAÇÃO DA LANÇA</t>
  </si>
  <si>
    <t>CN-3340UT-02 REDUTOR LOCAL - INTERMEDIÁRIA</t>
  </si>
  <si>
    <t>CN-3340UT-02 REDUTOR LOCAL - LANÇA</t>
  </si>
  <si>
    <t>CN-3340UT-02 HIDRAULICA DO FREIO DA LANÇA</t>
  </si>
  <si>
    <t>CN-3340UT-02 MOTOR INTERMEDIÁRIA</t>
  </si>
  <si>
    <t>CN-3340UT-02 MOTOR LANÇA</t>
  </si>
  <si>
    <t>REDUTORA CARRO PRINCIPAL</t>
  </si>
  <si>
    <t>REDUTOR  RESERVA ELEVAÇÃO DA LANÇA</t>
  </si>
  <si>
    <t>REDUTOR RESERVA SISTEMA DE TRANSLAÇÃO</t>
  </si>
  <si>
    <t>REDUTORA ELEVAÇÃO DA CAÇAMBA</t>
  </si>
  <si>
    <t>ME-101-0078</t>
  </si>
  <si>
    <t>DN-3330-02 MOTOR DO TROLLEY 1</t>
  </si>
  <si>
    <t>DN-3330-02 MOTOR DO TROLLEY 2</t>
  </si>
  <si>
    <t>RE-101-0143</t>
  </si>
  <si>
    <t>REDUTOR CARRO PRINCIPAL UT-3330-DN02</t>
  </si>
  <si>
    <t>RE-101-0144</t>
  </si>
  <si>
    <t>REDUTOR ELEVAÇÃO CAÇAMBA UT-3330-DN02</t>
  </si>
  <si>
    <t>RE-101-0054</t>
  </si>
  <si>
    <t>REDUTOR DE ACIONAMENTO DA LANÇA</t>
  </si>
  <si>
    <t>ME-101-0080</t>
  </si>
  <si>
    <t>DN-3330-02 MOTOR DE ACIONAMENTO DA LANÇA</t>
  </si>
  <si>
    <t>CARACTERISTICAS TÉCNICAS DO 
EQUIPAMENTO</t>
  </si>
  <si>
    <t>EQUIPAMENTO</t>
  </si>
  <si>
    <t>LUBRIFICANTE CLASSE</t>
  </si>
  <si>
    <t>ISO VG RS460</t>
  </si>
  <si>
    <t>VOLUME REDUTOR</t>
  </si>
  <si>
    <t>23 Litros</t>
  </si>
  <si>
    <t>VOLUME HIDRODINÂMICO</t>
  </si>
  <si>
    <t>17,5 Litros</t>
  </si>
  <si>
    <t>TEMP. DE OPERAÇÃO</t>
  </si>
  <si>
    <t>40° a 62°</t>
  </si>
  <si>
    <t>40° a 65°</t>
  </si>
  <si>
    <t>TEMP. LIMITE DE OPERAÇÃO</t>
  </si>
  <si>
    <t>69,44°</t>
  </si>
  <si>
    <t>72,8°</t>
  </si>
  <si>
    <t>MÉTODO DE COLETA</t>
  </si>
  <si>
    <t>BOMBA DE SUCÇÃO</t>
  </si>
  <si>
    <t>VOLUME RETIRADO</t>
  </si>
  <si>
    <t>100 ml</t>
  </si>
  <si>
    <t>EXPURGO</t>
  </si>
  <si>
    <t>288 Litros</t>
  </si>
  <si>
    <t>110 Litros</t>
  </si>
  <si>
    <t>40° a 70°</t>
  </si>
  <si>
    <t>74,8°</t>
  </si>
  <si>
    <t xml:space="preserve">115 Litros </t>
  </si>
  <si>
    <t>40° a 69°</t>
  </si>
  <si>
    <t>77,28°</t>
  </si>
  <si>
    <t>58 Litros</t>
  </si>
  <si>
    <t xml:space="preserve">23 Litros </t>
  </si>
  <si>
    <t xml:space="preserve">17,5 Litros </t>
  </si>
  <si>
    <t>40° a 60°</t>
  </si>
  <si>
    <t>67,2°</t>
  </si>
  <si>
    <t xml:space="preserve">35 Litros </t>
  </si>
  <si>
    <t>20 Litros</t>
  </si>
  <si>
    <t>22 Litros</t>
  </si>
  <si>
    <t>40° a 68°</t>
  </si>
  <si>
    <t>76,16°</t>
  </si>
  <si>
    <t xml:space="preserve"> 58 Litros </t>
  </si>
  <si>
    <t xml:space="preserve"> 53 Litros </t>
  </si>
  <si>
    <t>40° a 67°</t>
  </si>
  <si>
    <t>75,04°</t>
  </si>
  <si>
    <t xml:space="preserve">58 Litros </t>
  </si>
  <si>
    <t xml:space="preserve">53 Litros </t>
  </si>
  <si>
    <t>78,4°</t>
  </si>
  <si>
    <t xml:space="preserve">72 Litros </t>
  </si>
  <si>
    <t xml:space="preserve"> 44 Litros </t>
  </si>
  <si>
    <t>44 Litros</t>
  </si>
  <si>
    <t>40° a 64°</t>
  </si>
  <si>
    <t>71,68°</t>
  </si>
  <si>
    <t>40° a 63°</t>
  </si>
  <si>
    <t>70,56°</t>
  </si>
  <si>
    <t>40° a 66°</t>
  </si>
  <si>
    <t>73,92°</t>
  </si>
  <si>
    <t xml:space="preserve">44 Litros </t>
  </si>
  <si>
    <t>53 Litros</t>
  </si>
  <si>
    <t xml:space="preserve">77 Litros </t>
  </si>
  <si>
    <t>40° a 71°</t>
  </si>
  <si>
    <t>79,52°</t>
  </si>
  <si>
    <t>52 Litros</t>
  </si>
  <si>
    <t xml:space="preserve">184 Litros </t>
  </si>
  <si>
    <t xml:space="preserve">93 Litros </t>
  </si>
  <si>
    <t xml:space="preserve">32 Litros </t>
  </si>
  <si>
    <t>32°</t>
  </si>
  <si>
    <t>40° a 72°</t>
  </si>
  <si>
    <t>80,64°</t>
  </si>
  <si>
    <t>15,4 Litros</t>
  </si>
  <si>
    <t xml:space="preserve">64,9 Litros </t>
  </si>
  <si>
    <t>64 Litros</t>
  </si>
  <si>
    <t>TR-3120UT-01</t>
  </si>
  <si>
    <t>UT-3120-TR30</t>
  </si>
  <si>
    <t>RE-101-0100</t>
  </si>
  <si>
    <t>UT-3120-TR30-MOTR-RE01</t>
  </si>
  <si>
    <t>UT-3120-TR30-MOTR-ME01</t>
  </si>
  <si>
    <t>ME-101-0100</t>
  </si>
  <si>
    <t>REDUTOR 1 TRIPPER LADO DIREITO</t>
  </si>
  <si>
    <t>REDUTOR 2 TRIPPER LADO DIREITO</t>
  </si>
  <si>
    <t>REDUTOR 1 TRIPPER LADO ESQUERDO</t>
  </si>
  <si>
    <t>REDUTOR 2 TRIPPER LADO ESQUERDO</t>
  </si>
  <si>
    <t>UT-3250-TR31-TRIP</t>
  </si>
  <si>
    <t>UT-3250-TR31-TRIP-MOTR-RE01</t>
  </si>
  <si>
    <t>UT-3250-TR31-TRIP-MOTR-RE02</t>
  </si>
  <si>
    <t>UT-3250-TR31-TRIP-MOTR-RE03</t>
  </si>
  <si>
    <t>UT-3250-TR31-TRIP-MOTR-RE04</t>
  </si>
  <si>
    <t>UT-3250-TR31-TRIP-ME02</t>
  </si>
  <si>
    <t>UT-3250-TR31-TRIP-ME03</t>
  </si>
  <si>
    <t>UT-3250-TR31-TRIP-ME04</t>
  </si>
  <si>
    <t>UT-3250-TR31-TRIP-ME05</t>
  </si>
  <si>
    <t>MOTOR LOCAL UT-3250-TR31</t>
  </si>
  <si>
    <t>ME-101-0309</t>
  </si>
  <si>
    <t>ME-101-0310</t>
  </si>
  <si>
    <t>ME-101-0311</t>
  </si>
  <si>
    <t>ME-101-0312</t>
  </si>
  <si>
    <t>CR-8701</t>
  </si>
  <si>
    <t>UT-3360-TR01</t>
  </si>
  <si>
    <t>RE-101-0001</t>
  </si>
  <si>
    <t>UT-3360-TR01-MOTR-RE01</t>
  </si>
  <si>
    <t>ME-101-0001</t>
  </si>
  <si>
    <t>UT-3360-TR01-MOTR-ME02</t>
  </si>
  <si>
    <t>CR-8702</t>
  </si>
  <si>
    <t>UT-3360-TR02</t>
  </si>
  <si>
    <t>RE-101-0002</t>
  </si>
  <si>
    <t>CR-8710</t>
  </si>
  <si>
    <t>UT-3120-TR11</t>
  </si>
  <si>
    <t>CR-8712</t>
  </si>
  <si>
    <t>CR-8711</t>
  </si>
  <si>
    <t>RE-101-0005</t>
  </si>
  <si>
    <t>UT-3320-TR11</t>
  </si>
  <si>
    <t>RE-101-0185</t>
  </si>
  <si>
    <t>UT-3320-TR11-MOTR-RE01</t>
  </si>
  <si>
    <t>UT-3320-TR11-MOTR-ME01</t>
  </si>
  <si>
    <t>ME-101-0265</t>
  </si>
  <si>
    <t>UT-3320-TR11-TRIP-RE01</t>
  </si>
  <si>
    <t>RE-101-0186</t>
  </si>
  <si>
    <t>UT-3320-TR11-TRIP-RE02</t>
  </si>
  <si>
    <t>UT-3320-TR11-TRIP-RE03</t>
  </si>
  <si>
    <t>UT-3320-TR11-TRIP-RE04</t>
  </si>
  <si>
    <t>RE-101-0187</t>
  </si>
  <si>
    <t>RE-101-0188</t>
  </si>
  <si>
    <t>RE-101-0189</t>
  </si>
  <si>
    <t>UT-3320-TR11-TRIP-ME01</t>
  </si>
  <si>
    <t>UT-3320-TR11-TRIP-ME02</t>
  </si>
  <si>
    <t>UT-3320-TR11-TRIP-ME03</t>
  </si>
  <si>
    <t>UT-3320-TR11-TRIP-ME04</t>
  </si>
  <si>
    <t>ME-101-0267</t>
  </si>
  <si>
    <t>ME-101-0268</t>
  </si>
  <si>
    <t>ME-101-0269</t>
  </si>
  <si>
    <t>ME-101-0270</t>
  </si>
  <si>
    <t>UT-3120-TR11-MOTR-RE01</t>
  </si>
  <si>
    <t>UT-3120-TR11-MOTR-ME01</t>
  </si>
  <si>
    <t>ME-101-0005</t>
  </si>
  <si>
    <t>UT-3360-TR02-MOTR-RE01</t>
  </si>
  <si>
    <t>UT-3360-TR02-MOTR-ME01</t>
  </si>
  <si>
    <t>ME-101-0002</t>
  </si>
  <si>
    <t>UT-3120-TR12</t>
  </si>
  <si>
    <t>UT-3120-TR12-MOTR-RE01</t>
  </si>
  <si>
    <t>RE-101-0006</t>
  </si>
  <si>
    <t>UT-3120-TR12-MOTR-ME01</t>
  </si>
  <si>
    <t>ME-101-0006</t>
  </si>
  <si>
    <t>UT-3120-TR13</t>
  </si>
  <si>
    <t>CR-8713</t>
  </si>
  <si>
    <t>UT-3120-TR13-MOTR-MR01</t>
  </si>
  <si>
    <t>REDUTOR DE TRANSLAÇÃO</t>
  </si>
  <si>
    <t>MR-101-0005</t>
  </si>
  <si>
    <t>UT-3120-TR13-MOTR-MR02</t>
  </si>
  <si>
    <t>MR-101-0015</t>
  </si>
  <si>
    <t>CR-8714</t>
  </si>
  <si>
    <t>UT-3120-TR14</t>
  </si>
  <si>
    <t>REDUTOR LOCAL UT-3120-TR13</t>
  </si>
  <si>
    <t>REDUTOR LOCAL UT-3120-TR14</t>
  </si>
  <si>
    <t>UT-3120-TR14-MOTR-MR01</t>
  </si>
  <si>
    <t>MR-101-0006</t>
  </si>
  <si>
    <t>UT-3120-TR14-MOTR-MR02</t>
  </si>
  <si>
    <t>MR-101-0016</t>
  </si>
  <si>
    <t>UT-3120-TR15</t>
  </si>
  <si>
    <t>CR-8715</t>
  </si>
  <si>
    <t>REDUTOR SEW - CORREIA</t>
  </si>
  <si>
    <t>REDUTOR SEW - TRANSLADO</t>
  </si>
  <si>
    <t>UT-3120-TR15-MOTR-MR01</t>
  </si>
  <si>
    <t>UT-3120-TR15-MOTR-MR02</t>
  </si>
  <si>
    <t>MR-101-0009</t>
  </si>
  <si>
    <t>MR-101-0010</t>
  </si>
  <si>
    <t>UT-3120-TR61</t>
  </si>
  <si>
    <t>UT-3120-TR62</t>
  </si>
  <si>
    <t>CR-8716 A</t>
  </si>
  <si>
    <t>CR-8716 B</t>
  </si>
  <si>
    <t>UT-3120-TR63</t>
  </si>
  <si>
    <t>CR-8716 C</t>
  </si>
  <si>
    <t>UT-3120-TR61-MOTR-MR01</t>
  </si>
  <si>
    <t>MR-101-0002</t>
  </si>
  <si>
    <t>UT-3120-TR62-MOTR-MR01</t>
  </si>
  <si>
    <t>MR-101-0003</t>
  </si>
  <si>
    <t xml:space="preserve">MOTO REDUTOR SEW </t>
  </si>
  <si>
    <t>UT-3120-TR63-MOTR-MR01</t>
  </si>
  <si>
    <t>MR-101-0004</t>
  </si>
  <si>
    <t>UT-3120-TR71</t>
  </si>
  <si>
    <t>CR-8717 A</t>
  </si>
  <si>
    <t>UT-3120-TR72</t>
  </si>
  <si>
    <t>CR-8717 B</t>
  </si>
  <si>
    <t>UT-3120-TR71-MOTR-MR01</t>
  </si>
  <si>
    <t>MR-101-0007</t>
  </si>
  <si>
    <t>UT-3120-TR72-MOTR-MR01</t>
  </si>
  <si>
    <t>MR-101-0008</t>
  </si>
  <si>
    <t>UT-3120-AL18</t>
  </si>
  <si>
    <t>CR-8718</t>
  </si>
  <si>
    <t>UT-3120-AL18-MOTR-MR01</t>
  </si>
  <si>
    <t>MR-101-0062</t>
  </si>
  <si>
    <t>UT-3360-TR20</t>
  </si>
  <si>
    <t>CR-8720</t>
  </si>
  <si>
    <t>UT-3360-TR20-MOTR-RE01</t>
  </si>
  <si>
    <t>RE-101-0007</t>
  </si>
  <si>
    <t>UT-3360-TR20-MOTR-ME01</t>
  </si>
  <si>
    <t>ME-101-0007</t>
  </si>
  <si>
    <t>UT-3360-DN01</t>
  </si>
  <si>
    <t>DN-8701</t>
  </si>
  <si>
    <t>DN-8701/CR-8751 A</t>
  </si>
  <si>
    <t>DN-8701/CR-8751 B</t>
  </si>
  <si>
    <t>RE-101-0023</t>
  </si>
  <si>
    <t>ME-101-0099</t>
  </si>
  <si>
    <t>RE-101-0024</t>
  </si>
  <si>
    <t>ME-101-0167</t>
  </si>
  <si>
    <t>REDUTOR ABRICADOR DA CAÇAMBA</t>
  </si>
  <si>
    <t>RE-101-0027</t>
  </si>
  <si>
    <t>ME-101-0177</t>
  </si>
  <si>
    <t>REDUTOR DE ELEVAÇÃO DA CAÇAMBA</t>
  </si>
  <si>
    <t>RE-101-0026</t>
  </si>
  <si>
    <t>ME-101-0175</t>
  </si>
  <si>
    <t>RE-101-0028</t>
  </si>
  <si>
    <t>ME-101-0179</t>
  </si>
  <si>
    <t>DN-8701/GU-8751 A</t>
  </si>
  <si>
    <t>DN-8701/GU-8751 B</t>
  </si>
  <si>
    <t xml:space="preserve">DN-8701/GU-8752 </t>
  </si>
  <si>
    <t>DN-8701/GU-8753</t>
  </si>
  <si>
    <t>REDUTOR DE TRANSLAÇÃO TROLLEY</t>
  </si>
  <si>
    <t>RE-101-0025</t>
  </si>
  <si>
    <t>ME-101-0170</t>
  </si>
  <si>
    <t>MOTOREDUTOR ACIONAMENTO 1 LD MAR 1N-S</t>
  </si>
  <si>
    <t>MOTOREDUTOR ACIONAMENTO 2 LD MAR 1N-S</t>
  </si>
  <si>
    <t>MR-101-0046</t>
  </si>
  <si>
    <t>MR-101-0047</t>
  </si>
  <si>
    <t>MOTOREDUTOR ACIONAMENTO 3 LD MAR 2N-S</t>
  </si>
  <si>
    <t>MOTOREDUTOR ACIONAMENTO 4 LD MAR 2N-S</t>
  </si>
  <si>
    <t>MR-101-0048</t>
  </si>
  <si>
    <t>MR-101-0049</t>
  </si>
  <si>
    <t>MOTOREDUTOR ACIONAMENTO 5 LD MAR 3N-S</t>
  </si>
  <si>
    <t>MR-101-0050</t>
  </si>
  <si>
    <t>MOTOREDUTOR ACIONAMENTO 6 LD MAR 4N-S</t>
  </si>
  <si>
    <t>MOTOREDUTOR ACIONAMENTO 7 LD MAR 4N-S</t>
  </si>
  <si>
    <t>MR-101-0051</t>
  </si>
  <si>
    <t>MR-101-0052</t>
  </si>
  <si>
    <t>MOTOREDUTOR ACIONAMENTO 8 LD MAR 5N-S</t>
  </si>
  <si>
    <t>MOTOREDUTOR ACIONAMENTO 9 LD MAR 5N-S</t>
  </si>
  <si>
    <t>MR-101-0053</t>
  </si>
  <si>
    <t>MR-101-0054</t>
  </si>
  <si>
    <t>MOTOREDUTOR ACIONAMENTO 10 LD MAR 6N-S</t>
  </si>
  <si>
    <t>MR-101-0055</t>
  </si>
  <si>
    <t>MOTOREDUTOR ACIONAMENTO 11 LD MAR 7N-S</t>
  </si>
  <si>
    <t>MOTOREDUTOR ACIONAMENTO 12 LD MAR 7N-S</t>
  </si>
  <si>
    <t>MR-101-0056</t>
  </si>
  <si>
    <t>MR-101-0057</t>
  </si>
  <si>
    <t>MOTOREDUTOR ACIONAMENTO 13 LD MAR 8N-S</t>
  </si>
  <si>
    <t>MOTOREDUTOR ACIONAMENTO 14 LD MAR 8N-S</t>
  </si>
  <si>
    <t>MR-101-0058</t>
  </si>
  <si>
    <t>MR-101-0059</t>
  </si>
  <si>
    <t>MOTOREDUTOR ACIONAMENTO 1 LD TERRA 1N-S</t>
  </si>
  <si>
    <t>MOTOREDUTOR ACIONAMENTO 2 LD TERRA 1N-S</t>
  </si>
  <si>
    <t>MR-101-0036</t>
  </si>
  <si>
    <t>MR-101-0037</t>
  </si>
  <si>
    <t>MOTOREDUTOR ACIONAMENTO 3 LD TERRA 2N-S</t>
  </si>
  <si>
    <t>MR-101-0038</t>
  </si>
  <si>
    <t>MOTOREDUTOR ACIONAMENTO 4 LD TERRA 3N-S</t>
  </si>
  <si>
    <t>MR-101-0039</t>
  </si>
  <si>
    <t>MOTOREDUTOR ACIONAMENTO 5 LD TERRA 4N-S</t>
  </si>
  <si>
    <t>MR-101-0040</t>
  </si>
  <si>
    <t>MOTOREDUTOR ACIONAMENTO 6 LD TERRA 5N-S</t>
  </si>
  <si>
    <t>MR-101-0041</t>
  </si>
  <si>
    <t>MOTOREDUTOR ACIONAMENTO 7 LD TERRA 6N-S</t>
  </si>
  <si>
    <t>MR-101-0042</t>
  </si>
  <si>
    <t>MOTOREDUTOR ACIONAMENTO 8 LD TERRA 7N-S</t>
  </si>
  <si>
    <t>MR-101-0043</t>
  </si>
  <si>
    <t>MOTOREDUTOR ACIONAMENTO 9 LD TERRA 8N-S</t>
  </si>
  <si>
    <t>MOTOREDUTOR ACIONAMENTO 10 LD TERRA 8N-S</t>
  </si>
  <si>
    <t>MR-101-0044</t>
  </si>
  <si>
    <t>MR-101-0045</t>
  </si>
  <si>
    <t>UNIDADE HIDRAULICA TRAVA LANÇA</t>
  </si>
  <si>
    <t>UH-101-0521</t>
  </si>
  <si>
    <t>UNIDADE HIDRAULICA PLACA FINOS</t>
  </si>
  <si>
    <t>UH-101-0522</t>
  </si>
  <si>
    <t>UNIDADE HIDRAULICA FREIO GUINCHO ELEV LANÇA</t>
  </si>
  <si>
    <t>UH-101-0525</t>
  </si>
  <si>
    <t>REDUTOR ENROLADOR DE CABOS</t>
  </si>
  <si>
    <t>UT-3320-TR11-TRIP-RE05</t>
  </si>
  <si>
    <t>RE-101-0190</t>
  </si>
  <si>
    <t>UT-3320-TR11-TRIP-ME07</t>
  </si>
  <si>
    <t>ME-101-0273</t>
  </si>
  <si>
    <t xml:space="preserve">105 Litros </t>
  </si>
  <si>
    <t>61,6°</t>
  </si>
  <si>
    <t>63,84°</t>
  </si>
  <si>
    <t>600 Litros</t>
  </si>
  <si>
    <t>300 Litros</t>
  </si>
  <si>
    <t>10 Litros</t>
  </si>
  <si>
    <t>36 Litros</t>
  </si>
  <si>
    <t>48 Litros</t>
  </si>
  <si>
    <t>39 Litros</t>
  </si>
  <si>
    <t>83,3 Litros</t>
  </si>
  <si>
    <t>83 Litros</t>
  </si>
  <si>
    <t>16 Litros</t>
  </si>
  <si>
    <t>30 Litros</t>
  </si>
  <si>
    <t>64,96°</t>
  </si>
  <si>
    <t>220 Litros</t>
  </si>
  <si>
    <t>1400 Litros</t>
  </si>
  <si>
    <t>33 Litros</t>
  </si>
  <si>
    <t>63 Litros</t>
  </si>
  <si>
    <t>390 Litros</t>
  </si>
  <si>
    <t>Lubrificante</t>
  </si>
  <si>
    <t xml:space="preserve">Volume </t>
  </si>
  <si>
    <t>Equipamentos</t>
  </si>
  <si>
    <t>Nome Equip.</t>
  </si>
  <si>
    <t>Código Equipamento</t>
  </si>
  <si>
    <t>LISTA TÉCNICA</t>
  </si>
  <si>
    <t>MOEGA DE AÇUCAR</t>
  </si>
  <si>
    <t>UT-3140-MO01</t>
  </si>
  <si>
    <t>UT-3140-MO02</t>
  </si>
  <si>
    <t>MOTORREDUTOR 1 - A</t>
  </si>
  <si>
    <t>MOTORREDUTOR 2 - A</t>
  </si>
  <si>
    <t>MOTORREDUTOR 4 - A</t>
  </si>
  <si>
    <t>MOTORREDUTOR 3 - A</t>
  </si>
  <si>
    <t>MOTORREDUTOR 1 - B</t>
  </si>
  <si>
    <t>MOTORREDUTOR 2 - B</t>
  </si>
  <si>
    <t>MOTORREDUTOR 3 - B</t>
  </si>
  <si>
    <t>MOTORREDUTOR 4 - B</t>
  </si>
  <si>
    <t>500 ml</t>
  </si>
  <si>
    <t>6g</t>
  </si>
  <si>
    <t>Pontos de Lubrificação</t>
  </si>
  <si>
    <t>MANCAL BLOWER</t>
  </si>
  <si>
    <t>FV-3140UT-01 VALVULAS GUILHOTINAS</t>
  </si>
  <si>
    <t>FV-3140UT-02 VALVULAS GUILHOTINAS</t>
  </si>
  <si>
    <t>FV-3140UT-03 VALVULAS GUILHOTINAS</t>
  </si>
  <si>
    <t>FV-3140UT-04 VALVULAS GUILHOTINAS</t>
  </si>
  <si>
    <t>FV-3140UT-05 VALVULAS GUILHOTINAS</t>
  </si>
  <si>
    <t>FV-3140UT-06 VALVULAS GUILHOTINAS</t>
  </si>
  <si>
    <t>FV-3140UT-07 VALVULAS GUILHOTINAS</t>
  </si>
  <si>
    <t>FV-3140UT-08 VALVULAS GUILHOTINAS</t>
  </si>
  <si>
    <t>FV-3140UT-09 VALVULAS GUILHOTINAS</t>
  </si>
  <si>
    <t>FV-3140UT-10 VALVULAS GUILHOTINAS</t>
  </si>
  <si>
    <t>FV-3140UT-11 VALVULAS GUILHOTINAS</t>
  </si>
  <si>
    <t>FV-3140UT-12 VALVULAS GUILHOTINAS</t>
  </si>
  <si>
    <t>VU-101-0001</t>
  </si>
  <si>
    <t>VU-101-0003</t>
  </si>
  <si>
    <t>VU-101-0005</t>
  </si>
  <si>
    <t>VU-101-0007</t>
  </si>
  <si>
    <t>VU-101-0009</t>
  </si>
  <si>
    <t>VU-101-0011</t>
  </si>
  <si>
    <t>VU-101-0013</t>
  </si>
  <si>
    <t>VU-101-0015</t>
  </si>
  <si>
    <t>VU-101-0017</t>
  </si>
  <si>
    <t>VU-101-0019</t>
  </si>
  <si>
    <t>VU-101-0021</t>
  </si>
  <si>
    <t>VU-101-0023</t>
  </si>
  <si>
    <t>MR-101-0026</t>
  </si>
  <si>
    <t>MR-101-0028</t>
  </si>
  <si>
    <t>MR-101-0029</t>
  </si>
  <si>
    <t>MR-101-0030</t>
  </si>
  <si>
    <t>MR-101-0031</t>
  </si>
  <si>
    <t>MR-101-0033</t>
  </si>
  <si>
    <t>MR-101-0034</t>
  </si>
  <si>
    <t>MR-101-0035</t>
  </si>
  <si>
    <t>MANCAL DA VÁLVULA GUILHOTINA</t>
  </si>
  <si>
    <t>CL 220 EP</t>
  </si>
  <si>
    <t>RM 680</t>
  </si>
  <si>
    <t>24g</t>
  </si>
  <si>
    <t>5L</t>
  </si>
  <si>
    <t>TR-3140-UT03</t>
  </si>
  <si>
    <t xml:space="preserve">RODA NYLON </t>
  </si>
  <si>
    <t>30g</t>
  </si>
  <si>
    <t>MANCAL TR-3140UT-01</t>
  </si>
  <si>
    <t>EE-3140UT-01 VIBRADOR DE VAGÃO</t>
  </si>
  <si>
    <t>VB-101-0001</t>
  </si>
  <si>
    <t>RE-101-0145</t>
  </si>
  <si>
    <t xml:space="preserve">REDUTOR LOCAL UT-3340-VV01 </t>
  </si>
  <si>
    <t>EE-3140UT-03 VIBRADOR DE VAGÃO</t>
  </si>
  <si>
    <t>VB-101-0003</t>
  </si>
  <si>
    <t>RE-101-0146</t>
  </si>
  <si>
    <t>REDUTOR LOCAL UT-3340-VV03</t>
  </si>
  <si>
    <t>EE-3140UT-05 VIBRADOR DE VAGÃO</t>
  </si>
  <si>
    <t>VB-101-0005</t>
  </si>
  <si>
    <t>EE-3140UT-07 VIBRADOR DE VAGÃO</t>
  </si>
  <si>
    <t>VB-101-0007</t>
  </si>
  <si>
    <t>REDUTOR LOCAL UT-3340-VV05</t>
  </si>
  <si>
    <t>RE-101-0147</t>
  </si>
  <si>
    <t>REDUTOR LOCAL UT-3340-VV07</t>
  </si>
  <si>
    <t>RE-101-0148</t>
  </si>
  <si>
    <t>MOEGA DE GRÃOS/FARELO</t>
  </si>
  <si>
    <t>MR-101-0019</t>
  </si>
  <si>
    <t>MR-101-0020</t>
  </si>
  <si>
    <t>MR-101-0021</t>
  </si>
  <si>
    <t>MR-101-0022</t>
  </si>
  <si>
    <t>MR-101-0024</t>
  </si>
  <si>
    <t>MR-101-0025</t>
  </si>
  <si>
    <t>FV-3140UT-13 VALVULAS GUILHOTINAS</t>
  </si>
  <si>
    <t>FV-3140UT-14 VALVULAS GUILHOTINAS</t>
  </si>
  <si>
    <t>VU-101-0002</t>
  </si>
  <si>
    <t>VU-101-0004</t>
  </si>
  <si>
    <t>FV-3140UT-15 VALVULAS GUILHOTINAS</t>
  </si>
  <si>
    <t>VU-101-0006</t>
  </si>
  <si>
    <t>FV-3140UT-16 VALVULAS GUILHOTINAS</t>
  </si>
  <si>
    <t>VU-101-0008</t>
  </si>
  <si>
    <t>FV-3140UT-17 VALVULAS GUILHOTINAS</t>
  </si>
  <si>
    <t>VU-101-0010</t>
  </si>
  <si>
    <t>FV-3140UT-18 VALVULAS GUILHOTINAS</t>
  </si>
  <si>
    <t>VU-101-0012</t>
  </si>
  <si>
    <t>FV-3140UT-19 VALVULAS GUILHOTINAS</t>
  </si>
  <si>
    <t>VU-101-0014</t>
  </si>
  <si>
    <t>FV-3140UT-20 VALVULAS GUILHOTINAS</t>
  </si>
  <si>
    <t>VU-101-0016</t>
  </si>
  <si>
    <t>FV-3140UT-21 VALVULAS GUILHOTINAS</t>
  </si>
  <si>
    <t>VU-101-0018</t>
  </si>
  <si>
    <t>FV-3140UT-22 VALVULAS GUILHOTINAS</t>
  </si>
  <si>
    <t>VU-101-0020</t>
  </si>
  <si>
    <t>FV-3140UT-23 VALVULAS GUILHOTINAS</t>
  </si>
  <si>
    <t>VU-101-0022</t>
  </si>
  <si>
    <t>FV-3140UT-24 VALVULAS GUILHOTINAS</t>
  </si>
  <si>
    <t>VU-101-0024</t>
  </si>
  <si>
    <t>EE-3140UT-02 VIBRADOR DE VAGÃO</t>
  </si>
  <si>
    <t>VB-101-0002</t>
  </si>
  <si>
    <t>EE-3140UT-04 VIBRADOR DE VAGÃO</t>
  </si>
  <si>
    <t>VB-101-0004</t>
  </si>
  <si>
    <t>EE-3140UT-06 VIBRADOR DE VAGÃO</t>
  </si>
  <si>
    <t>VB-101-0006</t>
  </si>
  <si>
    <t>EE-3140UT-08 VIBRADOR DE VAGÃO</t>
  </si>
  <si>
    <t>VB-101-0008</t>
  </si>
  <si>
    <t>REDUTOR LOCAL UT-3340-VV02</t>
  </si>
  <si>
    <t>RE-101-0149</t>
  </si>
  <si>
    <t>REDUTOR LOCAL UT-3340-VV04</t>
  </si>
  <si>
    <t>RE-101-0150</t>
  </si>
  <si>
    <t>REDUTOR LOCAL UT-3340-VV06</t>
  </si>
  <si>
    <t>RE-101-0151</t>
  </si>
  <si>
    <t>REDUTOR LOCAL UT-3340-VV08</t>
  </si>
  <si>
    <t>RE-101-0152</t>
  </si>
  <si>
    <t>MANCAL TR-3140UT-02</t>
  </si>
  <si>
    <t>TR-3140-UT04</t>
  </si>
  <si>
    <t>VAZADORES CORREIA TRANSPORTADORA</t>
  </si>
  <si>
    <t>DESVIO DE FLUXO CORREIA TRANSPORTADORA</t>
  </si>
  <si>
    <t>RESERVATÓRIO DE ÓLEO 1 UT-3250-TR43-TRIP</t>
  </si>
  <si>
    <t>RESERVATÓRIO DE ÓLEO 2 UT-3250-TR43-TRIP</t>
  </si>
  <si>
    <t>RESERVATÓRIO DE ÓLEO 3 UT-3250-TR43-TRIP</t>
  </si>
  <si>
    <t>RESERVATÓRIO DE ÓLEO 4 UT-3250-TR43-TRIP</t>
  </si>
  <si>
    <t>RESERVATÓRIO DE ÓLEO 1 UT-3250-TR56-TRIP</t>
  </si>
  <si>
    <t>RESERVATÓRIO DE ÓLEO 2 UT-3250-TR56-TRIP</t>
  </si>
  <si>
    <t>RESERVATÓRIO DE ÓLEO 3 UT-3250-TR56-TRIP</t>
  </si>
  <si>
    <t>RESERVATÓRIO DE ÓLEO 4 UT-3250-TR56-TRIP</t>
  </si>
  <si>
    <t>RESERVATÓRIO DE ÓLEO 4 UT-3250-TR44-TRIP</t>
  </si>
  <si>
    <t>RESERVATÓRIO DE ÓLEO 1 UT-3250-TR44-TRIP</t>
  </si>
  <si>
    <t>RESERVATÓRIO DE ÓLEO 2 UT-3250-TR44-TRIP</t>
  </si>
  <si>
    <t>RESERVATÓRIO DE ÓLEO 3 UT-3250-TR44-TRIP</t>
  </si>
  <si>
    <t>RESERVATÓRIO DE ÓLEO 1 UT-3250-TR57-TRIP</t>
  </si>
  <si>
    <t>RESERVATÓRIO DE ÓLEO 2 UT-3250-TR57-TRIP</t>
  </si>
  <si>
    <t>RESERVATÓRIO DE ÓLEO 3 UT-3250-TR57-TRIP</t>
  </si>
  <si>
    <t>RESERVATÓRIO DE ÓLEO 4 UT-3250-TR57-TRIP</t>
  </si>
  <si>
    <t>RESERVATÓRIO DE ÓLEO 1 UT-3250-TR05-TRIP</t>
  </si>
  <si>
    <t>RESERVATÓRIO DE ÓLEO 2 UT-3250-TR05-TRIP</t>
  </si>
  <si>
    <t>RESERVATÓRIO DE ÓLEO 3 UT-3250-TR05-TRIP</t>
  </si>
  <si>
    <t>RESERVATÓRIO DE ÓLEO 4 UT-3250-TR05-TRIP</t>
  </si>
  <si>
    <t>60g</t>
  </si>
  <si>
    <t>80g</t>
  </si>
  <si>
    <t>110g</t>
  </si>
  <si>
    <t>ROLDANAS CONTRA PESO (CORREIA TRANSPORTADORA)</t>
  </si>
  <si>
    <t>CREMALHEIRA</t>
  </si>
  <si>
    <t>MOTOR DE GIRO DA LANÇA 1 LADO TERRA</t>
  </si>
  <si>
    <t>MOTOR DE GIRO DA LANÇA 2 LADO TERRA</t>
  </si>
  <si>
    <t>54g</t>
  </si>
  <si>
    <t>MANCAL TPR CN-01 LADO MAR 1</t>
  </si>
  <si>
    <t>MANCAL TPR CN-01 LADO MAR 2</t>
  </si>
  <si>
    <t>MANCAL TPR CN-01 LADO MAR 3</t>
  </si>
  <si>
    <t>MANCAL TPR CN-01 LADO MAR 4</t>
  </si>
  <si>
    <t>MANCAL TPR CN-01 LADO TERRA 1</t>
  </si>
  <si>
    <t>MANCAL TPR CN-01 LADO TERRA 2</t>
  </si>
  <si>
    <t>MANCAL TPR CN-01 LADO TERRA 3</t>
  </si>
  <si>
    <t>MANCAL TPR CN-01 LADO TERRA 4</t>
  </si>
  <si>
    <t>36g</t>
  </si>
  <si>
    <t xml:space="preserve">GUINCHO DA LANÇA </t>
  </si>
  <si>
    <t>ROLDANA DA TROMBA</t>
  </si>
  <si>
    <t>96g</t>
  </si>
  <si>
    <t>MOTOR DE GIRO DA LANÇA 3 LADO MAR</t>
  </si>
  <si>
    <t>MOTOR DE GIRO DA LANÇA 4 LADO MAR</t>
  </si>
  <si>
    <t>ME-101-0314</t>
  </si>
  <si>
    <t>ME-101-0248</t>
  </si>
  <si>
    <t>ME-101-0249</t>
  </si>
  <si>
    <t>ME-101-0250</t>
  </si>
  <si>
    <t>ME-101-0251</t>
  </si>
  <si>
    <t>ME-101-0315</t>
  </si>
  <si>
    <t xml:space="preserve">  FILTRO DE MANGA 1 MOEGA DN-02</t>
  </si>
  <si>
    <t xml:space="preserve">  FILTRO DE MANGA 2 MOEGA DN-03</t>
  </si>
  <si>
    <t>18g</t>
  </si>
  <si>
    <t>MANCAL DO FILTRO DE MANGA 1 DN-02</t>
  </si>
  <si>
    <t>MANCAL DO FILTRO DE MANGA 2 DN-02</t>
  </si>
  <si>
    <t>PLACA DE FINOS DN-02</t>
  </si>
  <si>
    <t>48g</t>
  </si>
  <si>
    <t>PISTÃO INFERIOR 1 MOEGA DN-02</t>
  </si>
  <si>
    <t>PISTÃO SUPERIOR 1 MOEGA DN-02</t>
  </si>
  <si>
    <t>PISTÃO INFERIOR 2 MOEGA DN-02</t>
  </si>
  <si>
    <t>PISTÃO SUPERIOR 2 MOEGA DN-02</t>
  </si>
  <si>
    <t>CABINE OPERADOR</t>
  </si>
  <si>
    <t>72g</t>
  </si>
  <si>
    <t>CARRO PRINCIPAL</t>
  </si>
  <si>
    <t>288g</t>
  </si>
  <si>
    <t xml:space="preserve">CARRO AUXILIAR 1 </t>
  </si>
  <si>
    <t>CARRO AUXILIAR 2</t>
  </si>
  <si>
    <t>216g</t>
  </si>
  <si>
    <t>ARTICULAÇÃO DA LANÇA</t>
  </si>
  <si>
    <t>144g</t>
  </si>
  <si>
    <t>12g</t>
  </si>
  <si>
    <t>HM 10</t>
  </si>
  <si>
    <t>BALANÇA BATELADA (MANCAL) 1 TR-11</t>
  </si>
  <si>
    <t>BALANÇA BATELADA (MANCAL) 2 TR-11</t>
  </si>
  <si>
    <t>BALANÇA BATELADA (MANCAL) 3 TR-11</t>
  </si>
  <si>
    <t>BALANÇA BATELADA (MANCAL) 4 TR-11</t>
  </si>
  <si>
    <t>BALANÇA BATELADA CILINDRO DE AR TR-11</t>
  </si>
  <si>
    <t>BALANÇA BATELADA (MANCAL) 1 TR-12</t>
  </si>
  <si>
    <t>BALANÇA BATELADA (MANCAL) 2 TR-12</t>
  </si>
  <si>
    <t>BALANÇA BATELADA (MANCAL) 3 TR-12</t>
  </si>
  <si>
    <t>BALANÇA BATELADA (MANCAL) 4 TR-12</t>
  </si>
  <si>
    <t>BALANÇA BATELADA CILINDRO DE AR TR-12</t>
  </si>
  <si>
    <t>BX-101-0014</t>
  </si>
  <si>
    <t>BX-101-0010</t>
  </si>
  <si>
    <t>UT-3240-AR13</t>
  </si>
  <si>
    <t>ARMAZÉM FERTILZANTES 1</t>
  </si>
  <si>
    <t>FILTRO F-8714 A</t>
  </si>
  <si>
    <t>FILTRO F-8714 B</t>
  </si>
  <si>
    <t>FILTRO F-8713</t>
  </si>
  <si>
    <t>FI-101-0041</t>
  </si>
  <si>
    <t>FI-101-0042</t>
  </si>
  <si>
    <t>FI-101-0538</t>
  </si>
  <si>
    <t>MOTOR FILTRO F-8714 A</t>
  </si>
  <si>
    <t>MOTOR FILTRO F-8714 B</t>
  </si>
  <si>
    <t>MOTOR FILTRO F-8713</t>
  </si>
  <si>
    <t>ME-101-0023</t>
  </si>
  <si>
    <t>ME-101-0024</t>
  </si>
  <si>
    <t>SINO GUIA CABO R910</t>
  </si>
  <si>
    <t>PISTÃO PLACA DE FINOS 1</t>
  </si>
  <si>
    <t>PISTÃO PLACA DE FINOS 2</t>
  </si>
  <si>
    <t>PISTÃO INFERIOR 1 MOEGA DN-01</t>
  </si>
  <si>
    <t>PISTÃO INFERIOR 2 MOEGA DN-01</t>
  </si>
  <si>
    <t>FLAP ASPERÇÃO 1 MOEGA DN-01</t>
  </si>
  <si>
    <t>FLAP ASPERÇÃO 2 MOEGA DN-01</t>
  </si>
  <si>
    <t xml:space="preserve">FILTRO 8753 A DN-01 </t>
  </si>
  <si>
    <t>FILTRO 8753 B DN-01</t>
  </si>
  <si>
    <t>ROLDANAS CARRO PRINCIPAL</t>
  </si>
  <si>
    <t>108g</t>
  </si>
  <si>
    <t>RODAS GUIAS CARRO PRINCIPAL</t>
  </si>
  <si>
    <t>CARRO AUXILIAR</t>
  </si>
  <si>
    <t>ROLDANAS CARRO AUXILIAR</t>
  </si>
  <si>
    <t>RODAS GUIAS CARRO AUXILIAR</t>
  </si>
  <si>
    <t>ROLDANAS PORTAL</t>
  </si>
  <si>
    <t>180g</t>
  </si>
  <si>
    <t>ROLDANA DA LANÇA</t>
  </si>
  <si>
    <t>ROLDANA CONTRA PESO</t>
  </si>
  <si>
    <t>DROMO 1</t>
  </si>
  <si>
    <t>DROMO 2</t>
  </si>
  <si>
    <t>DROMO 3</t>
  </si>
  <si>
    <t>DROMO 4</t>
  </si>
  <si>
    <t>120g</t>
  </si>
  <si>
    <t>FREIO DO DISCO</t>
  </si>
  <si>
    <t>VÁLVULA BV 400</t>
  </si>
  <si>
    <t>UNIDADE HIDRÁULICA D-8708</t>
  </si>
  <si>
    <t>200ml</t>
  </si>
  <si>
    <t>01</t>
  </si>
  <si>
    <t>03</t>
  </si>
  <si>
    <t>04</t>
  </si>
  <si>
    <t>05</t>
  </si>
  <si>
    <t>06</t>
  </si>
  <si>
    <t>07</t>
  </si>
  <si>
    <t>08</t>
  </si>
  <si>
    <t>02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</si>
  <si>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</si>
  <si>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</si>
  <si>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</si>
  <si>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</si>
  <si>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</si>
  <si>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</si>
  <si>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</si>
  <si>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</si>
  <si>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</si>
  <si>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</si>
  <si>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</si>
  <si>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</si>
  <si>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</si>
  <si>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</si>
  <si>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</si>
  <si>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</si>
  <si>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</si>
  <si>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</si>
  <si>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N°  Pontro de Coleta</t>
  </si>
  <si>
    <t>Purga Volume</t>
  </si>
  <si>
    <t>Possui mine mess?</t>
  </si>
  <si>
    <t>10ml</t>
  </si>
  <si>
    <t>10 Ml</t>
  </si>
  <si>
    <t>PONTO DE COLETA N°</t>
  </si>
  <si>
    <t>PONTO DE COLETA</t>
  </si>
  <si>
    <t>PRIMÁRIO</t>
  </si>
  <si>
    <t>Equipamentos com minemess</t>
  </si>
  <si>
    <t>Equipamentos sem minemess</t>
  </si>
  <si>
    <t xml:space="preserve">Total </t>
  </si>
  <si>
    <t>REDUTOR RM 220</t>
  </si>
  <si>
    <t>REDUTOR RS 460</t>
  </si>
  <si>
    <t>HIDRODONÂMICO HM 32</t>
  </si>
  <si>
    <t>HL-8752 B</t>
  </si>
  <si>
    <t>HL-8752 A</t>
  </si>
  <si>
    <t>total</t>
  </si>
  <si>
    <t>litros</t>
  </si>
  <si>
    <t>60/45g</t>
  </si>
  <si>
    <t>Nº01</t>
  </si>
  <si>
    <t>Nº02</t>
  </si>
  <si>
    <t>10 ml</t>
  </si>
  <si>
    <t>TR-3140UT-03-RE01</t>
  </si>
  <si>
    <t>TR-3140UT-03-RE02</t>
  </si>
  <si>
    <t>Nº03</t>
  </si>
  <si>
    <t>Nº04</t>
  </si>
  <si>
    <t>100ml</t>
  </si>
  <si>
    <t>TR-3140UT-04-RE01</t>
  </si>
  <si>
    <t>TR-3140UT-04-RE02</t>
  </si>
  <si>
    <t>Nº05</t>
  </si>
  <si>
    <t>Nº06</t>
  </si>
  <si>
    <t>Nº07</t>
  </si>
  <si>
    <t>Nº08</t>
  </si>
  <si>
    <t>Nº09</t>
  </si>
  <si>
    <t>Nº10</t>
  </si>
  <si>
    <t>Nº11</t>
  </si>
  <si>
    <t>Nº12</t>
  </si>
  <si>
    <t>Nº13</t>
  </si>
  <si>
    <t>Nº178</t>
  </si>
  <si>
    <t>85 Litros</t>
  </si>
  <si>
    <t>70°</t>
  </si>
  <si>
    <t>Nº14</t>
  </si>
  <si>
    <t>Nº37</t>
  </si>
  <si>
    <t>Nº15</t>
  </si>
  <si>
    <t>Nº16</t>
  </si>
  <si>
    <t>Nº17</t>
  </si>
  <si>
    <t>Nº18</t>
  </si>
  <si>
    <t>Nº19</t>
  </si>
  <si>
    <t>Nº20</t>
  </si>
  <si>
    <t>Nº21</t>
  </si>
  <si>
    <t>Nº22</t>
  </si>
  <si>
    <t>Nº23</t>
  </si>
  <si>
    <t>Nº24</t>
  </si>
  <si>
    <t>TR-3340UT-11-M1</t>
  </si>
  <si>
    <t>TR-3340UT-11-M2</t>
  </si>
  <si>
    <t>Nº33</t>
  </si>
  <si>
    <t>Nº34</t>
  </si>
  <si>
    <t>TR-3340UT-12-M1</t>
  </si>
  <si>
    <t>TR-3340UT-12-M2</t>
  </si>
  <si>
    <t>Nº35</t>
  </si>
  <si>
    <t>Nº36</t>
  </si>
  <si>
    <t>Nº25</t>
  </si>
  <si>
    <t>Nº26</t>
  </si>
  <si>
    <t xml:space="preserve">64 Litros </t>
  </si>
  <si>
    <t xml:space="preserve"> 67°</t>
  </si>
  <si>
    <t xml:space="preserve"> 60°</t>
  </si>
  <si>
    <t>Nº38</t>
  </si>
  <si>
    <t>Nº124</t>
  </si>
  <si>
    <t>Nº27</t>
  </si>
  <si>
    <t>Nº28</t>
  </si>
  <si>
    <t>TR-3330UT-02-M1</t>
  </si>
  <si>
    <t>TR-3330UT-02-M2</t>
  </si>
  <si>
    <t>Nº29</t>
  </si>
  <si>
    <t>Nº30</t>
  </si>
  <si>
    <t>Nº31</t>
  </si>
  <si>
    <t>Nº32</t>
  </si>
  <si>
    <t>CN-3340UT-01-RS1</t>
  </si>
  <si>
    <t>CN-3340UT-01-RS2</t>
  </si>
  <si>
    <t>Nº39</t>
  </si>
  <si>
    <t>Nº40</t>
  </si>
  <si>
    <t>CN-3340UT-01-RS3</t>
  </si>
  <si>
    <t>CN-3340UT-01-RS4</t>
  </si>
  <si>
    <t>Nº41</t>
  </si>
  <si>
    <t>Nº42</t>
  </si>
  <si>
    <t>CN-3340UT-01-RS5</t>
  </si>
  <si>
    <t>CN-3340UT-01-RS6</t>
  </si>
  <si>
    <t>Nº43</t>
  </si>
  <si>
    <t>Nº44</t>
  </si>
  <si>
    <t>CN-3340UT-01-RS7</t>
  </si>
  <si>
    <t>CN-3340UT-01-RS8</t>
  </si>
  <si>
    <t>Nº45</t>
  </si>
  <si>
    <t>Nº46</t>
  </si>
  <si>
    <t>CN-3340UT-01-RS9</t>
  </si>
  <si>
    <t>CN-3340UT-01-RS10</t>
  </si>
  <si>
    <t>Nº47</t>
  </si>
  <si>
    <t>Nº48</t>
  </si>
  <si>
    <t>CN-3340UT-01-RS11</t>
  </si>
  <si>
    <t>CN-3340UT-01-RS12</t>
  </si>
  <si>
    <t>Nº49</t>
  </si>
  <si>
    <t>Nº50</t>
  </si>
  <si>
    <t>CN-3340UT-01-RS13</t>
  </si>
  <si>
    <t>CN-3340UT-01-RS14</t>
  </si>
  <si>
    <t>Nº51</t>
  </si>
  <si>
    <t>Nº52</t>
  </si>
  <si>
    <t>CN-3340UT-01-RS15</t>
  </si>
  <si>
    <t>CN-3340UT-01-RS16</t>
  </si>
  <si>
    <t>Nº53</t>
  </si>
  <si>
    <t>Nº54</t>
  </si>
  <si>
    <t>CN-3340UT-01-RS17</t>
  </si>
  <si>
    <t>CN-3340UT-01-RS18</t>
  </si>
  <si>
    <t>Nº55</t>
  </si>
  <si>
    <t>Nº56</t>
  </si>
  <si>
    <t>CN-3340UT-01-RI</t>
  </si>
  <si>
    <t>CN-3340UT-01-RL</t>
  </si>
  <si>
    <t>55°</t>
  </si>
  <si>
    <t>57°</t>
  </si>
  <si>
    <t>Nº57</t>
  </si>
  <si>
    <t>Nº58</t>
  </si>
  <si>
    <t>CN-3340UT-01-EC</t>
  </si>
  <si>
    <t>CN-3340UT-01-RG1</t>
  </si>
  <si>
    <t>21 Litros</t>
  </si>
  <si>
    <t>40 Litros</t>
  </si>
  <si>
    <t>Nº59</t>
  </si>
  <si>
    <t>Nº60</t>
  </si>
  <si>
    <t>CN-3340UT-01-RG2</t>
  </si>
  <si>
    <t>CN-3340UT-01-RG3</t>
  </si>
  <si>
    <t>Nº61</t>
  </si>
  <si>
    <t>Nº62</t>
  </si>
  <si>
    <t>CN-3340UT-01-RG4</t>
  </si>
  <si>
    <t>CN-3340UT-01-RE</t>
  </si>
  <si>
    <t>54°</t>
  </si>
  <si>
    <t>60,48°</t>
  </si>
  <si>
    <t>Nº63</t>
  </si>
  <si>
    <t>Nº64</t>
  </si>
  <si>
    <t>CN-3340UT-01-HF</t>
  </si>
  <si>
    <t>45 Litros</t>
  </si>
  <si>
    <t>Nº65</t>
  </si>
  <si>
    <t>CN-3340UT-02-RS1</t>
  </si>
  <si>
    <t>CN-3340UT-02-RS2</t>
  </si>
  <si>
    <t>Nº66</t>
  </si>
  <si>
    <t>Nº67</t>
  </si>
  <si>
    <t>CN-3340UT-02-RS3</t>
  </si>
  <si>
    <t>CN-3340UT-02-RS4</t>
  </si>
  <si>
    <t>Nº68</t>
  </si>
  <si>
    <t>Nº69</t>
  </si>
  <si>
    <t>CN-3340UT-02-RS5</t>
  </si>
  <si>
    <t>CN-3340UT-02-RS6</t>
  </si>
  <si>
    <t>Nº70</t>
  </si>
  <si>
    <t>Nº71</t>
  </si>
  <si>
    <t>CN-3340UT-02-RS7</t>
  </si>
  <si>
    <t>CN-3340UT-02-RS8</t>
  </si>
  <si>
    <t>Nº72</t>
  </si>
  <si>
    <t>Nº73</t>
  </si>
  <si>
    <t>CN-3340UT-02-RS9</t>
  </si>
  <si>
    <t>CN-3340UT-02-RS10</t>
  </si>
  <si>
    <t>Nº74</t>
  </si>
  <si>
    <t>Nº75</t>
  </si>
  <si>
    <t>CN-3340UT-02-RS11</t>
  </si>
  <si>
    <t>CN-3340UT-02-RS12</t>
  </si>
  <si>
    <t>Nº76</t>
  </si>
  <si>
    <t>Nº77</t>
  </si>
  <si>
    <t>CN-3340UT-02-RS13</t>
  </si>
  <si>
    <t>CN-3340UT-02-RS14</t>
  </si>
  <si>
    <t>Nº78</t>
  </si>
  <si>
    <t>Nº79</t>
  </si>
  <si>
    <t>CN-3340UT-02-RS15</t>
  </si>
  <si>
    <t>CN-3340UT-02-RS16</t>
  </si>
  <si>
    <t>Nº80</t>
  </si>
  <si>
    <t>Nº81</t>
  </si>
  <si>
    <t>CN-3340UT-02-RS17</t>
  </si>
  <si>
    <t>CN-3340UT-02-RS18</t>
  </si>
  <si>
    <t>Nº82</t>
  </si>
  <si>
    <t>Nº83</t>
  </si>
  <si>
    <t>CN-3340UT-02-RI</t>
  </si>
  <si>
    <t>CN-3340UT-02-RL</t>
  </si>
  <si>
    <t>58°</t>
  </si>
  <si>
    <t>56°</t>
  </si>
  <si>
    <t>62,72°</t>
  </si>
  <si>
    <t>Nº122</t>
  </si>
  <si>
    <t>Nº123</t>
  </si>
  <si>
    <t>CN-3340UT-02-EC</t>
  </si>
  <si>
    <t>CN-3340UT-02-RG1</t>
  </si>
  <si>
    <t>Nº88</t>
  </si>
  <si>
    <t>Nº84</t>
  </si>
  <si>
    <t>CN-3340UT-02-RG2</t>
  </si>
  <si>
    <t>CN-3340UT-02-RG3</t>
  </si>
  <si>
    <t>Nº85</t>
  </si>
  <si>
    <t>Nº86</t>
  </si>
  <si>
    <t>CN-3340UT-012RG4</t>
  </si>
  <si>
    <t>CN-3340UT-02-RE</t>
  </si>
  <si>
    <t>Nº87</t>
  </si>
  <si>
    <t>Nº89</t>
  </si>
  <si>
    <t>CN-3340UT-02-HF</t>
  </si>
  <si>
    <t>Nº90</t>
  </si>
  <si>
    <t>DN-3330UT-02-T1</t>
  </si>
  <si>
    <t>DN-3330UT-02-T2</t>
  </si>
  <si>
    <t>DN-8701-M1</t>
  </si>
  <si>
    <t>DN-8701-T4</t>
  </si>
  <si>
    <t>Nº91</t>
  </si>
  <si>
    <t>Nº92</t>
  </si>
  <si>
    <t>Nº151</t>
  </si>
  <si>
    <t>Nº168</t>
  </si>
  <si>
    <t>DN-3330UT-02-T3</t>
  </si>
  <si>
    <t>DN-3330UT-02-T4</t>
  </si>
  <si>
    <t>DN-8701-M2</t>
  </si>
  <si>
    <t>DN-8701-T5</t>
  </si>
  <si>
    <t>Nº93</t>
  </si>
  <si>
    <t>Nº94</t>
  </si>
  <si>
    <t>Nº152</t>
  </si>
  <si>
    <t>Nº169</t>
  </si>
  <si>
    <t>DN-3330UT-02-T5</t>
  </si>
  <si>
    <t>DN-3330UT-02-T6</t>
  </si>
  <si>
    <t>DN-8701-M3</t>
  </si>
  <si>
    <t>DN-8701-T6</t>
  </si>
  <si>
    <t>Nº95</t>
  </si>
  <si>
    <t>Nº96</t>
  </si>
  <si>
    <t>Nº153</t>
  </si>
  <si>
    <t>Nº170</t>
  </si>
  <si>
    <t>DN-3330UT-02-T7</t>
  </si>
  <si>
    <t>DN-3330UT-02-T8</t>
  </si>
  <si>
    <t>DN-8701-M4</t>
  </si>
  <si>
    <t>DN-8701-T7</t>
  </si>
  <si>
    <t>Nº97</t>
  </si>
  <si>
    <t>Nº98</t>
  </si>
  <si>
    <t>Nº154</t>
  </si>
  <si>
    <t>Nº171</t>
  </si>
  <si>
    <t>DN-3330UT-02-T9</t>
  </si>
  <si>
    <t>DN-3330UT-02-T10</t>
  </si>
  <si>
    <t>DN-8701-M5</t>
  </si>
  <si>
    <t>DN-8701-T8</t>
  </si>
  <si>
    <t>Nº99</t>
  </si>
  <si>
    <t>Nº100</t>
  </si>
  <si>
    <t>Nº155</t>
  </si>
  <si>
    <t>Nº172</t>
  </si>
  <si>
    <t>DN-3330UT-02-T11</t>
  </si>
  <si>
    <t>DN-3330UT-02-T12</t>
  </si>
  <si>
    <t>DN-8701-M6</t>
  </si>
  <si>
    <t>DN-8701-T9</t>
  </si>
  <si>
    <t>Nº101</t>
  </si>
  <si>
    <t>Nº102</t>
  </si>
  <si>
    <t>Nº156</t>
  </si>
  <si>
    <t>Nº173</t>
  </si>
  <si>
    <t>DN-3330UT-02-M1</t>
  </si>
  <si>
    <t>DN-3330UT-02-M2</t>
  </si>
  <si>
    <t>DN-8701-M7</t>
  </si>
  <si>
    <t>DN-8701-T10</t>
  </si>
  <si>
    <t>Nº103</t>
  </si>
  <si>
    <t>Nº104</t>
  </si>
  <si>
    <t>Nº157</t>
  </si>
  <si>
    <t>Nº174</t>
  </si>
  <si>
    <t>DN-3330UT-02-M3</t>
  </si>
  <si>
    <t>DN-3330UT-02-M4</t>
  </si>
  <si>
    <t>DN-8701-M8</t>
  </si>
  <si>
    <t>DN-8701-TL</t>
  </si>
  <si>
    <t>Nº105</t>
  </si>
  <si>
    <t>Nº106</t>
  </si>
  <si>
    <t>Nº158</t>
  </si>
  <si>
    <t>Nº175</t>
  </si>
  <si>
    <t>DN-3330UT-02-M5</t>
  </si>
  <si>
    <t>DN-3330UT-02-M6</t>
  </si>
  <si>
    <t>DN-8701-M9</t>
  </si>
  <si>
    <t>DN-8701-PF</t>
  </si>
  <si>
    <t>Nº107</t>
  </si>
  <si>
    <t>Nº108</t>
  </si>
  <si>
    <t>Nº159</t>
  </si>
  <si>
    <t>Nº176</t>
  </si>
  <si>
    <t>DN-3330UT-02-M7</t>
  </si>
  <si>
    <t>DN-3330UT-02-M8</t>
  </si>
  <si>
    <t>DN-8701-M10</t>
  </si>
  <si>
    <t>DN-8701-EL</t>
  </si>
  <si>
    <t xml:space="preserve"> </t>
  </si>
  <si>
    <t>Nº109</t>
  </si>
  <si>
    <t>Nº110</t>
  </si>
  <si>
    <t>Nº160</t>
  </si>
  <si>
    <t>Nº177</t>
  </si>
  <si>
    <t>DN-3330UT-02-M9</t>
  </si>
  <si>
    <t>DN-3330UT-02-M10</t>
  </si>
  <si>
    <t>DN-8701-M11</t>
  </si>
  <si>
    <t>57°C</t>
  </si>
  <si>
    <t>Nº111</t>
  </si>
  <si>
    <t>Nº112</t>
  </si>
  <si>
    <t>Nº161</t>
  </si>
  <si>
    <t>Nº145</t>
  </si>
  <si>
    <t>DN-3330UT-02-M11</t>
  </si>
  <si>
    <t>DN-3330UT-02M12</t>
  </si>
  <si>
    <t>DN-8701-M12</t>
  </si>
  <si>
    <t>58°C</t>
  </si>
  <si>
    <t>64,96°C</t>
  </si>
  <si>
    <t>Nº113</t>
  </si>
  <si>
    <t>Nº114</t>
  </si>
  <si>
    <t>Nº162</t>
  </si>
  <si>
    <t>Nº146</t>
  </si>
  <si>
    <t>DN-3330UT-02-EC</t>
  </si>
  <si>
    <t>DN-3330UT-02-RA</t>
  </si>
  <si>
    <t>DN-8701-M13</t>
  </si>
  <si>
    <t>21Litros</t>
  </si>
  <si>
    <t>68Litros</t>
  </si>
  <si>
    <t>66°C</t>
  </si>
  <si>
    <t>65°C</t>
  </si>
  <si>
    <t>78,2°C</t>
  </si>
  <si>
    <t>Nº115</t>
  </si>
  <si>
    <t>Nº116</t>
  </si>
  <si>
    <t>Nº164</t>
  </si>
  <si>
    <t>Nº147</t>
  </si>
  <si>
    <t>X</t>
  </si>
  <si>
    <t>DN-3330UT-02-CP</t>
  </si>
  <si>
    <t>DN-8701-T1</t>
  </si>
  <si>
    <t>72°C</t>
  </si>
  <si>
    <t>69°C</t>
  </si>
  <si>
    <t>63°C</t>
  </si>
  <si>
    <t>80,64°C</t>
  </si>
  <si>
    <t>77,28°C</t>
  </si>
  <si>
    <t>70,56°C</t>
  </si>
  <si>
    <t>Nº117</t>
  </si>
  <si>
    <t>Nº118</t>
  </si>
  <si>
    <t>Nº165</t>
  </si>
  <si>
    <t>Nº148</t>
  </si>
  <si>
    <t>DN-3330UT-02-REL</t>
  </si>
  <si>
    <t>DN-3330UT-02-HGT</t>
  </si>
  <si>
    <t>DN-8701-T2</t>
  </si>
  <si>
    <t>64°C</t>
  </si>
  <si>
    <t>71,68°C</t>
  </si>
  <si>
    <t>73,92°C</t>
  </si>
  <si>
    <t>Nº119</t>
  </si>
  <si>
    <t>Nº120</t>
  </si>
  <si>
    <t>Nº166</t>
  </si>
  <si>
    <t>Nº149</t>
  </si>
  <si>
    <t>30ml</t>
  </si>
  <si>
    <t>DN-3330UT-02-HF</t>
  </si>
  <si>
    <t>DN-8701-T3</t>
  </si>
  <si>
    <t>68°C</t>
  </si>
  <si>
    <t>72,8°C</t>
  </si>
  <si>
    <t>76,16°C</t>
  </si>
  <si>
    <t>Nº121</t>
  </si>
  <si>
    <t>Nº126</t>
  </si>
  <si>
    <t>Nº167</t>
  </si>
  <si>
    <t>Nº150</t>
  </si>
  <si>
    <t>CR-8710-EC</t>
  </si>
  <si>
    <t>61°C</t>
  </si>
  <si>
    <t>68,32°C</t>
  </si>
  <si>
    <t>Nº127</t>
  </si>
  <si>
    <t>Nº128</t>
  </si>
  <si>
    <t>Nº129</t>
  </si>
  <si>
    <t>Nº130</t>
  </si>
  <si>
    <t>71°C</t>
  </si>
  <si>
    <t>79,52°C</t>
  </si>
  <si>
    <t>Nº144</t>
  </si>
  <si>
    <t>Nº131</t>
  </si>
  <si>
    <t>CR-8713-RL</t>
  </si>
  <si>
    <t>CR-8713-RT</t>
  </si>
  <si>
    <t>CR-8714-RT</t>
  </si>
  <si>
    <t>CR-8714-RL</t>
  </si>
  <si>
    <t>6 Litros</t>
  </si>
  <si>
    <t>10,8 Litros</t>
  </si>
  <si>
    <t>7,2 Litros</t>
  </si>
  <si>
    <t>Nº132</t>
  </si>
  <si>
    <t>Nº133</t>
  </si>
  <si>
    <t>Nº135</t>
  </si>
  <si>
    <t>Nº134</t>
  </si>
  <si>
    <t>CR-8715-RC</t>
  </si>
  <si>
    <t>7 Litros</t>
  </si>
  <si>
    <t>32 Litros</t>
  </si>
  <si>
    <t>Nº136</t>
  </si>
  <si>
    <t>Nº137</t>
  </si>
  <si>
    <t>Nº138</t>
  </si>
  <si>
    <t>Nº139</t>
  </si>
  <si>
    <t xml:space="preserve"> 10 ml </t>
  </si>
  <si>
    <t>Nº140</t>
  </si>
  <si>
    <t>Nº141</t>
  </si>
  <si>
    <t>Nº142</t>
  </si>
  <si>
    <t>Nº143</t>
  </si>
  <si>
    <t>CTPR-460-S-PAO</t>
  </si>
  <si>
    <t>CKD-220-M</t>
  </si>
  <si>
    <t>CKD-320-M</t>
  </si>
  <si>
    <t>HM-68-M</t>
  </si>
  <si>
    <t>CTPR-220-S-PAO-H1</t>
  </si>
  <si>
    <t>Ponto de Coleta Nº:</t>
  </si>
  <si>
    <t xml:space="preserve">VOLUME </t>
  </si>
  <si>
    <t xml:space="preserve">FREIO GARRA TRILHO LD MAR </t>
  </si>
  <si>
    <t>CN-3340UT-01 -FREIO GARRA TRILHO</t>
  </si>
  <si>
    <t>CN-3340UT-02 -FREIO GARRA TRILHO</t>
  </si>
  <si>
    <t>AL-3130UT-02</t>
  </si>
  <si>
    <t>AL-3130UT-03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</si>
</sst>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00"/>
    <numFmt numFmtId="165" formatCode="&quot;R$&quot;\ #,##0.0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sz val="10"/>
      <name val="Arial"/>
      <family val="2"/>
    </font>
    <font>
      <sz val="12"/>
      <name val="Arial Narrow"/>
      <family val="2"/>
    </font>
    <font>
      <b/>
      <sz val="12"/>
      <color theme="1"/>
      <name val="Arial Narrow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name val="Arial Narrow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Arial Narrow"/>
      <family val="2"/>
    </font>
    <font>
      <sz val="11"/>
      <color rgb="FF000000"/>
      <name val="Aptos Narrow"/>
      <family val="2"/>
    </font>
    <font>
      <b/>
      <sz val="14"/>
      <color theme="1"/>
      <name val="72 Black"/>
      <family val="2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A5E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B5F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B93E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4" fontId="8" fillId="0" borderId="0" applyFont="0" applyFill="0" applyBorder="0" applyAlignment="0" applyProtection="0"/>
  </cellStyleXfs>
  <cellXfs count="233">
    <xf numFmtId="0" fontId="0" fillId="0" borderId="0" xfId="0"/>
    <xf numFmtId="0" fontId="0" fillId="0" borderId="1" xfId="0" applyBorder="1"/>
    <xf numFmtId="0" fontId="4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2" xfId="0" applyBorder="1"/>
    <xf numFmtId="0" fontId="1" fillId="0" borderId="2" xfId="0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44" fontId="4" fillId="0" borderId="1" xfId="1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0" fillId="0" borderId="3" xfId="0" applyBorder="1"/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9" xfId="0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3" borderId="9" xfId="1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/>
    <xf numFmtId="0" fontId="1" fillId="0" borderId="15" xfId="0" applyFont="1" applyBorder="1"/>
    <xf numFmtId="0" fontId="1" fillId="0" borderId="16" xfId="0" applyFont="1" applyBorder="1"/>
    <xf numFmtId="0" fontId="1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2" fillId="0" borderId="0" xfId="0" applyFont="1"/>
    <xf numFmtId="0" fontId="0" fillId="0" borderId="22" xfId="0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4" fillId="11" borderId="2" xfId="0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44" fontId="4" fillId="0" borderId="13" xfId="2" applyFont="1" applyBorder="1" applyAlignment="1">
      <alignment horizontal="center" vertical="center" wrapText="1"/>
    </xf>
    <xf numFmtId="44" fontId="4" fillId="0" borderId="9" xfId="1" applyNumberFormat="1" applyFont="1" applyBorder="1" applyAlignment="1">
      <alignment horizontal="center" vertical="center" wrapText="1"/>
    </xf>
    <xf numFmtId="0" fontId="0" fillId="0" borderId="13" xfId="0" applyBorder="1"/>
    <xf numFmtId="0" fontId="0" fillId="0" borderId="9" xfId="0" applyBorder="1"/>
    <xf numFmtId="0" fontId="4" fillId="4" borderId="13" xfId="1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/>
    </xf>
    <xf numFmtId="0" fontId="1" fillId="0" borderId="9" xfId="0" applyFont="1" applyBorder="1"/>
    <xf numFmtId="0" fontId="0" fillId="3" borderId="0" xfId="0" applyFill="1"/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4" fillId="0" borderId="3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13" fillId="13" borderId="32" xfId="0" applyFont="1" applyFill="1" applyBorder="1" applyAlignment="1">
      <alignment horizontal="center" vertical="center" wrapText="1"/>
    </xf>
    <xf numFmtId="0" fontId="13" fillId="13" borderId="29" xfId="0" applyFont="1" applyFill="1" applyBorder="1" applyAlignment="1">
      <alignment horizontal="center" vertical="center" wrapText="1"/>
    </xf>
    <xf numFmtId="0" fontId="13" fillId="13" borderId="3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1" xfId="0" applyNumberFormat="1" applyFont="1" applyBorder="1"/>
    <xf numFmtId="49" fontId="1" fillId="0" borderId="0" xfId="0" applyNumberFormat="1" applyFont="1"/>
    <xf numFmtId="49" fontId="5" fillId="0" borderId="1" xfId="0" applyNumberFormat="1" applyFont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4" fillId="14" borderId="14" xfId="1" applyFont="1" applyFill="1" applyBorder="1" applyAlignment="1">
      <alignment horizontal="center" vertical="center" wrapText="1"/>
    </xf>
    <xf numFmtId="0" fontId="4" fillId="3" borderId="14" xfId="1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/>
    </xf>
    <xf numFmtId="0" fontId="1" fillId="0" borderId="2" xfId="0" applyFont="1" applyBorder="1"/>
    <xf numFmtId="49" fontId="5" fillId="0" borderId="3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/>
    <xf numFmtId="49" fontId="4" fillId="0" borderId="1" xfId="1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 wrapText="1"/>
    </xf>
    <xf numFmtId="49" fontId="1" fillId="0" borderId="38" xfId="0" applyNumberFormat="1" applyFont="1" applyBorder="1"/>
    <xf numFmtId="0" fontId="0" fillId="0" borderId="39" xfId="0" applyBorder="1"/>
    <xf numFmtId="0" fontId="0" fillId="0" borderId="40" xfId="0" applyBorder="1"/>
    <xf numFmtId="0" fontId="0" fillId="0" borderId="16" xfId="0" applyBorder="1"/>
    <xf numFmtId="0" fontId="0" fillId="0" borderId="15" xfId="0" applyBorder="1"/>
    <xf numFmtId="0" fontId="0" fillId="0" borderId="44" xfId="0" applyBorder="1"/>
    <xf numFmtId="0" fontId="14" fillId="0" borderId="1" xfId="0" applyFont="1" applyBorder="1" applyAlignment="1">
      <alignment horizontal="center"/>
    </xf>
    <xf numFmtId="44" fontId="0" fillId="0" borderId="0" xfId="2" applyFont="1"/>
    <xf numFmtId="44" fontId="0" fillId="0" borderId="0" xfId="0" applyNumberFormat="1"/>
    <xf numFmtId="0" fontId="0" fillId="0" borderId="50" xfId="0" applyBorder="1"/>
    <xf numFmtId="0" fontId="0" fillId="0" borderId="1" xfId="0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11" fillId="10" borderId="2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4" xfId="0" applyFont="1" applyBorder="1"/>
    <xf numFmtId="0" fontId="0" fillId="0" borderId="51" xfId="0" applyBorder="1" applyAlignment="1">
      <alignment vertical="center"/>
    </xf>
    <xf numFmtId="0" fontId="15" fillId="0" borderId="52" xfId="0" applyFont="1" applyBorder="1" applyAlignment="1">
      <alignment horizontal="center" vertical="center"/>
    </xf>
    <xf numFmtId="164" fontId="15" fillId="0" borderId="52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0" fillId="0" borderId="0" xfId="0" applyNumberFormat="1"/>
    <xf numFmtId="0" fontId="0" fillId="0" borderId="41" xfId="0" applyBorder="1"/>
    <xf numFmtId="0" fontId="0" fillId="0" borderId="42" xfId="0" applyBorder="1"/>
    <xf numFmtId="0" fontId="0" fillId="0" borderId="53" xfId="0" applyBorder="1"/>
    <xf numFmtId="0" fontId="0" fillId="0" borderId="16" xfId="0" applyBorder="1" applyAlignment="1">
      <alignment vertical="center"/>
    </xf>
    <xf numFmtId="0" fontId="0" fillId="0" borderId="45" xfId="0" applyBorder="1"/>
    <xf numFmtId="0" fontId="0" fillId="0" borderId="46" xfId="0" applyBorder="1"/>
    <xf numFmtId="0" fontId="1" fillId="0" borderId="7" xfId="0" applyFont="1" applyBorder="1" applyAlignment="1">
      <alignment horizontal="center" vertical="center"/>
    </xf>
    <xf numFmtId="165" fontId="0" fillId="0" borderId="9" xfId="0" applyNumberFormat="1" applyBorder="1"/>
    <xf numFmtId="0" fontId="4" fillId="0" borderId="2" xfId="1" applyFont="1" applyBorder="1" applyAlignment="1">
      <alignment horizontal="center" vertical="center" wrapText="1"/>
    </xf>
    <xf numFmtId="0" fontId="1" fillId="0" borderId="38" xfId="0" applyFont="1" applyBorder="1"/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/>
    </xf>
    <xf numFmtId="0" fontId="4" fillId="0" borderId="60" xfId="1" applyFont="1" applyBorder="1" applyAlignment="1">
      <alignment horizontal="center" vertical="center" wrapText="1"/>
    </xf>
    <xf numFmtId="0" fontId="4" fillId="0" borderId="59" xfId="1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/>
    </xf>
    <xf numFmtId="0" fontId="4" fillId="3" borderId="60" xfId="1" applyFont="1" applyFill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 wrapText="1"/>
    </xf>
    <xf numFmtId="0" fontId="5" fillId="0" borderId="68" xfId="0" applyFont="1" applyBorder="1" applyAlignment="1">
      <alignment horizontal="center" vertical="center" wrapText="1"/>
    </xf>
    <xf numFmtId="165" fontId="4" fillId="0" borderId="68" xfId="1" applyNumberFormat="1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49" fontId="5" fillId="0" borderId="37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12" fillId="15" borderId="47" xfId="0" applyFont="1" applyFill="1" applyBorder="1" applyAlignment="1">
      <alignment horizontal="center" vertical="center"/>
    </xf>
    <xf numFmtId="0" fontId="12" fillId="15" borderId="48" xfId="0" applyFont="1" applyFill="1" applyBorder="1" applyAlignment="1">
      <alignment horizontal="center" vertical="center"/>
    </xf>
    <xf numFmtId="0" fontId="12" fillId="15" borderId="49" xfId="0" applyFont="1" applyFill="1" applyBorder="1" applyAlignment="1">
      <alignment horizontal="center" vertical="center"/>
    </xf>
    <xf numFmtId="0" fontId="12" fillId="15" borderId="47" xfId="0" applyFont="1" applyFill="1" applyBorder="1" applyAlignment="1">
      <alignment horizontal="center"/>
    </xf>
    <xf numFmtId="0" fontId="12" fillId="15" borderId="48" xfId="0" applyFont="1" applyFill="1" applyBorder="1" applyAlignment="1">
      <alignment horizontal="center"/>
    </xf>
    <xf numFmtId="0" fontId="12" fillId="15" borderId="49" xfId="0" applyFont="1" applyFill="1" applyBorder="1" applyAlignment="1">
      <alignment horizontal="center"/>
    </xf>
    <xf numFmtId="0" fontId="0" fillId="15" borderId="47" xfId="0" applyFill="1" applyBorder="1" applyAlignment="1">
      <alignment horizontal="center"/>
    </xf>
    <xf numFmtId="0" fontId="0" fillId="15" borderId="48" xfId="0" applyFill="1" applyBorder="1" applyAlignment="1">
      <alignment horizontal="center"/>
    </xf>
    <xf numFmtId="0" fontId="0" fillId="15" borderId="49" xfId="0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10" borderId="41" xfId="0" applyFill="1" applyBorder="1" applyAlignment="1">
      <alignment horizontal="center" wrapText="1"/>
    </xf>
    <xf numFmtId="0" fontId="0" fillId="10" borderId="42" xfId="0" applyFill="1" applyBorder="1" applyAlignment="1">
      <alignment horizontal="center" wrapText="1"/>
    </xf>
    <xf numFmtId="0" fontId="0" fillId="10" borderId="43" xfId="0" applyFill="1" applyBorder="1" applyAlignment="1">
      <alignment horizontal="center" wrapText="1"/>
    </xf>
    <xf numFmtId="0" fontId="0" fillId="10" borderId="45" xfId="0" applyFill="1" applyBorder="1" applyAlignment="1">
      <alignment horizontal="center" wrapText="1"/>
    </xf>
    <xf numFmtId="0" fontId="0" fillId="10" borderId="44" xfId="0" applyFill="1" applyBorder="1" applyAlignment="1">
      <alignment horizontal="center" wrapText="1"/>
    </xf>
    <xf numFmtId="0" fontId="0" fillId="10" borderId="46" xfId="0" applyFill="1" applyBorder="1" applyAlignment="1">
      <alignment horizontal="center" wrapText="1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1" fillId="10" borderId="19" xfId="0" applyFont="1" applyFill="1" applyBorder="1" applyAlignment="1">
      <alignment horizontal="center" vertical="center" wrapText="1"/>
    </xf>
    <xf numFmtId="0" fontId="11" fillId="10" borderId="19" xfId="0" applyFont="1" applyFill="1" applyBorder="1" applyAlignment="1">
      <alignment horizontal="center" vertical="center"/>
    </xf>
    <xf numFmtId="0" fontId="11" fillId="10" borderId="20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1" fillId="10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0" fontId="11" fillId="10" borderId="22" xfId="0" applyFont="1" applyFill="1" applyBorder="1" applyAlignment="1">
      <alignment horizontal="center" vertical="center"/>
    </xf>
    <xf numFmtId="0" fontId="11" fillId="10" borderId="20" xfId="0" applyFont="1" applyFill="1" applyBorder="1" applyAlignment="1">
      <alignment horizontal="center" vertical="center" wrapText="1"/>
    </xf>
    <xf numFmtId="0" fontId="11" fillId="10" borderId="2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10" borderId="42" xfId="0" applyFont="1" applyFill="1" applyBorder="1" applyAlignment="1">
      <alignment horizontal="center" vertical="center" wrapText="1"/>
    </xf>
    <xf numFmtId="0" fontId="11" fillId="10" borderId="42" xfId="0" applyFont="1" applyFill="1" applyBorder="1" applyAlignment="1">
      <alignment horizontal="center" vertical="center"/>
    </xf>
    <xf numFmtId="0" fontId="11" fillId="10" borderId="43" xfId="0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Normal 3 2" xfId="1" xr:uid="{206EE8AE-B725-464F-B73B-A3A71272DB5F}"/>
  </cellStyles>
  <dxfs count="146"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 patternType="solid">
          <bgColor theme="9" tint="-0.499984740745262"/>
        </patternFill>
      </fill>
    </dxf>
    <dxf>
      <fill>
        <patternFill>
          <bgColor rgb="FF0066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fgColor rgb="FFFDB5F3"/>
          <bgColor rgb="FFFB9FDC"/>
        </patternFill>
      </fill>
    </dxf>
    <dxf>
      <fill>
        <patternFill>
          <fgColor rgb="FFFDB5F3"/>
          <bgColor rgb="FFFB9FDC"/>
        </patternFill>
      </fill>
    </dxf>
    <dxf>
      <fill>
        <patternFill>
          <bgColor rgb="FF00B0F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fgColor theme="4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fgColor rgb="FFFDB5F3"/>
          <bgColor rgb="FFFB9FDC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fgColor rgb="FFFDB5F3"/>
          <bgColor rgb="FFFB9FDC"/>
        </patternFill>
      </fill>
    </dxf>
    <dxf>
      <fill>
        <patternFill>
          <bgColor rgb="FF00B0F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fgColor rgb="FF0070C0"/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6600"/>
        </patternFill>
      </fill>
    </dxf>
    <dxf>
      <fill>
        <patternFill patternType="solid">
          <bgColor theme="9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6600"/>
        </patternFill>
      </fill>
    </dxf>
    <dxf>
      <fill>
        <patternFill patternType="solid">
          <bgColor theme="9" tint="-0.499984740745262"/>
        </patternFill>
      </fill>
    </dxf>
    <dxf>
      <fill>
        <patternFill patternType="solid">
          <bgColor theme="9" tint="-0.499984740745262"/>
        </patternFill>
      </fill>
    </dxf>
    <dxf>
      <fill>
        <patternFill>
          <bgColor rgb="FF006600"/>
        </patternFill>
      </fill>
    </dxf>
    <dxf>
      <fill>
        <patternFill patternType="solid">
          <bgColor theme="9" tint="-0.499984740745262"/>
        </patternFill>
      </fill>
    </dxf>
    <dxf>
      <fill>
        <patternFill>
          <bgColor rgb="FF006600"/>
        </patternFill>
      </fill>
    </dxf>
    <dxf>
      <fill>
        <patternFill>
          <fgColor theme="4"/>
        </patternFill>
      </fill>
    </dxf>
    <dxf>
      <fill>
        <patternFill>
          <fgColor theme="4"/>
        </patternFill>
      </fill>
    </dxf>
    <dxf>
      <fill>
        <patternFill>
          <bgColor rgb="FF00B0F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</dxfs>
  <tableStyles count="0" defaultTableStyle="TableStyleMedium2" defaultPivotStyle="PivotStyleLight16"/>
  <colors>
    <mruColors>
      <color rgb="FFFB93E7"/>
      <color rgb="FF006600"/>
      <color rgb="FF00FF00"/>
      <color rgb="FFFDB5F3"/>
      <color rgb="FFFF99FF"/>
      <color rgb="FFFB9FDC"/>
      <color rgb="FF75DBFF"/>
      <color rgb="FFFDA5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Total</a:t>
            </a:r>
            <a:r>
              <a:rPr lang="pt-BR" baseline="0"/>
              <a:t> de Pontos de Coleta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00-49A8-977E-3570F69E143C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000-49A8-977E-3570F69E14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Planilha1!$A$1:$A$3</c:f>
              <c:strCache>
                <c:ptCount val="3"/>
                <c:pt idx="0">
                  <c:v>Equipamentos com minemess</c:v>
                </c:pt>
                <c:pt idx="1">
                  <c:v>Equipamentos sem minemess</c:v>
                </c:pt>
                <c:pt idx="2">
                  <c:v>Total </c:v>
                </c:pt>
              </c:strCache>
            </c:strRef>
          </c:cat>
          <c:val>
            <c:numRef>
              <c:f>Planilha1!$B$1:$B$3</c:f>
              <c:numCache>
                <c:formatCode>General</c:formatCode>
                <c:ptCount val="3"/>
                <c:pt idx="0">
                  <c:v>116</c:v>
                </c:pt>
                <c:pt idx="1">
                  <c:v>61</c:v>
                </c:pt>
                <c:pt idx="2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0-49A8-977E-3570F69E14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059376"/>
        <c:axId val="30055056"/>
      </c:barChart>
      <c:catAx>
        <c:axId val="3005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055056"/>
        <c:crosses val="autoZero"/>
        <c:auto val="1"/>
        <c:lblAlgn val="ctr"/>
        <c:lblOffset val="100"/>
        <c:noMultiLvlLbl val="0"/>
      </c:catAx>
      <c:valAx>
        <c:axId val="3005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05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14287</xdr:rowOff>
    </xdr:from>
    <xdr:to>
      <xdr:col>14</xdr:col>
      <xdr:colOff>28575</xdr:colOff>
      <xdr:row>17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6116179-A963-93F1-22C7-DE67EF5DB3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0</xdr:row>
      <xdr:rowOff>47625</xdr:rowOff>
    </xdr:from>
    <xdr:ext cx="543215" cy="290159"/>
    <xdr:pic>
      <xdr:nvPicPr>
        <xdr:cNvPr id="2" name="Imagem 1">
          <a:extLst>
            <a:ext uri="{FF2B5EF4-FFF2-40B4-BE49-F238E27FC236}">
              <a16:creationId xmlns:a16="http://schemas.microsoft.com/office/drawing/2014/main" id="{E89548F2-EF18-487D-B867-7D8306EDB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47625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22512</xdr:colOff>
      <xdr:row>0</xdr:row>
      <xdr:rowOff>68117</xdr:rowOff>
    </xdr:from>
    <xdr:ext cx="543215" cy="290159"/>
    <xdr:pic>
      <xdr:nvPicPr>
        <xdr:cNvPr id="2" name="Imagem 1">
          <a:extLst>
            <a:ext uri="{FF2B5EF4-FFF2-40B4-BE49-F238E27FC236}">
              <a16:creationId xmlns:a16="http://schemas.microsoft.com/office/drawing/2014/main" id="{66FEABB1-9DFA-49D0-AA6A-C5231AEED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681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0</xdr:row>
      <xdr:rowOff>61767</xdr:rowOff>
    </xdr:from>
    <xdr:ext cx="543215" cy="290159"/>
    <xdr:pic>
      <xdr:nvPicPr>
        <xdr:cNvPr id="3" name="Imagem 2">
          <a:extLst>
            <a:ext uri="{FF2B5EF4-FFF2-40B4-BE49-F238E27FC236}">
              <a16:creationId xmlns:a16="http://schemas.microsoft.com/office/drawing/2014/main" id="{9D78AD17-043A-40DD-A62F-D8275BDFD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617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22</xdr:row>
      <xdr:rowOff>68117</xdr:rowOff>
    </xdr:from>
    <xdr:ext cx="543215" cy="290159"/>
    <xdr:pic>
      <xdr:nvPicPr>
        <xdr:cNvPr id="4" name="Imagem 3">
          <a:extLst>
            <a:ext uri="{FF2B5EF4-FFF2-40B4-BE49-F238E27FC236}">
              <a16:creationId xmlns:a16="http://schemas.microsoft.com/office/drawing/2014/main" id="{A9DF7BEF-C4F2-4D46-8F63-259A85F0D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36685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22</xdr:row>
      <xdr:rowOff>61767</xdr:rowOff>
    </xdr:from>
    <xdr:ext cx="543215" cy="290159"/>
    <xdr:pic>
      <xdr:nvPicPr>
        <xdr:cNvPr id="5" name="Imagem 4">
          <a:extLst>
            <a:ext uri="{FF2B5EF4-FFF2-40B4-BE49-F238E27FC236}">
              <a16:creationId xmlns:a16="http://schemas.microsoft.com/office/drawing/2014/main" id="{79BA5628-C902-47A1-A12C-C08AD0055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36622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44</xdr:row>
      <xdr:rowOff>68117</xdr:rowOff>
    </xdr:from>
    <xdr:ext cx="543215" cy="290159"/>
    <xdr:pic>
      <xdr:nvPicPr>
        <xdr:cNvPr id="6" name="Imagem 5">
          <a:extLst>
            <a:ext uri="{FF2B5EF4-FFF2-40B4-BE49-F238E27FC236}">
              <a16:creationId xmlns:a16="http://schemas.microsoft.com/office/drawing/2014/main" id="{6E3C90ED-23FB-4B1F-A76E-64C163EAF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72690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44</xdr:row>
      <xdr:rowOff>61767</xdr:rowOff>
    </xdr:from>
    <xdr:ext cx="543215" cy="290159"/>
    <xdr:pic>
      <xdr:nvPicPr>
        <xdr:cNvPr id="7" name="Imagem 6">
          <a:extLst>
            <a:ext uri="{FF2B5EF4-FFF2-40B4-BE49-F238E27FC236}">
              <a16:creationId xmlns:a16="http://schemas.microsoft.com/office/drawing/2014/main" id="{19063069-77FB-4147-BFB6-8129E7886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72626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66</xdr:row>
      <xdr:rowOff>68117</xdr:rowOff>
    </xdr:from>
    <xdr:ext cx="543215" cy="290159"/>
    <xdr:pic>
      <xdr:nvPicPr>
        <xdr:cNvPr id="8" name="Imagem 7">
          <a:extLst>
            <a:ext uri="{FF2B5EF4-FFF2-40B4-BE49-F238E27FC236}">
              <a16:creationId xmlns:a16="http://schemas.microsoft.com/office/drawing/2014/main" id="{1DD95454-52D5-4395-A3A5-99B87B304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08694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66</xdr:row>
      <xdr:rowOff>61767</xdr:rowOff>
    </xdr:from>
    <xdr:ext cx="543215" cy="290159"/>
    <xdr:pic>
      <xdr:nvPicPr>
        <xdr:cNvPr id="9" name="Imagem 8">
          <a:extLst>
            <a:ext uri="{FF2B5EF4-FFF2-40B4-BE49-F238E27FC236}">
              <a16:creationId xmlns:a16="http://schemas.microsoft.com/office/drawing/2014/main" id="{44824E30-5AC0-415E-B04A-308EAA2AC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08631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88</xdr:row>
      <xdr:rowOff>68117</xdr:rowOff>
    </xdr:from>
    <xdr:ext cx="543215" cy="290159"/>
    <xdr:pic>
      <xdr:nvPicPr>
        <xdr:cNvPr id="10" name="Imagem 9">
          <a:extLst>
            <a:ext uri="{FF2B5EF4-FFF2-40B4-BE49-F238E27FC236}">
              <a16:creationId xmlns:a16="http://schemas.microsoft.com/office/drawing/2014/main" id="{9466F73F-291B-4D8D-809D-F8A0FE048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44699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88</xdr:row>
      <xdr:rowOff>61767</xdr:rowOff>
    </xdr:from>
    <xdr:ext cx="543215" cy="290159"/>
    <xdr:pic>
      <xdr:nvPicPr>
        <xdr:cNvPr id="11" name="Imagem 10">
          <a:extLst>
            <a:ext uri="{FF2B5EF4-FFF2-40B4-BE49-F238E27FC236}">
              <a16:creationId xmlns:a16="http://schemas.microsoft.com/office/drawing/2014/main" id="{B7D0A2AA-7AF2-49D7-BD87-0AC095FE5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44635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108</xdr:row>
      <xdr:rowOff>68117</xdr:rowOff>
    </xdr:from>
    <xdr:ext cx="543215" cy="290159"/>
    <xdr:pic>
      <xdr:nvPicPr>
        <xdr:cNvPr id="12" name="Imagem 11">
          <a:extLst>
            <a:ext uri="{FF2B5EF4-FFF2-40B4-BE49-F238E27FC236}">
              <a16:creationId xmlns:a16="http://schemas.microsoft.com/office/drawing/2014/main" id="{DF949FDB-F712-441B-932A-89665677F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77560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108</xdr:row>
      <xdr:rowOff>61767</xdr:rowOff>
    </xdr:from>
    <xdr:ext cx="543215" cy="290159"/>
    <xdr:pic>
      <xdr:nvPicPr>
        <xdr:cNvPr id="13" name="Imagem 12">
          <a:extLst>
            <a:ext uri="{FF2B5EF4-FFF2-40B4-BE49-F238E27FC236}">
              <a16:creationId xmlns:a16="http://schemas.microsoft.com/office/drawing/2014/main" id="{81377341-5F25-4742-BA45-9621A8C81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77496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131</xdr:row>
      <xdr:rowOff>68117</xdr:rowOff>
    </xdr:from>
    <xdr:ext cx="543215" cy="290159"/>
    <xdr:pic>
      <xdr:nvPicPr>
        <xdr:cNvPr id="14" name="Imagem 13">
          <a:extLst>
            <a:ext uri="{FF2B5EF4-FFF2-40B4-BE49-F238E27FC236}">
              <a16:creationId xmlns:a16="http://schemas.microsoft.com/office/drawing/2014/main" id="{6490AA1E-7D62-4334-AAEC-7FC8E6444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1299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131</xdr:row>
      <xdr:rowOff>61767</xdr:rowOff>
    </xdr:from>
    <xdr:ext cx="543215" cy="290159"/>
    <xdr:pic>
      <xdr:nvPicPr>
        <xdr:cNvPr id="15" name="Imagem 14">
          <a:extLst>
            <a:ext uri="{FF2B5EF4-FFF2-40B4-BE49-F238E27FC236}">
              <a16:creationId xmlns:a16="http://schemas.microsoft.com/office/drawing/2014/main" id="{4A01B70B-CED7-4246-8260-70A5077B9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1292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153</xdr:row>
      <xdr:rowOff>68117</xdr:rowOff>
    </xdr:from>
    <xdr:ext cx="543215" cy="290159"/>
    <xdr:pic>
      <xdr:nvPicPr>
        <xdr:cNvPr id="16" name="Imagem 15">
          <a:extLst>
            <a:ext uri="{FF2B5EF4-FFF2-40B4-BE49-F238E27FC236}">
              <a16:creationId xmlns:a16="http://schemas.microsoft.com/office/drawing/2014/main" id="{623542FA-E5C6-44EA-B5B1-652115070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48997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153</xdr:row>
      <xdr:rowOff>61767</xdr:rowOff>
    </xdr:from>
    <xdr:ext cx="543215" cy="290159"/>
    <xdr:pic>
      <xdr:nvPicPr>
        <xdr:cNvPr id="17" name="Imagem 16">
          <a:extLst>
            <a:ext uri="{FF2B5EF4-FFF2-40B4-BE49-F238E27FC236}">
              <a16:creationId xmlns:a16="http://schemas.microsoft.com/office/drawing/2014/main" id="{01871031-7709-4045-88FB-34CFAAE35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48934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175</xdr:row>
      <xdr:rowOff>68117</xdr:rowOff>
    </xdr:from>
    <xdr:ext cx="543215" cy="290159"/>
    <xdr:pic>
      <xdr:nvPicPr>
        <xdr:cNvPr id="18" name="Imagem 17">
          <a:extLst>
            <a:ext uri="{FF2B5EF4-FFF2-40B4-BE49-F238E27FC236}">
              <a16:creationId xmlns:a16="http://schemas.microsoft.com/office/drawing/2014/main" id="{A26EE715-1739-470D-94A9-A9BB30C4E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84811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175</xdr:row>
      <xdr:rowOff>61767</xdr:rowOff>
    </xdr:from>
    <xdr:ext cx="543215" cy="290159"/>
    <xdr:pic>
      <xdr:nvPicPr>
        <xdr:cNvPr id="19" name="Imagem 18">
          <a:extLst>
            <a:ext uri="{FF2B5EF4-FFF2-40B4-BE49-F238E27FC236}">
              <a16:creationId xmlns:a16="http://schemas.microsoft.com/office/drawing/2014/main" id="{C96596E7-3BBE-4B75-BE53-90A18C26A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8474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197</xdr:row>
      <xdr:rowOff>68117</xdr:rowOff>
    </xdr:from>
    <xdr:ext cx="543215" cy="290159"/>
    <xdr:pic>
      <xdr:nvPicPr>
        <xdr:cNvPr id="20" name="Imagem 19">
          <a:extLst>
            <a:ext uri="{FF2B5EF4-FFF2-40B4-BE49-F238E27FC236}">
              <a16:creationId xmlns:a16="http://schemas.microsoft.com/office/drawing/2014/main" id="{E931AD63-801C-4B6A-9658-A0D0046DE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320816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197</xdr:row>
      <xdr:rowOff>61767</xdr:rowOff>
    </xdr:from>
    <xdr:ext cx="543215" cy="290159"/>
    <xdr:pic>
      <xdr:nvPicPr>
        <xdr:cNvPr id="21" name="Imagem 20">
          <a:extLst>
            <a:ext uri="{FF2B5EF4-FFF2-40B4-BE49-F238E27FC236}">
              <a16:creationId xmlns:a16="http://schemas.microsoft.com/office/drawing/2014/main" id="{28501030-AD5E-47A4-82EA-7B8A3200A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320752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219</xdr:row>
      <xdr:rowOff>68117</xdr:rowOff>
    </xdr:from>
    <xdr:ext cx="543215" cy="290159"/>
    <xdr:pic>
      <xdr:nvPicPr>
        <xdr:cNvPr id="22" name="Imagem 21">
          <a:extLst>
            <a:ext uri="{FF2B5EF4-FFF2-40B4-BE49-F238E27FC236}">
              <a16:creationId xmlns:a16="http://schemas.microsoft.com/office/drawing/2014/main" id="{A763D337-916A-4759-9AEB-4189D8A49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356630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219</xdr:row>
      <xdr:rowOff>61767</xdr:rowOff>
    </xdr:from>
    <xdr:ext cx="543215" cy="290159"/>
    <xdr:pic>
      <xdr:nvPicPr>
        <xdr:cNvPr id="23" name="Imagem 22">
          <a:extLst>
            <a:ext uri="{FF2B5EF4-FFF2-40B4-BE49-F238E27FC236}">
              <a16:creationId xmlns:a16="http://schemas.microsoft.com/office/drawing/2014/main" id="{B3EFD9F0-FECF-4148-9098-33FBF6BDF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356566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241</xdr:row>
      <xdr:rowOff>68117</xdr:rowOff>
    </xdr:from>
    <xdr:ext cx="543215" cy="290159"/>
    <xdr:pic>
      <xdr:nvPicPr>
        <xdr:cNvPr id="24" name="Imagem 23">
          <a:extLst>
            <a:ext uri="{FF2B5EF4-FFF2-40B4-BE49-F238E27FC236}">
              <a16:creationId xmlns:a16="http://schemas.microsoft.com/office/drawing/2014/main" id="{68051193-F183-4FFE-9FEC-389000F29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392349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241</xdr:row>
      <xdr:rowOff>61767</xdr:rowOff>
    </xdr:from>
    <xdr:ext cx="543215" cy="290159"/>
    <xdr:pic>
      <xdr:nvPicPr>
        <xdr:cNvPr id="25" name="Imagem 24">
          <a:extLst>
            <a:ext uri="{FF2B5EF4-FFF2-40B4-BE49-F238E27FC236}">
              <a16:creationId xmlns:a16="http://schemas.microsoft.com/office/drawing/2014/main" id="{E833BE23-D85B-49F5-B949-AD12902FB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392285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263</xdr:row>
      <xdr:rowOff>68117</xdr:rowOff>
    </xdr:from>
    <xdr:ext cx="543215" cy="290159"/>
    <xdr:pic>
      <xdr:nvPicPr>
        <xdr:cNvPr id="26" name="Imagem 25">
          <a:extLst>
            <a:ext uri="{FF2B5EF4-FFF2-40B4-BE49-F238E27FC236}">
              <a16:creationId xmlns:a16="http://schemas.microsoft.com/office/drawing/2014/main" id="{47E8B94F-B02C-43DF-88A9-B2261BBA7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428353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263</xdr:row>
      <xdr:rowOff>61767</xdr:rowOff>
    </xdr:from>
    <xdr:ext cx="543215" cy="290159"/>
    <xdr:pic>
      <xdr:nvPicPr>
        <xdr:cNvPr id="27" name="Imagem 26">
          <a:extLst>
            <a:ext uri="{FF2B5EF4-FFF2-40B4-BE49-F238E27FC236}">
              <a16:creationId xmlns:a16="http://schemas.microsoft.com/office/drawing/2014/main" id="{8F1160BA-AF5B-4D54-90C8-E0D8FAAC7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428290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285</xdr:row>
      <xdr:rowOff>68117</xdr:rowOff>
    </xdr:from>
    <xdr:ext cx="543215" cy="290159"/>
    <xdr:pic>
      <xdr:nvPicPr>
        <xdr:cNvPr id="28" name="Imagem 27">
          <a:extLst>
            <a:ext uri="{FF2B5EF4-FFF2-40B4-BE49-F238E27FC236}">
              <a16:creationId xmlns:a16="http://schemas.microsoft.com/office/drawing/2014/main" id="{E1F8B374-A824-445A-BAF3-C3B4F9830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464358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285</xdr:row>
      <xdr:rowOff>61767</xdr:rowOff>
    </xdr:from>
    <xdr:ext cx="543215" cy="290159"/>
    <xdr:pic>
      <xdr:nvPicPr>
        <xdr:cNvPr id="29" name="Imagem 28">
          <a:extLst>
            <a:ext uri="{FF2B5EF4-FFF2-40B4-BE49-F238E27FC236}">
              <a16:creationId xmlns:a16="http://schemas.microsoft.com/office/drawing/2014/main" id="{968A46DD-1876-49F7-A7F5-0DEB7361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464294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307</xdr:row>
      <xdr:rowOff>68117</xdr:rowOff>
    </xdr:from>
    <xdr:ext cx="543215" cy="290159"/>
    <xdr:pic>
      <xdr:nvPicPr>
        <xdr:cNvPr id="30" name="Imagem 29">
          <a:extLst>
            <a:ext uri="{FF2B5EF4-FFF2-40B4-BE49-F238E27FC236}">
              <a16:creationId xmlns:a16="http://schemas.microsoft.com/office/drawing/2014/main" id="{DB186FD6-2B88-43AE-AF38-C44E2BD31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500553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307</xdr:row>
      <xdr:rowOff>61767</xdr:rowOff>
    </xdr:from>
    <xdr:ext cx="543215" cy="290159"/>
    <xdr:pic>
      <xdr:nvPicPr>
        <xdr:cNvPr id="31" name="Imagem 30">
          <a:extLst>
            <a:ext uri="{FF2B5EF4-FFF2-40B4-BE49-F238E27FC236}">
              <a16:creationId xmlns:a16="http://schemas.microsoft.com/office/drawing/2014/main" id="{F67E56B7-88BC-47CD-91EB-75A675418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500489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329</xdr:row>
      <xdr:rowOff>68117</xdr:rowOff>
    </xdr:from>
    <xdr:ext cx="543215" cy="290159"/>
    <xdr:pic>
      <xdr:nvPicPr>
        <xdr:cNvPr id="32" name="Imagem 31">
          <a:extLst>
            <a:ext uri="{FF2B5EF4-FFF2-40B4-BE49-F238E27FC236}">
              <a16:creationId xmlns:a16="http://schemas.microsoft.com/office/drawing/2014/main" id="{4E87E106-1290-4D28-8A54-6ABBCDBAC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536938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329</xdr:row>
      <xdr:rowOff>61767</xdr:rowOff>
    </xdr:from>
    <xdr:ext cx="543215" cy="290159"/>
    <xdr:pic>
      <xdr:nvPicPr>
        <xdr:cNvPr id="33" name="Imagem 32">
          <a:extLst>
            <a:ext uri="{FF2B5EF4-FFF2-40B4-BE49-F238E27FC236}">
              <a16:creationId xmlns:a16="http://schemas.microsoft.com/office/drawing/2014/main" id="{9077F804-8AFC-4B98-80A1-B148B09E5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536875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372</xdr:row>
      <xdr:rowOff>68117</xdr:rowOff>
    </xdr:from>
    <xdr:ext cx="543215" cy="290159"/>
    <xdr:pic>
      <xdr:nvPicPr>
        <xdr:cNvPr id="34" name="Imagem 33">
          <a:extLst>
            <a:ext uri="{FF2B5EF4-FFF2-40B4-BE49-F238E27FC236}">
              <a16:creationId xmlns:a16="http://schemas.microsoft.com/office/drawing/2014/main" id="{10845DC1-C102-4688-9721-7C5396819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605232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372</xdr:row>
      <xdr:rowOff>61767</xdr:rowOff>
    </xdr:from>
    <xdr:ext cx="543215" cy="290159"/>
    <xdr:pic>
      <xdr:nvPicPr>
        <xdr:cNvPr id="35" name="Imagem 34">
          <a:extLst>
            <a:ext uri="{FF2B5EF4-FFF2-40B4-BE49-F238E27FC236}">
              <a16:creationId xmlns:a16="http://schemas.microsoft.com/office/drawing/2014/main" id="{274BFE4E-FB8E-4974-9493-8CD3ECEFE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605169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392</xdr:row>
      <xdr:rowOff>68117</xdr:rowOff>
    </xdr:from>
    <xdr:ext cx="543215" cy="290159"/>
    <xdr:pic>
      <xdr:nvPicPr>
        <xdr:cNvPr id="36" name="Imagem 35">
          <a:extLst>
            <a:ext uri="{FF2B5EF4-FFF2-40B4-BE49-F238E27FC236}">
              <a16:creationId xmlns:a16="http://schemas.microsoft.com/office/drawing/2014/main" id="{82BBAE73-27C3-4955-A9BB-65CCC9E15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638189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392</xdr:row>
      <xdr:rowOff>61767</xdr:rowOff>
    </xdr:from>
    <xdr:ext cx="543215" cy="290159"/>
    <xdr:pic>
      <xdr:nvPicPr>
        <xdr:cNvPr id="37" name="Imagem 36">
          <a:extLst>
            <a:ext uri="{FF2B5EF4-FFF2-40B4-BE49-F238E27FC236}">
              <a16:creationId xmlns:a16="http://schemas.microsoft.com/office/drawing/2014/main" id="{C77E9A0A-8D0A-488C-8BF8-D479BC3FF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638125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414</xdr:row>
      <xdr:rowOff>68117</xdr:rowOff>
    </xdr:from>
    <xdr:ext cx="543215" cy="290159"/>
    <xdr:pic>
      <xdr:nvPicPr>
        <xdr:cNvPr id="38" name="Imagem 37">
          <a:extLst>
            <a:ext uri="{FF2B5EF4-FFF2-40B4-BE49-F238E27FC236}">
              <a16:creationId xmlns:a16="http://schemas.microsoft.com/office/drawing/2014/main" id="{729719F7-E599-4679-AF1B-7023B44C4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67400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414</xdr:row>
      <xdr:rowOff>61767</xdr:rowOff>
    </xdr:from>
    <xdr:ext cx="543215" cy="290159"/>
    <xdr:pic>
      <xdr:nvPicPr>
        <xdr:cNvPr id="39" name="Imagem 38">
          <a:extLst>
            <a:ext uri="{FF2B5EF4-FFF2-40B4-BE49-F238E27FC236}">
              <a16:creationId xmlns:a16="http://schemas.microsoft.com/office/drawing/2014/main" id="{970B8FE8-9642-41A5-9684-02D16DADF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67393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435</xdr:row>
      <xdr:rowOff>68117</xdr:rowOff>
    </xdr:from>
    <xdr:ext cx="543215" cy="290159"/>
    <xdr:pic>
      <xdr:nvPicPr>
        <xdr:cNvPr id="40" name="Imagem 39">
          <a:extLst>
            <a:ext uri="{FF2B5EF4-FFF2-40B4-BE49-F238E27FC236}">
              <a16:creationId xmlns:a16="http://schemas.microsoft.com/office/drawing/2014/main" id="{32F2EA26-00CA-4FE7-906F-6F308BCF8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709245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435</xdr:row>
      <xdr:rowOff>61767</xdr:rowOff>
    </xdr:from>
    <xdr:ext cx="543215" cy="290159"/>
    <xdr:pic>
      <xdr:nvPicPr>
        <xdr:cNvPr id="41" name="Imagem 40">
          <a:extLst>
            <a:ext uri="{FF2B5EF4-FFF2-40B4-BE49-F238E27FC236}">
              <a16:creationId xmlns:a16="http://schemas.microsoft.com/office/drawing/2014/main" id="{55782701-0D0B-4374-8F7E-26195E216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709182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435</xdr:row>
      <xdr:rowOff>68117</xdr:rowOff>
    </xdr:from>
    <xdr:ext cx="543215" cy="290159"/>
    <xdr:pic>
      <xdr:nvPicPr>
        <xdr:cNvPr id="42" name="Imagem 41">
          <a:extLst>
            <a:ext uri="{FF2B5EF4-FFF2-40B4-BE49-F238E27FC236}">
              <a16:creationId xmlns:a16="http://schemas.microsoft.com/office/drawing/2014/main" id="{7176925D-C06E-44BB-BBA6-88DFFD6A7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709245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435</xdr:row>
      <xdr:rowOff>61767</xdr:rowOff>
    </xdr:from>
    <xdr:ext cx="543215" cy="290159"/>
    <xdr:pic>
      <xdr:nvPicPr>
        <xdr:cNvPr id="43" name="Imagem 42">
          <a:extLst>
            <a:ext uri="{FF2B5EF4-FFF2-40B4-BE49-F238E27FC236}">
              <a16:creationId xmlns:a16="http://schemas.microsoft.com/office/drawing/2014/main" id="{231D0D9E-EF4D-4085-AA72-C53BA4A22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709182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457</xdr:row>
      <xdr:rowOff>68117</xdr:rowOff>
    </xdr:from>
    <xdr:ext cx="543215" cy="290159"/>
    <xdr:pic>
      <xdr:nvPicPr>
        <xdr:cNvPr id="44" name="Imagem 43">
          <a:extLst>
            <a:ext uri="{FF2B5EF4-FFF2-40B4-BE49-F238E27FC236}">
              <a16:creationId xmlns:a16="http://schemas.microsoft.com/office/drawing/2014/main" id="{5112A1E0-950D-41B3-B468-39E9F4639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74505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457</xdr:row>
      <xdr:rowOff>61767</xdr:rowOff>
    </xdr:from>
    <xdr:ext cx="543215" cy="290159"/>
    <xdr:pic>
      <xdr:nvPicPr>
        <xdr:cNvPr id="45" name="Imagem 44">
          <a:extLst>
            <a:ext uri="{FF2B5EF4-FFF2-40B4-BE49-F238E27FC236}">
              <a16:creationId xmlns:a16="http://schemas.microsoft.com/office/drawing/2014/main" id="{49FD14F0-97F9-439C-95CA-0D9799830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744996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479</xdr:row>
      <xdr:rowOff>68117</xdr:rowOff>
    </xdr:from>
    <xdr:ext cx="543215" cy="290159"/>
    <xdr:pic>
      <xdr:nvPicPr>
        <xdr:cNvPr id="46" name="Imagem 45">
          <a:extLst>
            <a:ext uri="{FF2B5EF4-FFF2-40B4-BE49-F238E27FC236}">
              <a16:creationId xmlns:a16="http://schemas.microsoft.com/office/drawing/2014/main" id="{25124171-012D-4EA4-A97A-D4AD54090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780969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479</xdr:row>
      <xdr:rowOff>61767</xdr:rowOff>
    </xdr:from>
    <xdr:ext cx="543215" cy="290159"/>
    <xdr:pic>
      <xdr:nvPicPr>
        <xdr:cNvPr id="47" name="Imagem 46">
          <a:extLst>
            <a:ext uri="{FF2B5EF4-FFF2-40B4-BE49-F238E27FC236}">
              <a16:creationId xmlns:a16="http://schemas.microsoft.com/office/drawing/2014/main" id="{5B9BA1E1-2D43-45DA-A0BF-EF530E954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780905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501</xdr:row>
      <xdr:rowOff>68117</xdr:rowOff>
    </xdr:from>
    <xdr:ext cx="543215" cy="290159"/>
    <xdr:pic>
      <xdr:nvPicPr>
        <xdr:cNvPr id="48" name="Imagem 47">
          <a:extLst>
            <a:ext uri="{FF2B5EF4-FFF2-40B4-BE49-F238E27FC236}">
              <a16:creationId xmlns:a16="http://schemas.microsoft.com/office/drawing/2014/main" id="{5DA00252-71DF-42A9-BB23-DCFBE370F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81687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501</xdr:row>
      <xdr:rowOff>61767</xdr:rowOff>
    </xdr:from>
    <xdr:ext cx="543215" cy="290159"/>
    <xdr:pic>
      <xdr:nvPicPr>
        <xdr:cNvPr id="49" name="Imagem 48">
          <a:extLst>
            <a:ext uri="{FF2B5EF4-FFF2-40B4-BE49-F238E27FC236}">
              <a16:creationId xmlns:a16="http://schemas.microsoft.com/office/drawing/2014/main" id="{8F33664B-D197-4E9A-A1D6-DCAD7A95C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81681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501</xdr:row>
      <xdr:rowOff>68117</xdr:rowOff>
    </xdr:from>
    <xdr:ext cx="543215" cy="290159"/>
    <xdr:pic>
      <xdr:nvPicPr>
        <xdr:cNvPr id="50" name="Imagem 49">
          <a:extLst>
            <a:ext uri="{FF2B5EF4-FFF2-40B4-BE49-F238E27FC236}">
              <a16:creationId xmlns:a16="http://schemas.microsoft.com/office/drawing/2014/main" id="{D2537FD8-7777-4E57-BD9A-D43C36D28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81687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501</xdr:row>
      <xdr:rowOff>61767</xdr:rowOff>
    </xdr:from>
    <xdr:ext cx="543215" cy="290159"/>
    <xdr:pic>
      <xdr:nvPicPr>
        <xdr:cNvPr id="51" name="Imagem 50">
          <a:extLst>
            <a:ext uri="{FF2B5EF4-FFF2-40B4-BE49-F238E27FC236}">
              <a16:creationId xmlns:a16="http://schemas.microsoft.com/office/drawing/2014/main" id="{9F664B8A-1873-4558-B2E3-994AB9262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81681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523</xdr:row>
      <xdr:rowOff>68117</xdr:rowOff>
    </xdr:from>
    <xdr:ext cx="543215" cy="290159"/>
    <xdr:pic>
      <xdr:nvPicPr>
        <xdr:cNvPr id="52" name="Imagem 51">
          <a:extLst>
            <a:ext uri="{FF2B5EF4-FFF2-40B4-BE49-F238E27FC236}">
              <a16:creationId xmlns:a16="http://schemas.microsoft.com/office/drawing/2014/main" id="{A16EDD56-728C-4F49-8528-FBCD239C0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85307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523</xdr:row>
      <xdr:rowOff>61767</xdr:rowOff>
    </xdr:from>
    <xdr:ext cx="543215" cy="290159"/>
    <xdr:pic>
      <xdr:nvPicPr>
        <xdr:cNvPr id="53" name="Imagem 52">
          <a:extLst>
            <a:ext uri="{FF2B5EF4-FFF2-40B4-BE49-F238E27FC236}">
              <a16:creationId xmlns:a16="http://schemas.microsoft.com/office/drawing/2014/main" id="{81FBCC27-092A-4CC8-9B8C-64C6BA6B5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85300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545</xdr:row>
      <xdr:rowOff>68117</xdr:rowOff>
    </xdr:from>
    <xdr:ext cx="543215" cy="290159"/>
    <xdr:pic>
      <xdr:nvPicPr>
        <xdr:cNvPr id="54" name="Imagem 53">
          <a:extLst>
            <a:ext uri="{FF2B5EF4-FFF2-40B4-BE49-F238E27FC236}">
              <a16:creationId xmlns:a16="http://schemas.microsoft.com/office/drawing/2014/main" id="{E6144A8B-092E-4CF0-BD80-E8B4DA2CF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88926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545</xdr:row>
      <xdr:rowOff>61767</xdr:rowOff>
    </xdr:from>
    <xdr:ext cx="543215" cy="290159"/>
    <xdr:pic>
      <xdr:nvPicPr>
        <xdr:cNvPr id="55" name="Imagem 54">
          <a:extLst>
            <a:ext uri="{FF2B5EF4-FFF2-40B4-BE49-F238E27FC236}">
              <a16:creationId xmlns:a16="http://schemas.microsoft.com/office/drawing/2014/main" id="{C4FBD107-2323-4BE3-9F92-0F0189FAA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88920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567</xdr:row>
      <xdr:rowOff>68117</xdr:rowOff>
    </xdr:from>
    <xdr:ext cx="543215" cy="290159"/>
    <xdr:pic>
      <xdr:nvPicPr>
        <xdr:cNvPr id="56" name="Imagem 55">
          <a:extLst>
            <a:ext uri="{FF2B5EF4-FFF2-40B4-BE49-F238E27FC236}">
              <a16:creationId xmlns:a16="http://schemas.microsoft.com/office/drawing/2014/main" id="{3EA64405-66BA-4D83-944B-A22E21E24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92546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567</xdr:row>
      <xdr:rowOff>61767</xdr:rowOff>
    </xdr:from>
    <xdr:ext cx="543215" cy="290159"/>
    <xdr:pic>
      <xdr:nvPicPr>
        <xdr:cNvPr id="57" name="Imagem 56">
          <a:extLst>
            <a:ext uri="{FF2B5EF4-FFF2-40B4-BE49-F238E27FC236}">
              <a16:creationId xmlns:a16="http://schemas.microsoft.com/office/drawing/2014/main" id="{1F8A07A3-8895-4B9E-AED4-288028212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92539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567</xdr:row>
      <xdr:rowOff>68117</xdr:rowOff>
    </xdr:from>
    <xdr:ext cx="543215" cy="290159"/>
    <xdr:pic>
      <xdr:nvPicPr>
        <xdr:cNvPr id="58" name="Imagem 57">
          <a:extLst>
            <a:ext uri="{FF2B5EF4-FFF2-40B4-BE49-F238E27FC236}">
              <a16:creationId xmlns:a16="http://schemas.microsoft.com/office/drawing/2014/main" id="{20759386-7C89-4F2D-B9E2-1B359A2F9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92546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567</xdr:row>
      <xdr:rowOff>61767</xdr:rowOff>
    </xdr:from>
    <xdr:ext cx="543215" cy="290159"/>
    <xdr:pic>
      <xdr:nvPicPr>
        <xdr:cNvPr id="59" name="Imagem 58">
          <a:extLst>
            <a:ext uri="{FF2B5EF4-FFF2-40B4-BE49-F238E27FC236}">
              <a16:creationId xmlns:a16="http://schemas.microsoft.com/office/drawing/2014/main" id="{82911D5A-09D6-4315-AC20-03264CC2D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92539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589</xdr:row>
      <xdr:rowOff>68117</xdr:rowOff>
    </xdr:from>
    <xdr:ext cx="543215" cy="290159"/>
    <xdr:pic>
      <xdr:nvPicPr>
        <xdr:cNvPr id="60" name="Imagem 59">
          <a:extLst>
            <a:ext uri="{FF2B5EF4-FFF2-40B4-BE49-F238E27FC236}">
              <a16:creationId xmlns:a16="http://schemas.microsoft.com/office/drawing/2014/main" id="{5406B217-4546-410E-95C6-41221F740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96165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589</xdr:row>
      <xdr:rowOff>61767</xdr:rowOff>
    </xdr:from>
    <xdr:ext cx="543215" cy="290159"/>
    <xdr:pic>
      <xdr:nvPicPr>
        <xdr:cNvPr id="61" name="Imagem 60">
          <a:extLst>
            <a:ext uri="{FF2B5EF4-FFF2-40B4-BE49-F238E27FC236}">
              <a16:creationId xmlns:a16="http://schemas.microsoft.com/office/drawing/2014/main" id="{6F62F231-72ED-42F6-BAB9-0AFFB1A45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96159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611</xdr:row>
      <xdr:rowOff>68117</xdr:rowOff>
    </xdr:from>
    <xdr:ext cx="543215" cy="290159"/>
    <xdr:pic>
      <xdr:nvPicPr>
        <xdr:cNvPr id="62" name="Imagem 61">
          <a:extLst>
            <a:ext uri="{FF2B5EF4-FFF2-40B4-BE49-F238E27FC236}">
              <a16:creationId xmlns:a16="http://schemas.microsoft.com/office/drawing/2014/main" id="{14DE63EF-41A9-4F0A-B440-7CA8CA8EB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99785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611</xdr:row>
      <xdr:rowOff>61767</xdr:rowOff>
    </xdr:from>
    <xdr:ext cx="543215" cy="290159"/>
    <xdr:pic>
      <xdr:nvPicPr>
        <xdr:cNvPr id="63" name="Imagem 62">
          <a:extLst>
            <a:ext uri="{FF2B5EF4-FFF2-40B4-BE49-F238E27FC236}">
              <a16:creationId xmlns:a16="http://schemas.microsoft.com/office/drawing/2014/main" id="{A2487ADF-4CBF-4112-8EA8-902C2DDB6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99778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633</xdr:row>
      <xdr:rowOff>68117</xdr:rowOff>
    </xdr:from>
    <xdr:ext cx="543215" cy="290159"/>
    <xdr:pic>
      <xdr:nvPicPr>
        <xdr:cNvPr id="64" name="Imagem 63">
          <a:extLst>
            <a:ext uri="{FF2B5EF4-FFF2-40B4-BE49-F238E27FC236}">
              <a16:creationId xmlns:a16="http://schemas.microsoft.com/office/drawing/2014/main" id="{5109E235-D084-4926-B50E-83D8AC9FA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03404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633</xdr:row>
      <xdr:rowOff>61767</xdr:rowOff>
    </xdr:from>
    <xdr:ext cx="543215" cy="290159"/>
    <xdr:pic>
      <xdr:nvPicPr>
        <xdr:cNvPr id="65" name="Imagem 64">
          <a:extLst>
            <a:ext uri="{FF2B5EF4-FFF2-40B4-BE49-F238E27FC236}">
              <a16:creationId xmlns:a16="http://schemas.microsoft.com/office/drawing/2014/main" id="{5C28014D-D975-486A-BEA6-580A1754F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03398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633</xdr:row>
      <xdr:rowOff>68117</xdr:rowOff>
    </xdr:from>
    <xdr:ext cx="543215" cy="290159"/>
    <xdr:pic>
      <xdr:nvPicPr>
        <xdr:cNvPr id="66" name="Imagem 65">
          <a:extLst>
            <a:ext uri="{FF2B5EF4-FFF2-40B4-BE49-F238E27FC236}">
              <a16:creationId xmlns:a16="http://schemas.microsoft.com/office/drawing/2014/main" id="{8BA91F3F-6C27-4329-B289-284C4804D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03404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633</xdr:row>
      <xdr:rowOff>61767</xdr:rowOff>
    </xdr:from>
    <xdr:ext cx="543215" cy="290159"/>
    <xdr:pic>
      <xdr:nvPicPr>
        <xdr:cNvPr id="67" name="Imagem 66">
          <a:extLst>
            <a:ext uri="{FF2B5EF4-FFF2-40B4-BE49-F238E27FC236}">
              <a16:creationId xmlns:a16="http://schemas.microsoft.com/office/drawing/2014/main" id="{6A33924E-F667-467A-A46C-8842068B1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03398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349</xdr:row>
      <xdr:rowOff>68117</xdr:rowOff>
    </xdr:from>
    <xdr:ext cx="543215" cy="290159"/>
    <xdr:pic>
      <xdr:nvPicPr>
        <xdr:cNvPr id="68" name="Imagem 67">
          <a:extLst>
            <a:ext uri="{FF2B5EF4-FFF2-40B4-BE49-F238E27FC236}">
              <a16:creationId xmlns:a16="http://schemas.microsoft.com/office/drawing/2014/main" id="{1A66C78E-37EA-414B-991A-774DC456C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569990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349</xdr:row>
      <xdr:rowOff>61767</xdr:rowOff>
    </xdr:from>
    <xdr:ext cx="543215" cy="290159"/>
    <xdr:pic>
      <xdr:nvPicPr>
        <xdr:cNvPr id="69" name="Imagem 68">
          <a:extLst>
            <a:ext uri="{FF2B5EF4-FFF2-40B4-BE49-F238E27FC236}">
              <a16:creationId xmlns:a16="http://schemas.microsoft.com/office/drawing/2014/main" id="{E2DED288-77A8-411A-81EF-5E48F4DD4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569926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655</xdr:row>
      <xdr:rowOff>68117</xdr:rowOff>
    </xdr:from>
    <xdr:ext cx="543215" cy="290159"/>
    <xdr:pic>
      <xdr:nvPicPr>
        <xdr:cNvPr id="70" name="Imagem 69">
          <a:extLst>
            <a:ext uri="{FF2B5EF4-FFF2-40B4-BE49-F238E27FC236}">
              <a16:creationId xmlns:a16="http://schemas.microsoft.com/office/drawing/2014/main" id="{DE687BC2-71B3-4209-ABB6-FC165B262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07024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655</xdr:row>
      <xdr:rowOff>61767</xdr:rowOff>
    </xdr:from>
    <xdr:ext cx="543215" cy="290159"/>
    <xdr:pic>
      <xdr:nvPicPr>
        <xdr:cNvPr id="71" name="Imagem 70">
          <a:extLst>
            <a:ext uri="{FF2B5EF4-FFF2-40B4-BE49-F238E27FC236}">
              <a16:creationId xmlns:a16="http://schemas.microsoft.com/office/drawing/2014/main" id="{73A4D650-3FF0-4B0B-8094-9B5484E9A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07017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677</xdr:row>
      <xdr:rowOff>68117</xdr:rowOff>
    </xdr:from>
    <xdr:ext cx="543215" cy="290159"/>
    <xdr:pic>
      <xdr:nvPicPr>
        <xdr:cNvPr id="72" name="Imagem 71">
          <a:extLst>
            <a:ext uri="{FF2B5EF4-FFF2-40B4-BE49-F238E27FC236}">
              <a16:creationId xmlns:a16="http://schemas.microsoft.com/office/drawing/2014/main" id="{EDA937D4-E915-4232-B19F-FE935F509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10643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677</xdr:row>
      <xdr:rowOff>61767</xdr:rowOff>
    </xdr:from>
    <xdr:ext cx="543215" cy="290159"/>
    <xdr:pic>
      <xdr:nvPicPr>
        <xdr:cNvPr id="73" name="Imagem 72">
          <a:extLst>
            <a:ext uri="{FF2B5EF4-FFF2-40B4-BE49-F238E27FC236}">
              <a16:creationId xmlns:a16="http://schemas.microsoft.com/office/drawing/2014/main" id="{92768A2A-8113-4FF3-9DF1-CCE1837A3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10637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655</xdr:row>
      <xdr:rowOff>68117</xdr:rowOff>
    </xdr:from>
    <xdr:ext cx="543215" cy="290159"/>
    <xdr:pic>
      <xdr:nvPicPr>
        <xdr:cNvPr id="74" name="Imagem 73">
          <a:extLst>
            <a:ext uri="{FF2B5EF4-FFF2-40B4-BE49-F238E27FC236}">
              <a16:creationId xmlns:a16="http://schemas.microsoft.com/office/drawing/2014/main" id="{CA37D2C3-B355-4FE5-A5B2-F72B795C4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07024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655</xdr:row>
      <xdr:rowOff>61767</xdr:rowOff>
    </xdr:from>
    <xdr:ext cx="543215" cy="290159"/>
    <xdr:pic>
      <xdr:nvPicPr>
        <xdr:cNvPr id="75" name="Imagem 74">
          <a:extLst>
            <a:ext uri="{FF2B5EF4-FFF2-40B4-BE49-F238E27FC236}">
              <a16:creationId xmlns:a16="http://schemas.microsoft.com/office/drawing/2014/main" id="{0ECB73B9-6D12-451F-AA30-EA67E1295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07017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677</xdr:row>
      <xdr:rowOff>68117</xdr:rowOff>
    </xdr:from>
    <xdr:ext cx="543215" cy="290159"/>
    <xdr:pic>
      <xdr:nvPicPr>
        <xdr:cNvPr id="76" name="Imagem 75">
          <a:extLst>
            <a:ext uri="{FF2B5EF4-FFF2-40B4-BE49-F238E27FC236}">
              <a16:creationId xmlns:a16="http://schemas.microsoft.com/office/drawing/2014/main" id="{84A22770-3E60-4953-B342-EA73B2F42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10643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677</xdr:row>
      <xdr:rowOff>61767</xdr:rowOff>
    </xdr:from>
    <xdr:ext cx="543215" cy="290159"/>
    <xdr:pic>
      <xdr:nvPicPr>
        <xdr:cNvPr id="77" name="Imagem 76">
          <a:extLst>
            <a:ext uri="{FF2B5EF4-FFF2-40B4-BE49-F238E27FC236}">
              <a16:creationId xmlns:a16="http://schemas.microsoft.com/office/drawing/2014/main" id="{C8A7028C-1DCF-40EB-9D30-A05F42B10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10637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699</xdr:row>
      <xdr:rowOff>68117</xdr:rowOff>
    </xdr:from>
    <xdr:ext cx="543215" cy="290159"/>
    <xdr:pic>
      <xdr:nvPicPr>
        <xdr:cNvPr id="78" name="Imagem 77">
          <a:extLst>
            <a:ext uri="{FF2B5EF4-FFF2-40B4-BE49-F238E27FC236}">
              <a16:creationId xmlns:a16="http://schemas.microsoft.com/office/drawing/2014/main" id="{8BF3D764-D467-46B2-BEF9-D0C5A9538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14263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699</xdr:row>
      <xdr:rowOff>61767</xdr:rowOff>
    </xdr:from>
    <xdr:ext cx="543215" cy="290159"/>
    <xdr:pic>
      <xdr:nvPicPr>
        <xdr:cNvPr id="79" name="Imagem 78">
          <a:extLst>
            <a:ext uri="{FF2B5EF4-FFF2-40B4-BE49-F238E27FC236}">
              <a16:creationId xmlns:a16="http://schemas.microsoft.com/office/drawing/2014/main" id="{5F192D24-4101-46D6-8D52-021CE8178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14256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721</xdr:row>
      <xdr:rowOff>68117</xdr:rowOff>
    </xdr:from>
    <xdr:ext cx="543215" cy="290159"/>
    <xdr:pic>
      <xdr:nvPicPr>
        <xdr:cNvPr id="80" name="Imagem 79">
          <a:extLst>
            <a:ext uri="{FF2B5EF4-FFF2-40B4-BE49-F238E27FC236}">
              <a16:creationId xmlns:a16="http://schemas.microsoft.com/office/drawing/2014/main" id="{0B5948BB-9802-4B8F-BEE3-8696CFF7E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17882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721</xdr:row>
      <xdr:rowOff>61767</xdr:rowOff>
    </xdr:from>
    <xdr:ext cx="543215" cy="290159"/>
    <xdr:pic>
      <xdr:nvPicPr>
        <xdr:cNvPr id="81" name="Imagem 80">
          <a:extLst>
            <a:ext uri="{FF2B5EF4-FFF2-40B4-BE49-F238E27FC236}">
              <a16:creationId xmlns:a16="http://schemas.microsoft.com/office/drawing/2014/main" id="{34C727A5-59D0-456D-BE9A-A6C13588C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17876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699</xdr:row>
      <xdr:rowOff>68117</xdr:rowOff>
    </xdr:from>
    <xdr:ext cx="543215" cy="290159"/>
    <xdr:pic>
      <xdr:nvPicPr>
        <xdr:cNvPr id="82" name="Imagem 81">
          <a:extLst>
            <a:ext uri="{FF2B5EF4-FFF2-40B4-BE49-F238E27FC236}">
              <a16:creationId xmlns:a16="http://schemas.microsoft.com/office/drawing/2014/main" id="{EC0FF21D-47CF-4BFA-B3DD-1AD8EE829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14263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699</xdr:row>
      <xdr:rowOff>61767</xdr:rowOff>
    </xdr:from>
    <xdr:ext cx="543215" cy="290159"/>
    <xdr:pic>
      <xdr:nvPicPr>
        <xdr:cNvPr id="83" name="Imagem 82">
          <a:extLst>
            <a:ext uri="{FF2B5EF4-FFF2-40B4-BE49-F238E27FC236}">
              <a16:creationId xmlns:a16="http://schemas.microsoft.com/office/drawing/2014/main" id="{49A5A12F-E10D-448B-BA1D-BA4475E91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14256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721</xdr:row>
      <xdr:rowOff>68117</xdr:rowOff>
    </xdr:from>
    <xdr:ext cx="543215" cy="290159"/>
    <xdr:pic>
      <xdr:nvPicPr>
        <xdr:cNvPr id="84" name="Imagem 83">
          <a:extLst>
            <a:ext uri="{FF2B5EF4-FFF2-40B4-BE49-F238E27FC236}">
              <a16:creationId xmlns:a16="http://schemas.microsoft.com/office/drawing/2014/main" id="{EAB7BC40-F986-43A1-A303-C78157373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17882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721</xdr:row>
      <xdr:rowOff>61767</xdr:rowOff>
    </xdr:from>
    <xdr:ext cx="543215" cy="290159"/>
    <xdr:pic>
      <xdr:nvPicPr>
        <xdr:cNvPr id="85" name="Imagem 84">
          <a:extLst>
            <a:ext uri="{FF2B5EF4-FFF2-40B4-BE49-F238E27FC236}">
              <a16:creationId xmlns:a16="http://schemas.microsoft.com/office/drawing/2014/main" id="{FB8708D5-2204-4EB7-98D6-2A4DBB789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17876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699</xdr:row>
      <xdr:rowOff>68117</xdr:rowOff>
    </xdr:from>
    <xdr:ext cx="543215" cy="290159"/>
    <xdr:pic>
      <xdr:nvPicPr>
        <xdr:cNvPr id="86" name="Imagem 85">
          <a:extLst>
            <a:ext uri="{FF2B5EF4-FFF2-40B4-BE49-F238E27FC236}">
              <a16:creationId xmlns:a16="http://schemas.microsoft.com/office/drawing/2014/main" id="{A3E9F41A-3C50-4823-89AF-063076D3F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14263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699</xdr:row>
      <xdr:rowOff>61767</xdr:rowOff>
    </xdr:from>
    <xdr:ext cx="543215" cy="290159"/>
    <xdr:pic>
      <xdr:nvPicPr>
        <xdr:cNvPr id="87" name="Imagem 86">
          <a:extLst>
            <a:ext uri="{FF2B5EF4-FFF2-40B4-BE49-F238E27FC236}">
              <a16:creationId xmlns:a16="http://schemas.microsoft.com/office/drawing/2014/main" id="{850CFB5B-E6FB-4B18-8055-00D20FE75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14256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721</xdr:row>
      <xdr:rowOff>68117</xdr:rowOff>
    </xdr:from>
    <xdr:ext cx="543215" cy="290159"/>
    <xdr:pic>
      <xdr:nvPicPr>
        <xdr:cNvPr id="88" name="Imagem 87">
          <a:extLst>
            <a:ext uri="{FF2B5EF4-FFF2-40B4-BE49-F238E27FC236}">
              <a16:creationId xmlns:a16="http://schemas.microsoft.com/office/drawing/2014/main" id="{60FD7E1A-AF5A-4577-9477-B401F1075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17882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721</xdr:row>
      <xdr:rowOff>61767</xdr:rowOff>
    </xdr:from>
    <xdr:ext cx="543215" cy="290159"/>
    <xdr:pic>
      <xdr:nvPicPr>
        <xdr:cNvPr id="89" name="Imagem 88">
          <a:extLst>
            <a:ext uri="{FF2B5EF4-FFF2-40B4-BE49-F238E27FC236}">
              <a16:creationId xmlns:a16="http://schemas.microsoft.com/office/drawing/2014/main" id="{4C17F7D8-4BEC-4578-8E53-51AF4E597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17876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699</xdr:row>
      <xdr:rowOff>68117</xdr:rowOff>
    </xdr:from>
    <xdr:ext cx="543215" cy="290159"/>
    <xdr:pic>
      <xdr:nvPicPr>
        <xdr:cNvPr id="90" name="Imagem 89">
          <a:extLst>
            <a:ext uri="{FF2B5EF4-FFF2-40B4-BE49-F238E27FC236}">
              <a16:creationId xmlns:a16="http://schemas.microsoft.com/office/drawing/2014/main" id="{FE154C1B-097D-4BFC-9872-99974A991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14263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699</xdr:row>
      <xdr:rowOff>61767</xdr:rowOff>
    </xdr:from>
    <xdr:ext cx="543215" cy="290159"/>
    <xdr:pic>
      <xdr:nvPicPr>
        <xdr:cNvPr id="91" name="Imagem 90">
          <a:extLst>
            <a:ext uri="{FF2B5EF4-FFF2-40B4-BE49-F238E27FC236}">
              <a16:creationId xmlns:a16="http://schemas.microsoft.com/office/drawing/2014/main" id="{A17C8303-4B17-4349-AD30-E6967ACD6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14256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721</xdr:row>
      <xdr:rowOff>68117</xdr:rowOff>
    </xdr:from>
    <xdr:ext cx="543215" cy="290159"/>
    <xdr:pic>
      <xdr:nvPicPr>
        <xdr:cNvPr id="92" name="Imagem 91">
          <a:extLst>
            <a:ext uri="{FF2B5EF4-FFF2-40B4-BE49-F238E27FC236}">
              <a16:creationId xmlns:a16="http://schemas.microsoft.com/office/drawing/2014/main" id="{0356A16A-D642-4D7E-803D-3FD5A7EE8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17882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721</xdr:row>
      <xdr:rowOff>61767</xdr:rowOff>
    </xdr:from>
    <xdr:ext cx="543215" cy="290159"/>
    <xdr:pic>
      <xdr:nvPicPr>
        <xdr:cNvPr id="93" name="Imagem 92">
          <a:extLst>
            <a:ext uri="{FF2B5EF4-FFF2-40B4-BE49-F238E27FC236}">
              <a16:creationId xmlns:a16="http://schemas.microsoft.com/office/drawing/2014/main" id="{2AF46BA8-D363-4124-A212-BD20EBCA7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17876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743</xdr:row>
      <xdr:rowOff>68117</xdr:rowOff>
    </xdr:from>
    <xdr:ext cx="543215" cy="290159"/>
    <xdr:pic>
      <xdr:nvPicPr>
        <xdr:cNvPr id="94" name="Imagem 93">
          <a:extLst>
            <a:ext uri="{FF2B5EF4-FFF2-40B4-BE49-F238E27FC236}">
              <a16:creationId xmlns:a16="http://schemas.microsoft.com/office/drawing/2014/main" id="{B54ACB37-1737-479A-9D80-075BEBF13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21502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743</xdr:row>
      <xdr:rowOff>61767</xdr:rowOff>
    </xdr:from>
    <xdr:ext cx="543215" cy="290159"/>
    <xdr:pic>
      <xdr:nvPicPr>
        <xdr:cNvPr id="95" name="Imagem 94">
          <a:extLst>
            <a:ext uri="{FF2B5EF4-FFF2-40B4-BE49-F238E27FC236}">
              <a16:creationId xmlns:a16="http://schemas.microsoft.com/office/drawing/2014/main" id="{39AC8523-FF63-4015-A14C-3A71F6D40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21495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743</xdr:row>
      <xdr:rowOff>68117</xdr:rowOff>
    </xdr:from>
    <xdr:ext cx="543215" cy="290159"/>
    <xdr:pic>
      <xdr:nvPicPr>
        <xdr:cNvPr id="96" name="Imagem 95">
          <a:extLst>
            <a:ext uri="{FF2B5EF4-FFF2-40B4-BE49-F238E27FC236}">
              <a16:creationId xmlns:a16="http://schemas.microsoft.com/office/drawing/2014/main" id="{08088A21-FEE3-4B8D-B580-32323E92A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21502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743</xdr:row>
      <xdr:rowOff>61767</xdr:rowOff>
    </xdr:from>
    <xdr:ext cx="543215" cy="290159"/>
    <xdr:pic>
      <xdr:nvPicPr>
        <xdr:cNvPr id="97" name="Imagem 96">
          <a:extLst>
            <a:ext uri="{FF2B5EF4-FFF2-40B4-BE49-F238E27FC236}">
              <a16:creationId xmlns:a16="http://schemas.microsoft.com/office/drawing/2014/main" id="{5F7919EA-BD62-4786-9DA1-96C1A8C14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21495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743</xdr:row>
      <xdr:rowOff>68117</xdr:rowOff>
    </xdr:from>
    <xdr:ext cx="543215" cy="290159"/>
    <xdr:pic>
      <xdr:nvPicPr>
        <xdr:cNvPr id="98" name="Imagem 97">
          <a:extLst>
            <a:ext uri="{FF2B5EF4-FFF2-40B4-BE49-F238E27FC236}">
              <a16:creationId xmlns:a16="http://schemas.microsoft.com/office/drawing/2014/main" id="{DA971C91-91E4-45F3-B7A8-1F3565471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21502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743</xdr:row>
      <xdr:rowOff>61767</xdr:rowOff>
    </xdr:from>
    <xdr:ext cx="543215" cy="290159"/>
    <xdr:pic>
      <xdr:nvPicPr>
        <xdr:cNvPr id="99" name="Imagem 98">
          <a:extLst>
            <a:ext uri="{FF2B5EF4-FFF2-40B4-BE49-F238E27FC236}">
              <a16:creationId xmlns:a16="http://schemas.microsoft.com/office/drawing/2014/main" id="{AF483341-C181-4FAF-BDA5-A1A9A798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21495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743</xdr:row>
      <xdr:rowOff>68117</xdr:rowOff>
    </xdr:from>
    <xdr:ext cx="543215" cy="290159"/>
    <xdr:pic>
      <xdr:nvPicPr>
        <xdr:cNvPr id="100" name="Imagem 99">
          <a:extLst>
            <a:ext uri="{FF2B5EF4-FFF2-40B4-BE49-F238E27FC236}">
              <a16:creationId xmlns:a16="http://schemas.microsoft.com/office/drawing/2014/main" id="{C14FF64D-B398-452E-A1AE-A18244E99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21502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743</xdr:row>
      <xdr:rowOff>61767</xdr:rowOff>
    </xdr:from>
    <xdr:ext cx="543215" cy="290159"/>
    <xdr:pic>
      <xdr:nvPicPr>
        <xdr:cNvPr id="101" name="Imagem 100">
          <a:extLst>
            <a:ext uri="{FF2B5EF4-FFF2-40B4-BE49-F238E27FC236}">
              <a16:creationId xmlns:a16="http://schemas.microsoft.com/office/drawing/2014/main" id="{2360434E-C328-4239-AA63-2D83E8D06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21495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765</xdr:row>
      <xdr:rowOff>68117</xdr:rowOff>
    </xdr:from>
    <xdr:ext cx="543215" cy="290159"/>
    <xdr:pic>
      <xdr:nvPicPr>
        <xdr:cNvPr id="102" name="Imagem 101">
          <a:extLst>
            <a:ext uri="{FF2B5EF4-FFF2-40B4-BE49-F238E27FC236}">
              <a16:creationId xmlns:a16="http://schemas.microsoft.com/office/drawing/2014/main" id="{553AA978-B519-4637-A1DA-55AD8C327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25121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765</xdr:row>
      <xdr:rowOff>61767</xdr:rowOff>
    </xdr:from>
    <xdr:ext cx="543215" cy="290159"/>
    <xdr:pic>
      <xdr:nvPicPr>
        <xdr:cNvPr id="103" name="Imagem 102">
          <a:extLst>
            <a:ext uri="{FF2B5EF4-FFF2-40B4-BE49-F238E27FC236}">
              <a16:creationId xmlns:a16="http://schemas.microsoft.com/office/drawing/2014/main" id="{A53C86CF-DC11-469C-AD49-5CD3C51D7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25115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787</xdr:row>
      <xdr:rowOff>68117</xdr:rowOff>
    </xdr:from>
    <xdr:ext cx="543215" cy="290159"/>
    <xdr:pic>
      <xdr:nvPicPr>
        <xdr:cNvPr id="104" name="Imagem 103">
          <a:extLst>
            <a:ext uri="{FF2B5EF4-FFF2-40B4-BE49-F238E27FC236}">
              <a16:creationId xmlns:a16="http://schemas.microsoft.com/office/drawing/2014/main" id="{E317116F-D9EA-449D-9BF9-03A5BBF21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28741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787</xdr:row>
      <xdr:rowOff>61767</xdr:rowOff>
    </xdr:from>
    <xdr:ext cx="543215" cy="290159"/>
    <xdr:pic>
      <xdr:nvPicPr>
        <xdr:cNvPr id="105" name="Imagem 104">
          <a:extLst>
            <a:ext uri="{FF2B5EF4-FFF2-40B4-BE49-F238E27FC236}">
              <a16:creationId xmlns:a16="http://schemas.microsoft.com/office/drawing/2014/main" id="{A79346A8-5EEC-40AB-8160-43FBA22FF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28734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809</xdr:row>
      <xdr:rowOff>68117</xdr:rowOff>
    </xdr:from>
    <xdr:ext cx="543215" cy="290159"/>
    <xdr:pic>
      <xdr:nvPicPr>
        <xdr:cNvPr id="106" name="Imagem 105">
          <a:extLst>
            <a:ext uri="{FF2B5EF4-FFF2-40B4-BE49-F238E27FC236}">
              <a16:creationId xmlns:a16="http://schemas.microsoft.com/office/drawing/2014/main" id="{A2EFC2BD-AEBE-4463-9984-127FE9993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32360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809</xdr:row>
      <xdr:rowOff>61767</xdr:rowOff>
    </xdr:from>
    <xdr:ext cx="543215" cy="290159"/>
    <xdr:pic>
      <xdr:nvPicPr>
        <xdr:cNvPr id="107" name="Imagem 106">
          <a:extLst>
            <a:ext uri="{FF2B5EF4-FFF2-40B4-BE49-F238E27FC236}">
              <a16:creationId xmlns:a16="http://schemas.microsoft.com/office/drawing/2014/main" id="{9EFDF206-038A-44DF-AE10-1A3AA6252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32354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809</xdr:row>
      <xdr:rowOff>68117</xdr:rowOff>
    </xdr:from>
    <xdr:ext cx="543215" cy="290159"/>
    <xdr:pic>
      <xdr:nvPicPr>
        <xdr:cNvPr id="108" name="Imagem 107">
          <a:extLst>
            <a:ext uri="{FF2B5EF4-FFF2-40B4-BE49-F238E27FC236}">
              <a16:creationId xmlns:a16="http://schemas.microsoft.com/office/drawing/2014/main" id="{640081A3-5804-4F65-8703-FE4409E28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32360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809</xdr:row>
      <xdr:rowOff>61767</xdr:rowOff>
    </xdr:from>
    <xdr:ext cx="543215" cy="290159"/>
    <xdr:pic>
      <xdr:nvPicPr>
        <xdr:cNvPr id="109" name="Imagem 108">
          <a:extLst>
            <a:ext uri="{FF2B5EF4-FFF2-40B4-BE49-F238E27FC236}">
              <a16:creationId xmlns:a16="http://schemas.microsoft.com/office/drawing/2014/main" id="{BE9A9B5D-9FEE-464B-84FA-AFE355447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32354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831</xdr:row>
      <xdr:rowOff>68117</xdr:rowOff>
    </xdr:from>
    <xdr:ext cx="543215" cy="290159"/>
    <xdr:pic>
      <xdr:nvPicPr>
        <xdr:cNvPr id="110" name="Imagem 109">
          <a:extLst>
            <a:ext uri="{FF2B5EF4-FFF2-40B4-BE49-F238E27FC236}">
              <a16:creationId xmlns:a16="http://schemas.microsoft.com/office/drawing/2014/main" id="{28BA7F49-A317-49AF-8654-BF28D2B64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35980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831</xdr:row>
      <xdr:rowOff>61767</xdr:rowOff>
    </xdr:from>
    <xdr:ext cx="543215" cy="290159"/>
    <xdr:pic>
      <xdr:nvPicPr>
        <xdr:cNvPr id="111" name="Imagem 110">
          <a:extLst>
            <a:ext uri="{FF2B5EF4-FFF2-40B4-BE49-F238E27FC236}">
              <a16:creationId xmlns:a16="http://schemas.microsoft.com/office/drawing/2014/main" id="{FD77A76C-70A2-4F08-A509-755F953DE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35973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853</xdr:row>
      <xdr:rowOff>68117</xdr:rowOff>
    </xdr:from>
    <xdr:ext cx="543215" cy="290159"/>
    <xdr:pic>
      <xdr:nvPicPr>
        <xdr:cNvPr id="112" name="Imagem 111">
          <a:extLst>
            <a:ext uri="{FF2B5EF4-FFF2-40B4-BE49-F238E27FC236}">
              <a16:creationId xmlns:a16="http://schemas.microsoft.com/office/drawing/2014/main" id="{2734DC85-4C27-4A75-AF07-D54420FC2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39599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853</xdr:row>
      <xdr:rowOff>61767</xdr:rowOff>
    </xdr:from>
    <xdr:ext cx="543215" cy="290159"/>
    <xdr:pic>
      <xdr:nvPicPr>
        <xdr:cNvPr id="113" name="Imagem 112">
          <a:extLst>
            <a:ext uri="{FF2B5EF4-FFF2-40B4-BE49-F238E27FC236}">
              <a16:creationId xmlns:a16="http://schemas.microsoft.com/office/drawing/2014/main" id="{CB62D96D-9536-445C-A17A-8C02FF58A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39593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875</xdr:row>
      <xdr:rowOff>68117</xdr:rowOff>
    </xdr:from>
    <xdr:ext cx="543215" cy="290159"/>
    <xdr:pic>
      <xdr:nvPicPr>
        <xdr:cNvPr id="114" name="Imagem 113">
          <a:extLst>
            <a:ext uri="{FF2B5EF4-FFF2-40B4-BE49-F238E27FC236}">
              <a16:creationId xmlns:a16="http://schemas.microsoft.com/office/drawing/2014/main" id="{D7944AC7-F6E6-45F6-B4C8-33F1AE892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43219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875</xdr:row>
      <xdr:rowOff>61767</xdr:rowOff>
    </xdr:from>
    <xdr:ext cx="543215" cy="290159"/>
    <xdr:pic>
      <xdr:nvPicPr>
        <xdr:cNvPr id="115" name="Imagem 114">
          <a:extLst>
            <a:ext uri="{FF2B5EF4-FFF2-40B4-BE49-F238E27FC236}">
              <a16:creationId xmlns:a16="http://schemas.microsoft.com/office/drawing/2014/main" id="{55A5EE58-8AFF-4AEA-B075-25A7393C0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43212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875</xdr:row>
      <xdr:rowOff>68117</xdr:rowOff>
    </xdr:from>
    <xdr:ext cx="543215" cy="290159"/>
    <xdr:pic>
      <xdr:nvPicPr>
        <xdr:cNvPr id="116" name="Imagem 115">
          <a:extLst>
            <a:ext uri="{FF2B5EF4-FFF2-40B4-BE49-F238E27FC236}">
              <a16:creationId xmlns:a16="http://schemas.microsoft.com/office/drawing/2014/main" id="{CBD19F37-BC60-4AFB-A027-5350BE82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43219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875</xdr:row>
      <xdr:rowOff>61767</xdr:rowOff>
    </xdr:from>
    <xdr:ext cx="543215" cy="290159"/>
    <xdr:pic>
      <xdr:nvPicPr>
        <xdr:cNvPr id="117" name="Imagem 116">
          <a:extLst>
            <a:ext uri="{FF2B5EF4-FFF2-40B4-BE49-F238E27FC236}">
              <a16:creationId xmlns:a16="http://schemas.microsoft.com/office/drawing/2014/main" id="{13C67CF6-A8F9-4712-B3CC-3D0944E5B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43212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897</xdr:row>
      <xdr:rowOff>68117</xdr:rowOff>
    </xdr:from>
    <xdr:ext cx="543215" cy="290159"/>
    <xdr:pic>
      <xdr:nvPicPr>
        <xdr:cNvPr id="118" name="Imagem 117">
          <a:extLst>
            <a:ext uri="{FF2B5EF4-FFF2-40B4-BE49-F238E27FC236}">
              <a16:creationId xmlns:a16="http://schemas.microsoft.com/office/drawing/2014/main" id="{D901ED6D-C7C0-4A9C-9712-32D8FEB74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46838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897</xdr:row>
      <xdr:rowOff>61767</xdr:rowOff>
    </xdr:from>
    <xdr:ext cx="543215" cy="290159"/>
    <xdr:pic>
      <xdr:nvPicPr>
        <xdr:cNvPr id="119" name="Imagem 118">
          <a:extLst>
            <a:ext uri="{FF2B5EF4-FFF2-40B4-BE49-F238E27FC236}">
              <a16:creationId xmlns:a16="http://schemas.microsoft.com/office/drawing/2014/main" id="{3535B4D9-B8B1-497C-A2CE-DB032F2AB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46832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919</xdr:row>
      <xdr:rowOff>68117</xdr:rowOff>
    </xdr:from>
    <xdr:ext cx="543215" cy="290159"/>
    <xdr:pic>
      <xdr:nvPicPr>
        <xdr:cNvPr id="120" name="Imagem 119">
          <a:extLst>
            <a:ext uri="{FF2B5EF4-FFF2-40B4-BE49-F238E27FC236}">
              <a16:creationId xmlns:a16="http://schemas.microsoft.com/office/drawing/2014/main" id="{FBF255C2-451B-4CDF-A71B-19B07BDB1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50458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919</xdr:row>
      <xdr:rowOff>61767</xdr:rowOff>
    </xdr:from>
    <xdr:ext cx="543215" cy="290159"/>
    <xdr:pic>
      <xdr:nvPicPr>
        <xdr:cNvPr id="121" name="Imagem 120">
          <a:extLst>
            <a:ext uri="{FF2B5EF4-FFF2-40B4-BE49-F238E27FC236}">
              <a16:creationId xmlns:a16="http://schemas.microsoft.com/office/drawing/2014/main" id="{38A249BC-92CC-4594-80A2-C5250432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50451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941</xdr:row>
      <xdr:rowOff>68117</xdr:rowOff>
    </xdr:from>
    <xdr:ext cx="543215" cy="290159"/>
    <xdr:pic>
      <xdr:nvPicPr>
        <xdr:cNvPr id="122" name="Imagem 121">
          <a:extLst>
            <a:ext uri="{FF2B5EF4-FFF2-40B4-BE49-F238E27FC236}">
              <a16:creationId xmlns:a16="http://schemas.microsoft.com/office/drawing/2014/main" id="{6471C7B6-FFE9-4408-BD57-E46E776E5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54077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941</xdr:row>
      <xdr:rowOff>61767</xdr:rowOff>
    </xdr:from>
    <xdr:ext cx="543215" cy="290159"/>
    <xdr:pic>
      <xdr:nvPicPr>
        <xdr:cNvPr id="123" name="Imagem 122">
          <a:extLst>
            <a:ext uri="{FF2B5EF4-FFF2-40B4-BE49-F238E27FC236}">
              <a16:creationId xmlns:a16="http://schemas.microsoft.com/office/drawing/2014/main" id="{9EDBFB30-0882-4B13-9245-6EE82D4B0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54071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941</xdr:row>
      <xdr:rowOff>68117</xdr:rowOff>
    </xdr:from>
    <xdr:ext cx="543215" cy="290159"/>
    <xdr:pic>
      <xdr:nvPicPr>
        <xdr:cNvPr id="124" name="Imagem 123">
          <a:extLst>
            <a:ext uri="{FF2B5EF4-FFF2-40B4-BE49-F238E27FC236}">
              <a16:creationId xmlns:a16="http://schemas.microsoft.com/office/drawing/2014/main" id="{29D6B2BB-AB01-480B-A75E-BC2F063C9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54077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941</xdr:row>
      <xdr:rowOff>61767</xdr:rowOff>
    </xdr:from>
    <xdr:ext cx="543215" cy="290159"/>
    <xdr:pic>
      <xdr:nvPicPr>
        <xdr:cNvPr id="125" name="Imagem 124">
          <a:extLst>
            <a:ext uri="{FF2B5EF4-FFF2-40B4-BE49-F238E27FC236}">
              <a16:creationId xmlns:a16="http://schemas.microsoft.com/office/drawing/2014/main" id="{EC506C96-FEDB-4967-B643-00549C9E3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54071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963</xdr:row>
      <xdr:rowOff>68117</xdr:rowOff>
    </xdr:from>
    <xdr:ext cx="543215" cy="290159"/>
    <xdr:pic>
      <xdr:nvPicPr>
        <xdr:cNvPr id="126" name="Imagem 125">
          <a:extLst>
            <a:ext uri="{FF2B5EF4-FFF2-40B4-BE49-F238E27FC236}">
              <a16:creationId xmlns:a16="http://schemas.microsoft.com/office/drawing/2014/main" id="{B902BF69-EF21-4C8D-9441-ADFCC43D4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57697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963</xdr:row>
      <xdr:rowOff>61767</xdr:rowOff>
    </xdr:from>
    <xdr:ext cx="543215" cy="290159"/>
    <xdr:pic>
      <xdr:nvPicPr>
        <xdr:cNvPr id="127" name="Imagem 126">
          <a:extLst>
            <a:ext uri="{FF2B5EF4-FFF2-40B4-BE49-F238E27FC236}">
              <a16:creationId xmlns:a16="http://schemas.microsoft.com/office/drawing/2014/main" id="{F01DA776-07DD-4D16-9BE4-6EFEB437C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57690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985</xdr:row>
      <xdr:rowOff>68117</xdr:rowOff>
    </xdr:from>
    <xdr:ext cx="543215" cy="290159"/>
    <xdr:pic>
      <xdr:nvPicPr>
        <xdr:cNvPr id="128" name="Imagem 127">
          <a:extLst>
            <a:ext uri="{FF2B5EF4-FFF2-40B4-BE49-F238E27FC236}">
              <a16:creationId xmlns:a16="http://schemas.microsoft.com/office/drawing/2014/main" id="{D686E5D1-2BA7-46A4-9A8C-AC5700457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61316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985</xdr:row>
      <xdr:rowOff>61767</xdr:rowOff>
    </xdr:from>
    <xdr:ext cx="543215" cy="290159"/>
    <xdr:pic>
      <xdr:nvPicPr>
        <xdr:cNvPr id="129" name="Imagem 128">
          <a:extLst>
            <a:ext uri="{FF2B5EF4-FFF2-40B4-BE49-F238E27FC236}">
              <a16:creationId xmlns:a16="http://schemas.microsoft.com/office/drawing/2014/main" id="{1D0330F3-1947-4984-A451-51B552E04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61310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963</xdr:row>
      <xdr:rowOff>68117</xdr:rowOff>
    </xdr:from>
    <xdr:ext cx="543215" cy="290159"/>
    <xdr:pic>
      <xdr:nvPicPr>
        <xdr:cNvPr id="130" name="Imagem 129">
          <a:extLst>
            <a:ext uri="{FF2B5EF4-FFF2-40B4-BE49-F238E27FC236}">
              <a16:creationId xmlns:a16="http://schemas.microsoft.com/office/drawing/2014/main" id="{D50103BC-EB0B-4F05-B5E1-FBFE9A978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57697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963</xdr:row>
      <xdr:rowOff>61767</xdr:rowOff>
    </xdr:from>
    <xdr:ext cx="543215" cy="290159"/>
    <xdr:pic>
      <xdr:nvPicPr>
        <xdr:cNvPr id="131" name="Imagem 130">
          <a:extLst>
            <a:ext uri="{FF2B5EF4-FFF2-40B4-BE49-F238E27FC236}">
              <a16:creationId xmlns:a16="http://schemas.microsoft.com/office/drawing/2014/main" id="{91BB0DEC-8827-49A0-AC63-67AF787D1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57690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985</xdr:row>
      <xdr:rowOff>68117</xdr:rowOff>
    </xdr:from>
    <xdr:ext cx="543215" cy="290159"/>
    <xdr:pic>
      <xdr:nvPicPr>
        <xdr:cNvPr id="132" name="Imagem 131">
          <a:extLst>
            <a:ext uri="{FF2B5EF4-FFF2-40B4-BE49-F238E27FC236}">
              <a16:creationId xmlns:a16="http://schemas.microsoft.com/office/drawing/2014/main" id="{3458D60C-4166-4430-BB57-F4C790DBF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61316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985</xdr:row>
      <xdr:rowOff>61767</xdr:rowOff>
    </xdr:from>
    <xdr:ext cx="543215" cy="290159"/>
    <xdr:pic>
      <xdr:nvPicPr>
        <xdr:cNvPr id="133" name="Imagem 132">
          <a:extLst>
            <a:ext uri="{FF2B5EF4-FFF2-40B4-BE49-F238E27FC236}">
              <a16:creationId xmlns:a16="http://schemas.microsoft.com/office/drawing/2014/main" id="{588F913B-48BC-45F7-9496-D0D1C67E5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61310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1007</xdr:row>
      <xdr:rowOff>68117</xdr:rowOff>
    </xdr:from>
    <xdr:ext cx="543215" cy="290159"/>
    <xdr:pic>
      <xdr:nvPicPr>
        <xdr:cNvPr id="134" name="Imagem 133">
          <a:extLst>
            <a:ext uri="{FF2B5EF4-FFF2-40B4-BE49-F238E27FC236}">
              <a16:creationId xmlns:a16="http://schemas.microsoft.com/office/drawing/2014/main" id="{24C58B90-4414-4893-8905-46FD4A527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64936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1007</xdr:row>
      <xdr:rowOff>61767</xdr:rowOff>
    </xdr:from>
    <xdr:ext cx="543215" cy="290159"/>
    <xdr:pic>
      <xdr:nvPicPr>
        <xdr:cNvPr id="135" name="Imagem 134">
          <a:extLst>
            <a:ext uri="{FF2B5EF4-FFF2-40B4-BE49-F238E27FC236}">
              <a16:creationId xmlns:a16="http://schemas.microsoft.com/office/drawing/2014/main" id="{2E7B996C-C63F-4604-B192-4E0FA0166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64929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1073</xdr:row>
      <xdr:rowOff>68117</xdr:rowOff>
    </xdr:from>
    <xdr:ext cx="543215" cy="290159"/>
    <xdr:pic>
      <xdr:nvPicPr>
        <xdr:cNvPr id="136" name="Imagem 135">
          <a:extLst>
            <a:ext uri="{FF2B5EF4-FFF2-40B4-BE49-F238E27FC236}">
              <a16:creationId xmlns:a16="http://schemas.microsoft.com/office/drawing/2014/main" id="{A401073A-C9BC-49D5-AFE1-2759BD195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75794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1029</xdr:row>
      <xdr:rowOff>61767</xdr:rowOff>
    </xdr:from>
    <xdr:ext cx="543215" cy="290159"/>
    <xdr:pic>
      <xdr:nvPicPr>
        <xdr:cNvPr id="137" name="Imagem 136">
          <a:extLst>
            <a:ext uri="{FF2B5EF4-FFF2-40B4-BE49-F238E27FC236}">
              <a16:creationId xmlns:a16="http://schemas.microsoft.com/office/drawing/2014/main" id="{FAB7351A-7264-4F67-A1BA-342FC843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68549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1007</xdr:row>
      <xdr:rowOff>68117</xdr:rowOff>
    </xdr:from>
    <xdr:ext cx="543215" cy="290159"/>
    <xdr:pic>
      <xdr:nvPicPr>
        <xdr:cNvPr id="138" name="Imagem 137">
          <a:extLst>
            <a:ext uri="{FF2B5EF4-FFF2-40B4-BE49-F238E27FC236}">
              <a16:creationId xmlns:a16="http://schemas.microsoft.com/office/drawing/2014/main" id="{02878A5A-A266-41F0-A761-4D1EF48AE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64936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1007</xdr:row>
      <xdr:rowOff>61767</xdr:rowOff>
    </xdr:from>
    <xdr:ext cx="543215" cy="290159"/>
    <xdr:pic>
      <xdr:nvPicPr>
        <xdr:cNvPr id="139" name="Imagem 138">
          <a:extLst>
            <a:ext uri="{FF2B5EF4-FFF2-40B4-BE49-F238E27FC236}">
              <a16:creationId xmlns:a16="http://schemas.microsoft.com/office/drawing/2014/main" id="{C3587D9A-A760-4A90-8CC2-BDDED3490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64929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1073</xdr:row>
      <xdr:rowOff>68117</xdr:rowOff>
    </xdr:from>
    <xdr:ext cx="543215" cy="290159"/>
    <xdr:pic>
      <xdr:nvPicPr>
        <xdr:cNvPr id="140" name="Imagem 139">
          <a:extLst>
            <a:ext uri="{FF2B5EF4-FFF2-40B4-BE49-F238E27FC236}">
              <a16:creationId xmlns:a16="http://schemas.microsoft.com/office/drawing/2014/main" id="{768C6EB7-0B12-4D78-976D-67027AEB1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75794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1029</xdr:row>
      <xdr:rowOff>61767</xdr:rowOff>
    </xdr:from>
    <xdr:ext cx="543215" cy="290159"/>
    <xdr:pic>
      <xdr:nvPicPr>
        <xdr:cNvPr id="141" name="Imagem 140">
          <a:extLst>
            <a:ext uri="{FF2B5EF4-FFF2-40B4-BE49-F238E27FC236}">
              <a16:creationId xmlns:a16="http://schemas.microsoft.com/office/drawing/2014/main" id="{02ECEAE7-7AE0-4E78-9670-B1518E52C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68549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1007</xdr:row>
      <xdr:rowOff>68117</xdr:rowOff>
    </xdr:from>
    <xdr:ext cx="543215" cy="290159"/>
    <xdr:pic>
      <xdr:nvPicPr>
        <xdr:cNvPr id="142" name="Imagem 141">
          <a:extLst>
            <a:ext uri="{FF2B5EF4-FFF2-40B4-BE49-F238E27FC236}">
              <a16:creationId xmlns:a16="http://schemas.microsoft.com/office/drawing/2014/main" id="{E70714F8-3CC0-41F0-8E2A-58C00F8F5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64936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1007</xdr:row>
      <xdr:rowOff>61767</xdr:rowOff>
    </xdr:from>
    <xdr:ext cx="543215" cy="290159"/>
    <xdr:pic>
      <xdr:nvPicPr>
        <xdr:cNvPr id="143" name="Imagem 142">
          <a:extLst>
            <a:ext uri="{FF2B5EF4-FFF2-40B4-BE49-F238E27FC236}">
              <a16:creationId xmlns:a16="http://schemas.microsoft.com/office/drawing/2014/main" id="{19AC4E80-8C60-49CB-821F-A7BF2302E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64929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1073</xdr:row>
      <xdr:rowOff>68117</xdr:rowOff>
    </xdr:from>
    <xdr:ext cx="543215" cy="290159"/>
    <xdr:pic>
      <xdr:nvPicPr>
        <xdr:cNvPr id="144" name="Imagem 143">
          <a:extLst>
            <a:ext uri="{FF2B5EF4-FFF2-40B4-BE49-F238E27FC236}">
              <a16:creationId xmlns:a16="http://schemas.microsoft.com/office/drawing/2014/main" id="{937C5EE3-544A-41DC-A0F9-939ACF975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75794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1029</xdr:row>
      <xdr:rowOff>61767</xdr:rowOff>
    </xdr:from>
    <xdr:ext cx="543215" cy="290159"/>
    <xdr:pic>
      <xdr:nvPicPr>
        <xdr:cNvPr id="145" name="Imagem 144">
          <a:extLst>
            <a:ext uri="{FF2B5EF4-FFF2-40B4-BE49-F238E27FC236}">
              <a16:creationId xmlns:a16="http://schemas.microsoft.com/office/drawing/2014/main" id="{7A7B2B1A-B7D8-4D9F-9A53-1FF08E283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68549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1007</xdr:row>
      <xdr:rowOff>68117</xdr:rowOff>
    </xdr:from>
    <xdr:ext cx="543215" cy="290159"/>
    <xdr:pic>
      <xdr:nvPicPr>
        <xdr:cNvPr id="146" name="Imagem 145">
          <a:extLst>
            <a:ext uri="{FF2B5EF4-FFF2-40B4-BE49-F238E27FC236}">
              <a16:creationId xmlns:a16="http://schemas.microsoft.com/office/drawing/2014/main" id="{3FB72E3B-0F54-4B0F-B9EC-B48D8625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64936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1007</xdr:row>
      <xdr:rowOff>61767</xdr:rowOff>
    </xdr:from>
    <xdr:ext cx="543215" cy="290159"/>
    <xdr:pic>
      <xdr:nvPicPr>
        <xdr:cNvPr id="147" name="Imagem 146">
          <a:extLst>
            <a:ext uri="{FF2B5EF4-FFF2-40B4-BE49-F238E27FC236}">
              <a16:creationId xmlns:a16="http://schemas.microsoft.com/office/drawing/2014/main" id="{253E9AB9-8419-4EC5-82DB-30CCB6E96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64929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1073</xdr:row>
      <xdr:rowOff>68117</xdr:rowOff>
    </xdr:from>
    <xdr:ext cx="543215" cy="290159"/>
    <xdr:pic>
      <xdr:nvPicPr>
        <xdr:cNvPr id="148" name="Imagem 147">
          <a:extLst>
            <a:ext uri="{FF2B5EF4-FFF2-40B4-BE49-F238E27FC236}">
              <a16:creationId xmlns:a16="http://schemas.microsoft.com/office/drawing/2014/main" id="{6FEFA961-1F50-4209-B44A-0EC3F0571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75794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1029</xdr:row>
      <xdr:rowOff>61767</xdr:rowOff>
    </xdr:from>
    <xdr:ext cx="543215" cy="290159"/>
    <xdr:pic>
      <xdr:nvPicPr>
        <xdr:cNvPr id="149" name="Imagem 148">
          <a:extLst>
            <a:ext uri="{FF2B5EF4-FFF2-40B4-BE49-F238E27FC236}">
              <a16:creationId xmlns:a16="http://schemas.microsoft.com/office/drawing/2014/main" id="{B3EC5946-546D-482E-87F2-D18B556B8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685494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1051</xdr:row>
      <xdr:rowOff>68117</xdr:rowOff>
    </xdr:from>
    <xdr:ext cx="543215" cy="290159"/>
    <xdr:pic>
      <xdr:nvPicPr>
        <xdr:cNvPr id="150" name="Imagem 149">
          <a:extLst>
            <a:ext uri="{FF2B5EF4-FFF2-40B4-BE49-F238E27FC236}">
              <a16:creationId xmlns:a16="http://schemas.microsoft.com/office/drawing/2014/main" id="{E5800556-4450-4808-A6C6-80B13F145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72175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1051</xdr:row>
      <xdr:rowOff>68117</xdr:rowOff>
    </xdr:from>
    <xdr:ext cx="543215" cy="290159"/>
    <xdr:pic>
      <xdr:nvPicPr>
        <xdr:cNvPr id="151" name="Imagem 150">
          <a:extLst>
            <a:ext uri="{FF2B5EF4-FFF2-40B4-BE49-F238E27FC236}">
              <a16:creationId xmlns:a16="http://schemas.microsoft.com/office/drawing/2014/main" id="{EF9005CB-784D-45AA-8D09-DC798C5F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72175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1051</xdr:row>
      <xdr:rowOff>68117</xdr:rowOff>
    </xdr:from>
    <xdr:ext cx="543215" cy="290159"/>
    <xdr:pic>
      <xdr:nvPicPr>
        <xdr:cNvPr id="152" name="Imagem 151">
          <a:extLst>
            <a:ext uri="{FF2B5EF4-FFF2-40B4-BE49-F238E27FC236}">
              <a16:creationId xmlns:a16="http://schemas.microsoft.com/office/drawing/2014/main" id="{526829F1-EA76-40F0-9070-80BF28365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72175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1051</xdr:row>
      <xdr:rowOff>68117</xdr:rowOff>
    </xdr:from>
    <xdr:ext cx="543215" cy="290159"/>
    <xdr:pic>
      <xdr:nvPicPr>
        <xdr:cNvPr id="153" name="Imagem 152">
          <a:extLst>
            <a:ext uri="{FF2B5EF4-FFF2-40B4-BE49-F238E27FC236}">
              <a16:creationId xmlns:a16="http://schemas.microsoft.com/office/drawing/2014/main" id="{2B183D0B-8D26-421F-A060-822F84A6C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72175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1051</xdr:row>
      <xdr:rowOff>68117</xdr:rowOff>
    </xdr:from>
    <xdr:ext cx="543215" cy="290159"/>
    <xdr:pic>
      <xdr:nvPicPr>
        <xdr:cNvPr id="154" name="Imagem 153">
          <a:extLst>
            <a:ext uri="{FF2B5EF4-FFF2-40B4-BE49-F238E27FC236}">
              <a16:creationId xmlns:a16="http://schemas.microsoft.com/office/drawing/2014/main" id="{00899F49-061E-4538-BB32-65B1E08DB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72175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1051</xdr:row>
      <xdr:rowOff>68117</xdr:rowOff>
    </xdr:from>
    <xdr:ext cx="543215" cy="290159"/>
    <xdr:pic>
      <xdr:nvPicPr>
        <xdr:cNvPr id="155" name="Imagem 154">
          <a:extLst>
            <a:ext uri="{FF2B5EF4-FFF2-40B4-BE49-F238E27FC236}">
              <a16:creationId xmlns:a16="http://schemas.microsoft.com/office/drawing/2014/main" id="{AE4037DC-83CF-4A75-BF04-FB9FEFAEC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72175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1051</xdr:row>
      <xdr:rowOff>68117</xdr:rowOff>
    </xdr:from>
    <xdr:ext cx="543215" cy="290159"/>
    <xdr:pic>
      <xdr:nvPicPr>
        <xdr:cNvPr id="156" name="Imagem 155">
          <a:extLst>
            <a:ext uri="{FF2B5EF4-FFF2-40B4-BE49-F238E27FC236}">
              <a16:creationId xmlns:a16="http://schemas.microsoft.com/office/drawing/2014/main" id="{8EEF71E9-D40D-4A9C-88D9-9DDCCD95F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72175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1051</xdr:row>
      <xdr:rowOff>68117</xdr:rowOff>
    </xdr:from>
    <xdr:ext cx="543215" cy="290159"/>
    <xdr:pic>
      <xdr:nvPicPr>
        <xdr:cNvPr id="157" name="Imagem 156">
          <a:extLst>
            <a:ext uri="{FF2B5EF4-FFF2-40B4-BE49-F238E27FC236}">
              <a16:creationId xmlns:a16="http://schemas.microsoft.com/office/drawing/2014/main" id="{321896C9-5E67-41F9-83D7-22C6C95FD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72175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1073</xdr:row>
      <xdr:rowOff>68117</xdr:rowOff>
    </xdr:from>
    <xdr:ext cx="543215" cy="290159"/>
    <xdr:pic>
      <xdr:nvPicPr>
        <xdr:cNvPr id="158" name="Imagem 157">
          <a:extLst>
            <a:ext uri="{FF2B5EF4-FFF2-40B4-BE49-F238E27FC236}">
              <a16:creationId xmlns:a16="http://schemas.microsoft.com/office/drawing/2014/main" id="{36BC7237-8DF6-4DC8-AEA0-61DB35CCA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75794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1073</xdr:row>
      <xdr:rowOff>68117</xdr:rowOff>
    </xdr:from>
    <xdr:ext cx="543215" cy="290159"/>
    <xdr:pic>
      <xdr:nvPicPr>
        <xdr:cNvPr id="159" name="Imagem 158">
          <a:extLst>
            <a:ext uri="{FF2B5EF4-FFF2-40B4-BE49-F238E27FC236}">
              <a16:creationId xmlns:a16="http://schemas.microsoft.com/office/drawing/2014/main" id="{715ECD35-F392-47CC-8D8F-ED531A3E3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75794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1073</xdr:row>
      <xdr:rowOff>68117</xdr:rowOff>
    </xdr:from>
    <xdr:ext cx="543215" cy="290159"/>
    <xdr:pic>
      <xdr:nvPicPr>
        <xdr:cNvPr id="160" name="Imagem 159">
          <a:extLst>
            <a:ext uri="{FF2B5EF4-FFF2-40B4-BE49-F238E27FC236}">
              <a16:creationId xmlns:a16="http://schemas.microsoft.com/office/drawing/2014/main" id="{5CC398F3-184E-4C02-8BE7-A3A3AAFA4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75794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1073</xdr:row>
      <xdr:rowOff>68117</xdr:rowOff>
    </xdr:from>
    <xdr:ext cx="543215" cy="290159"/>
    <xdr:pic>
      <xdr:nvPicPr>
        <xdr:cNvPr id="161" name="Imagem 160">
          <a:extLst>
            <a:ext uri="{FF2B5EF4-FFF2-40B4-BE49-F238E27FC236}">
              <a16:creationId xmlns:a16="http://schemas.microsoft.com/office/drawing/2014/main" id="{1D09D5E7-7951-4498-84BD-8E0B80279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75794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1117</xdr:row>
      <xdr:rowOff>68117</xdr:rowOff>
    </xdr:from>
    <xdr:ext cx="543215" cy="290159"/>
    <xdr:pic>
      <xdr:nvPicPr>
        <xdr:cNvPr id="162" name="Imagem 161">
          <a:extLst>
            <a:ext uri="{FF2B5EF4-FFF2-40B4-BE49-F238E27FC236}">
              <a16:creationId xmlns:a16="http://schemas.microsoft.com/office/drawing/2014/main" id="{156F87B1-E891-4067-AE5C-1DF47475A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83033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1117</xdr:row>
      <xdr:rowOff>68117</xdr:rowOff>
    </xdr:from>
    <xdr:ext cx="543215" cy="290159"/>
    <xdr:pic>
      <xdr:nvPicPr>
        <xdr:cNvPr id="163" name="Imagem 162">
          <a:extLst>
            <a:ext uri="{FF2B5EF4-FFF2-40B4-BE49-F238E27FC236}">
              <a16:creationId xmlns:a16="http://schemas.microsoft.com/office/drawing/2014/main" id="{C9715974-EC5C-44AE-9BBC-DAD7A6CA3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83033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1117</xdr:row>
      <xdr:rowOff>68117</xdr:rowOff>
    </xdr:from>
    <xdr:ext cx="543215" cy="290159"/>
    <xdr:pic>
      <xdr:nvPicPr>
        <xdr:cNvPr id="164" name="Imagem 163">
          <a:extLst>
            <a:ext uri="{FF2B5EF4-FFF2-40B4-BE49-F238E27FC236}">
              <a16:creationId xmlns:a16="http://schemas.microsoft.com/office/drawing/2014/main" id="{42C2C44A-7E10-4F96-BB3A-BE8AABB06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83033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1117</xdr:row>
      <xdr:rowOff>68117</xdr:rowOff>
    </xdr:from>
    <xdr:ext cx="543215" cy="290159"/>
    <xdr:pic>
      <xdr:nvPicPr>
        <xdr:cNvPr id="165" name="Imagem 164">
          <a:extLst>
            <a:ext uri="{FF2B5EF4-FFF2-40B4-BE49-F238E27FC236}">
              <a16:creationId xmlns:a16="http://schemas.microsoft.com/office/drawing/2014/main" id="{FE27F7C5-5CFD-428C-961E-732B26F51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83033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1095</xdr:row>
      <xdr:rowOff>68117</xdr:rowOff>
    </xdr:from>
    <xdr:ext cx="543215" cy="290159"/>
    <xdr:pic>
      <xdr:nvPicPr>
        <xdr:cNvPr id="166" name="Imagem 165">
          <a:extLst>
            <a:ext uri="{FF2B5EF4-FFF2-40B4-BE49-F238E27FC236}">
              <a16:creationId xmlns:a16="http://schemas.microsoft.com/office/drawing/2014/main" id="{A3157506-B9F8-4796-9337-257ABEFF8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79414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1095</xdr:row>
      <xdr:rowOff>68117</xdr:rowOff>
    </xdr:from>
    <xdr:ext cx="543215" cy="290159"/>
    <xdr:pic>
      <xdr:nvPicPr>
        <xdr:cNvPr id="167" name="Imagem 166">
          <a:extLst>
            <a:ext uri="{FF2B5EF4-FFF2-40B4-BE49-F238E27FC236}">
              <a16:creationId xmlns:a16="http://schemas.microsoft.com/office/drawing/2014/main" id="{6FCFF9F6-1B3A-4C5E-AE7A-EC0446C4D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79414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1095</xdr:row>
      <xdr:rowOff>68117</xdr:rowOff>
    </xdr:from>
    <xdr:ext cx="543215" cy="290159"/>
    <xdr:pic>
      <xdr:nvPicPr>
        <xdr:cNvPr id="168" name="Imagem 167">
          <a:extLst>
            <a:ext uri="{FF2B5EF4-FFF2-40B4-BE49-F238E27FC236}">
              <a16:creationId xmlns:a16="http://schemas.microsoft.com/office/drawing/2014/main" id="{FDE00DD6-7520-4200-AA82-8D13670F6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79414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1095</xdr:row>
      <xdr:rowOff>68117</xdr:rowOff>
    </xdr:from>
    <xdr:ext cx="543215" cy="290159"/>
    <xdr:pic>
      <xdr:nvPicPr>
        <xdr:cNvPr id="169" name="Imagem 168">
          <a:extLst>
            <a:ext uri="{FF2B5EF4-FFF2-40B4-BE49-F238E27FC236}">
              <a16:creationId xmlns:a16="http://schemas.microsoft.com/office/drawing/2014/main" id="{8EB5F6D0-E305-4DCF-85AC-AA66F3B50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79414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1095</xdr:row>
      <xdr:rowOff>68117</xdr:rowOff>
    </xdr:from>
    <xdr:ext cx="543215" cy="290159"/>
    <xdr:pic>
      <xdr:nvPicPr>
        <xdr:cNvPr id="170" name="Imagem 169">
          <a:extLst>
            <a:ext uri="{FF2B5EF4-FFF2-40B4-BE49-F238E27FC236}">
              <a16:creationId xmlns:a16="http://schemas.microsoft.com/office/drawing/2014/main" id="{8DE3718E-08FE-433C-8FE2-792056182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79414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1095</xdr:row>
      <xdr:rowOff>68117</xdr:rowOff>
    </xdr:from>
    <xdr:ext cx="543215" cy="290159"/>
    <xdr:pic>
      <xdr:nvPicPr>
        <xdr:cNvPr id="171" name="Imagem 170">
          <a:extLst>
            <a:ext uri="{FF2B5EF4-FFF2-40B4-BE49-F238E27FC236}">
              <a16:creationId xmlns:a16="http://schemas.microsoft.com/office/drawing/2014/main" id="{FDBA9A9D-C529-4A84-8541-DB429C604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79414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1095</xdr:row>
      <xdr:rowOff>68117</xdr:rowOff>
    </xdr:from>
    <xdr:ext cx="543215" cy="290159"/>
    <xdr:pic>
      <xdr:nvPicPr>
        <xdr:cNvPr id="172" name="Imagem 171">
          <a:extLst>
            <a:ext uri="{FF2B5EF4-FFF2-40B4-BE49-F238E27FC236}">
              <a16:creationId xmlns:a16="http://schemas.microsoft.com/office/drawing/2014/main" id="{37F7F5B7-0586-4E7C-8C6C-79D28624C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79414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1095</xdr:row>
      <xdr:rowOff>68117</xdr:rowOff>
    </xdr:from>
    <xdr:ext cx="543215" cy="290159"/>
    <xdr:pic>
      <xdr:nvPicPr>
        <xdr:cNvPr id="173" name="Imagem 172">
          <a:extLst>
            <a:ext uri="{FF2B5EF4-FFF2-40B4-BE49-F238E27FC236}">
              <a16:creationId xmlns:a16="http://schemas.microsoft.com/office/drawing/2014/main" id="{BC9E1EF2-3B63-4F73-B3C4-F6AB741F4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79414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1117</xdr:row>
      <xdr:rowOff>68117</xdr:rowOff>
    </xdr:from>
    <xdr:ext cx="543215" cy="290159"/>
    <xdr:pic>
      <xdr:nvPicPr>
        <xdr:cNvPr id="174" name="Imagem 173">
          <a:extLst>
            <a:ext uri="{FF2B5EF4-FFF2-40B4-BE49-F238E27FC236}">
              <a16:creationId xmlns:a16="http://schemas.microsoft.com/office/drawing/2014/main" id="{F13D609B-7A19-4A2D-AA66-C98DC69AC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83033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1117</xdr:row>
      <xdr:rowOff>68117</xdr:rowOff>
    </xdr:from>
    <xdr:ext cx="543215" cy="290159"/>
    <xdr:pic>
      <xdr:nvPicPr>
        <xdr:cNvPr id="175" name="Imagem 174">
          <a:extLst>
            <a:ext uri="{FF2B5EF4-FFF2-40B4-BE49-F238E27FC236}">
              <a16:creationId xmlns:a16="http://schemas.microsoft.com/office/drawing/2014/main" id="{994E7B69-2913-4A31-A1EA-0605EC65D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83033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1117</xdr:row>
      <xdr:rowOff>68117</xdr:rowOff>
    </xdr:from>
    <xdr:ext cx="543215" cy="290159"/>
    <xdr:pic>
      <xdr:nvPicPr>
        <xdr:cNvPr id="176" name="Imagem 175">
          <a:extLst>
            <a:ext uri="{FF2B5EF4-FFF2-40B4-BE49-F238E27FC236}">
              <a16:creationId xmlns:a16="http://schemas.microsoft.com/office/drawing/2014/main" id="{1392F264-07CD-4D02-90E1-105C41C06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83033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1117</xdr:row>
      <xdr:rowOff>68117</xdr:rowOff>
    </xdr:from>
    <xdr:ext cx="543215" cy="290159"/>
    <xdr:pic>
      <xdr:nvPicPr>
        <xdr:cNvPr id="177" name="Imagem 176">
          <a:extLst>
            <a:ext uri="{FF2B5EF4-FFF2-40B4-BE49-F238E27FC236}">
              <a16:creationId xmlns:a16="http://schemas.microsoft.com/office/drawing/2014/main" id="{78CF1400-68D1-41B0-B999-BDE247F1C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83033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1161</xdr:row>
      <xdr:rowOff>68117</xdr:rowOff>
    </xdr:from>
    <xdr:ext cx="543215" cy="290159"/>
    <xdr:pic>
      <xdr:nvPicPr>
        <xdr:cNvPr id="178" name="Imagem 177">
          <a:extLst>
            <a:ext uri="{FF2B5EF4-FFF2-40B4-BE49-F238E27FC236}">
              <a16:creationId xmlns:a16="http://schemas.microsoft.com/office/drawing/2014/main" id="{EC0CE09C-D222-4EE8-B558-3C6719B8D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90272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1161</xdr:row>
      <xdr:rowOff>68117</xdr:rowOff>
    </xdr:from>
    <xdr:ext cx="543215" cy="290159"/>
    <xdr:pic>
      <xdr:nvPicPr>
        <xdr:cNvPr id="179" name="Imagem 178">
          <a:extLst>
            <a:ext uri="{FF2B5EF4-FFF2-40B4-BE49-F238E27FC236}">
              <a16:creationId xmlns:a16="http://schemas.microsoft.com/office/drawing/2014/main" id="{FEE7E229-A343-4D62-B154-BB0222FC4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90272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1161</xdr:row>
      <xdr:rowOff>68117</xdr:rowOff>
    </xdr:from>
    <xdr:ext cx="543215" cy="290159"/>
    <xdr:pic>
      <xdr:nvPicPr>
        <xdr:cNvPr id="180" name="Imagem 179">
          <a:extLst>
            <a:ext uri="{FF2B5EF4-FFF2-40B4-BE49-F238E27FC236}">
              <a16:creationId xmlns:a16="http://schemas.microsoft.com/office/drawing/2014/main" id="{D2571A68-C76D-4918-B4A7-28C301B0E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90272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1161</xdr:row>
      <xdr:rowOff>68117</xdr:rowOff>
    </xdr:from>
    <xdr:ext cx="543215" cy="290159"/>
    <xdr:pic>
      <xdr:nvPicPr>
        <xdr:cNvPr id="181" name="Imagem 180">
          <a:extLst>
            <a:ext uri="{FF2B5EF4-FFF2-40B4-BE49-F238E27FC236}">
              <a16:creationId xmlns:a16="http://schemas.microsoft.com/office/drawing/2014/main" id="{4598D8B2-1C9E-4E10-A126-5F710FBCE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90272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1139</xdr:row>
      <xdr:rowOff>68117</xdr:rowOff>
    </xdr:from>
    <xdr:ext cx="543215" cy="290159"/>
    <xdr:pic>
      <xdr:nvPicPr>
        <xdr:cNvPr id="182" name="Imagem 181">
          <a:extLst>
            <a:ext uri="{FF2B5EF4-FFF2-40B4-BE49-F238E27FC236}">
              <a16:creationId xmlns:a16="http://schemas.microsoft.com/office/drawing/2014/main" id="{62B09A2B-56D0-43BF-BAAF-21CFF8CCC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86653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1139</xdr:row>
      <xdr:rowOff>68117</xdr:rowOff>
    </xdr:from>
    <xdr:ext cx="543215" cy="290159"/>
    <xdr:pic>
      <xdr:nvPicPr>
        <xdr:cNvPr id="183" name="Imagem 182">
          <a:extLst>
            <a:ext uri="{FF2B5EF4-FFF2-40B4-BE49-F238E27FC236}">
              <a16:creationId xmlns:a16="http://schemas.microsoft.com/office/drawing/2014/main" id="{780D1620-6CFE-4719-8029-1DA2A4A39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86653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1139</xdr:row>
      <xdr:rowOff>68117</xdr:rowOff>
    </xdr:from>
    <xdr:ext cx="543215" cy="290159"/>
    <xdr:pic>
      <xdr:nvPicPr>
        <xdr:cNvPr id="184" name="Imagem 183">
          <a:extLst>
            <a:ext uri="{FF2B5EF4-FFF2-40B4-BE49-F238E27FC236}">
              <a16:creationId xmlns:a16="http://schemas.microsoft.com/office/drawing/2014/main" id="{1F4BC3B2-65D0-4A13-8A7E-ABC04F5F3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86653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1139</xdr:row>
      <xdr:rowOff>68117</xdr:rowOff>
    </xdr:from>
    <xdr:ext cx="543215" cy="290159"/>
    <xdr:pic>
      <xdr:nvPicPr>
        <xdr:cNvPr id="185" name="Imagem 184">
          <a:extLst>
            <a:ext uri="{FF2B5EF4-FFF2-40B4-BE49-F238E27FC236}">
              <a16:creationId xmlns:a16="http://schemas.microsoft.com/office/drawing/2014/main" id="{9FF3B9F2-6423-4AA9-BE49-14CFC7A22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86653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1139</xdr:row>
      <xdr:rowOff>68117</xdr:rowOff>
    </xdr:from>
    <xdr:ext cx="543215" cy="290159"/>
    <xdr:pic>
      <xdr:nvPicPr>
        <xdr:cNvPr id="186" name="Imagem 185">
          <a:extLst>
            <a:ext uri="{FF2B5EF4-FFF2-40B4-BE49-F238E27FC236}">
              <a16:creationId xmlns:a16="http://schemas.microsoft.com/office/drawing/2014/main" id="{0EFA4C02-9D94-4956-BFF3-DB262BED0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86653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1139</xdr:row>
      <xdr:rowOff>68117</xdr:rowOff>
    </xdr:from>
    <xdr:ext cx="543215" cy="290159"/>
    <xdr:pic>
      <xdr:nvPicPr>
        <xdr:cNvPr id="187" name="Imagem 186">
          <a:extLst>
            <a:ext uri="{FF2B5EF4-FFF2-40B4-BE49-F238E27FC236}">
              <a16:creationId xmlns:a16="http://schemas.microsoft.com/office/drawing/2014/main" id="{D9670211-0890-4C5D-960A-F3BECF372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86653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1139</xdr:row>
      <xdr:rowOff>68117</xdr:rowOff>
    </xdr:from>
    <xdr:ext cx="543215" cy="290159"/>
    <xdr:pic>
      <xdr:nvPicPr>
        <xdr:cNvPr id="188" name="Imagem 187">
          <a:extLst>
            <a:ext uri="{FF2B5EF4-FFF2-40B4-BE49-F238E27FC236}">
              <a16:creationId xmlns:a16="http://schemas.microsoft.com/office/drawing/2014/main" id="{073B2A2E-9C4B-4A3C-BDB8-F9A6FDC5F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86653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1139</xdr:row>
      <xdr:rowOff>68117</xdr:rowOff>
    </xdr:from>
    <xdr:ext cx="543215" cy="290159"/>
    <xdr:pic>
      <xdr:nvPicPr>
        <xdr:cNvPr id="189" name="Imagem 188">
          <a:extLst>
            <a:ext uri="{FF2B5EF4-FFF2-40B4-BE49-F238E27FC236}">
              <a16:creationId xmlns:a16="http://schemas.microsoft.com/office/drawing/2014/main" id="{0B65718D-62CD-4B5A-8BFB-9A42AFE98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86653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1161</xdr:row>
      <xdr:rowOff>68117</xdr:rowOff>
    </xdr:from>
    <xdr:ext cx="543215" cy="290159"/>
    <xdr:pic>
      <xdr:nvPicPr>
        <xdr:cNvPr id="190" name="Imagem 189">
          <a:extLst>
            <a:ext uri="{FF2B5EF4-FFF2-40B4-BE49-F238E27FC236}">
              <a16:creationId xmlns:a16="http://schemas.microsoft.com/office/drawing/2014/main" id="{225521D5-5D79-42DC-8866-5A6E2E92C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90272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1161</xdr:row>
      <xdr:rowOff>68117</xdr:rowOff>
    </xdr:from>
    <xdr:ext cx="543215" cy="290159"/>
    <xdr:pic>
      <xdr:nvPicPr>
        <xdr:cNvPr id="191" name="Imagem 190">
          <a:extLst>
            <a:ext uri="{FF2B5EF4-FFF2-40B4-BE49-F238E27FC236}">
              <a16:creationId xmlns:a16="http://schemas.microsoft.com/office/drawing/2014/main" id="{4B1F36F5-FDD6-47F7-BD0B-6760691C4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90272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1161</xdr:row>
      <xdr:rowOff>68117</xdr:rowOff>
    </xdr:from>
    <xdr:ext cx="543215" cy="290159"/>
    <xdr:pic>
      <xdr:nvPicPr>
        <xdr:cNvPr id="192" name="Imagem 191">
          <a:extLst>
            <a:ext uri="{FF2B5EF4-FFF2-40B4-BE49-F238E27FC236}">
              <a16:creationId xmlns:a16="http://schemas.microsoft.com/office/drawing/2014/main" id="{856540D7-B2B4-46C7-978B-52307A7A8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90272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1161</xdr:row>
      <xdr:rowOff>68117</xdr:rowOff>
    </xdr:from>
    <xdr:ext cx="543215" cy="290159"/>
    <xdr:pic>
      <xdr:nvPicPr>
        <xdr:cNvPr id="193" name="Imagem 192">
          <a:extLst>
            <a:ext uri="{FF2B5EF4-FFF2-40B4-BE49-F238E27FC236}">
              <a16:creationId xmlns:a16="http://schemas.microsoft.com/office/drawing/2014/main" id="{A009C0BD-B035-4157-9A61-ACD3EF788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90272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1205</xdr:row>
      <xdr:rowOff>68117</xdr:rowOff>
    </xdr:from>
    <xdr:ext cx="543215" cy="290159"/>
    <xdr:pic>
      <xdr:nvPicPr>
        <xdr:cNvPr id="194" name="Imagem 193">
          <a:extLst>
            <a:ext uri="{FF2B5EF4-FFF2-40B4-BE49-F238E27FC236}">
              <a16:creationId xmlns:a16="http://schemas.microsoft.com/office/drawing/2014/main" id="{1BFA4433-744F-4197-9045-42F13C2C4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97511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1205</xdr:row>
      <xdr:rowOff>68117</xdr:rowOff>
    </xdr:from>
    <xdr:ext cx="543215" cy="290159"/>
    <xdr:pic>
      <xdr:nvPicPr>
        <xdr:cNvPr id="195" name="Imagem 194">
          <a:extLst>
            <a:ext uri="{FF2B5EF4-FFF2-40B4-BE49-F238E27FC236}">
              <a16:creationId xmlns:a16="http://schemas.microsoft.com/office/drawing/2014/main" id="{6739508E-73DF-4CEB-9C1E-DEA34EBB1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97511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1205</xdr:row>
      <xdr:rowOff>68117</xdr:rowOff>
    </xdr:from>
    <xdr:ext cx="543215" cy="290159"/>
    <xdr:pic>
      <xdr:nvPicPr>
        <xdr:cNvPr id="196" name="Imagem 195">
          <a:extLst>
            <a:ext uri="{FF2B5EF4-FFF2-40B4-BE49-F238E27FC236}">
              <a16:creationId xmlns:a16="http://schemas.microsoft.com/office/drawing/2014/main" id="{FF092A56-E222-475B-8A79-110EFFC36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97511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1205</xdr:row>
      <xdr:rowOff>68117</xdr:rowOff>
    </xdr:from>
    <xdr:ext cx="543215" cy="290159"/>
    <xdr:pic>
      <xdr:nvPicPr>
        <xdr:cNvPr id="197" name="Imagem 196">
          <a:extLst>
            <a:ext uri="{FF2B5EF4-FFF2-40B4-BE49-F238E27FC236}">
              <a16:creationId xmlns:a16="http://schemas.microsoft.com/office/drawing/2014/main" id="{9ADCA102-B287-4ABD-90A8-215619FD4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97511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1183</xdr:row>
      <xdr:rowOff>68117</xdr:rowOff>
    </xdr:from>
    <xdr:ext cx="543215" cy="290159"/>
    <xdr:pic>
      <xdr:nvPicPr>
        <xdr:cNvPr id="198" name="Imagem 197">
          <a:extLst>
            <a:ext uri="{FF2B5EF4-FFF2-40B4-BE49-F238E27FC236}">
              <a16:creationId xmlns:a16="http://schemas.microsoft.com/office/drawing/2014/main" id="{C837ED7D-28B5-485F-96B2-C042BEBCB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93892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1183</xdr:row>
      <xdr:rowOff>68117</xdr:rowOff>
    </xdr:from>
    <xdr:ext cx="543215" cy="290159"/>
    <xdr:pic>
      <xdr:nvPicPr>
        <xdr:cNvPr id="199" name="Imagem 198">
          <a:extLst>
            <a:ext uri="{FF2B5EF4-FFF2-40B4-BE49-F238E27FC236}">
              <a16:creationId xmlns:a16="http://schemas.microsoft.com/office/drawing/2014/main" id="{4947B497-F678-4A23-9996-F554773DF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93892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1183</xdr:row>
      <xdr:rowOff>68117</xdr:rowOff>
    </xdr:from>
    <xdr:ext cx="543215" cy="290159"/>
    <xdr:pic>
      <xdr:nvPicPr>
        <xdr:cNvPr id="200" name="Imagem 199">
          <a:extLst>
            <a:ext uri="{FF2B5EF4-FFF2-40B4-BE49-F238E27FC236}">
              <a16:creationId xmlns:a16="http://schemas.microsoft.com/office/drawing/2014/main" id="{BE60C0AB-F2D5-45E9-A30B-89638F914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93892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1183</xdr:row>
      <xdr:rowOff>68117</xdr:rowOff>
    </xdr:from>
    <xdr:ext cx="543215" cy="290159"/>
    <xdr:pic>
      <xdr:nvPicPr>
        <xdr:cNvPr id="201" name="Imagem 200">
          <a:extLst>
            <a:ext uri="{FF2B5EF4-FFF2-40B4-BE49-F238E27FC236}">
              <a16:creationId xmlns:a16="http://schemas.microsoft.com/office/drawing/2014/main" id="{97A94C6D-67CD-487B-9EC0-F1231754F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193892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1183</xdr:row>
      <xdr:rowOff>68117</xdr:rowOff>
    </xdr:from>
    <xdr:ext cx="543215" cy="290159"/>
    <xdr:pic>
      <xdr:nvPicPr>
        <xdr:cNvPr id="202" name="Imagem 201">
          <a:extLst>
            <a:ext uri="{FF2B5EF4-FFF2-40B4-BE49-F238E27FC236}">
              <a16:creationId xmlns:a16="http://schemas.microsoft.com/office/drawing/2014/main" id="{239A990B-8F04-4396-9169-8824DFAD5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93892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1183</xdr:row>
      <xdr:rowOff>68117</xdr:rowOff>
    </xdr:from>
    <xdr:ext cx="543215" cy="290159"/>
    <xdr:pic>
      <xdr:nvPicPr>
        <xdr:cNvPr id="203" name="Imagem 202">
          <a:extLst>
            <a:ext uri="{FF2B5EF4-FFF2-40B4-BE49-F238E27FC236}">
              <a16:creationId xmlns:a16="http://schemas.microsoft.com/office/drawing/2014/main" id="{1A4F07CD-6468-4106-86BA-AC52BECEC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93892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1183</xdr:row>
      <xdr:rowOff>68117</xdr:rowOff>
    </xdr:from>
    <xdr:ext cx="543215" cy="290159"/>
    <xdr:pic>
      <xdr:nvPicPr>
        <xdr:cNvPr id="204" name="Imagem 203">
          <a:extLst>
            <a:ext uri="{FF2B5EF4-FFF2-40B4-BE49-F238E27FC236}">
              <a16:creationId xmlns:a16="http://schemas.microsoft.com/office/drawing/2014/main" id="{4B6E24A1-0465-4259-A865-33ED7B225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93892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1183</xdr:row>
      <xdr:rowOff>68117</xdr:rowOff>
    </xdr:from>
    <xdr:ext cx="543215" cy="290159"/>
    <xdr:pic>
      <xdr:nvPicPr>
        <xdr:cNvPr id="205" name="Imagem 204">
          <a:extLst>
            <a:ext uri="{FF2B5EF4-FFF2-40B4-BE49-F238E27FC236}">
              <a16:creationId xmlns:a16="http://schemas.microsoft.com/office/drawing/2014/main" id="{367A3E93-4234-48B6-8874-C88294861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93892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1205</xdr:row>
      <xdr:rowOff>68117</xdr:rowOff>
    </xdr:from>
    <xdr:ext cx="543215" cy="290159"/>
    <xdr:pic>
      <xdr:nvPicPr>
        <xdr:cNvPr id="206" name="Imagem 205">
          <a:extLst>
            <a:ext uri="{FF2B5EF4-FFF2-40B4-BE49-F238E27FC236}">
              <a16:creationId xmlns:a16="http://schemas.microsoft.com/office/drawing/2014/main" id="{00A6E663-243F-45F6-8D3D-AF0BF0E0E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97511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1205</xdr:row>
      <xdr:rowOff>68117</xdr:rowOff>
    </xdr:from>
    <xdr:ext cx="543215" cy="290159"/>
    <xdr:pic>
      <xdr:nvPicPr>
        <xdr:cNvPr id="207" name="Imagem 206">
          <a:extLst>
            <a:ext uri="{FF2B5EF4-FFF2-40B4-BE49-F238E27FC236}">
              <a16:creationId xmlns:a16="http://schemas.microsoft.com/office/drawing/2014/main" id="{9EC07EBD-1207-478E-8094-48BAD5FC1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97511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1205</xdr:row>
      <xdr:rowOff>68117</xdr:rowOff>
    </xdr:from>
    <xdr:ext cx="543215" cy="290159"/>
    <xdr:pic>
      <xdr:nvPicPr>
        <xdr:cNvPr id="208" name="Imagem 207">
          <a:extLst>
            <a:ext uri="{FF2B5EF4-FFF2-40B4-BE49-F238E27FC236}">
              <a16:creationId xmlns:a16="http://schemas.microsoft.com/office/drawing/2014/main" id="{D194C61E-4EA2-4674-AC84-8C4F7CC8E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97511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1205</xdr:row>
      <xdr:rowOff>68117</xdr:rowOff>
    </xdr:from>
    <xdr:ext cx="543215" cy="290159"/>
    <xdr:pic>
      <xdr:nvPicPr>
        <xdr:cNvPr id="209" name="Imagem 208">
          <a:extLst>
            <a:ext uri="{FF2B5EF4-FFF2-40B4-BE49-F238E27FC236}">
              <a16:creationId xmlns:a16="http://schemas.microsoft.com/office/drawing/2014/main" id="{6A662305-6034-41E6-AB04-1E7253563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197511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1249</xdr:row>
      <xdr:rowOff>68117</xdr:rowOff>
    </xdr:from>
    <xdr:ext cx="543215" cy="290159"/>
    <xdr:pic>
      <xdr:nvPicPr>
        <xdr:cNvPr id="210" name="Imagem 209">
          <a:extLst>
            <a:ext uri="{FF2B5EF4-FFF2-40B4-BE49-F238E27FC236}">
              <a16:creationId xmlns:a16="http://schemas.microsoft.com/office/drawing/2014/main" id="{20DFDD75-DC08-4A2F-8EA1-2C4135B36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046460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1249</xdr:row>
      <xdr:rowOff>68117</xdr:rowOff>
    </xdr:from>
    <xdr:ext cx="543215" cy="290159"/>
    <xdr:pic>
      <xdr:nvPicPr>
        <xdr:cNvPr id="211" name="Imagem 210">
          <a:extLst>
            <a:ext uri="{FF2B5EF4-FFF2-40B4-BE49-F238E27FC236}">
              <a16:creationId xmlns:a16="http://schemas.microsoft.com/office/drawing/2014/main" id="{D212FD23-8B2C-49A7-9FE3-1F3224A4B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046460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1249</xdr:row>
      <xdr:rowOff>68117</xdr:rowOff>
    </xdr:from>
    <xdr:ext cx="543215" cy="290159"/>
    <xdr:pic>
      <xdr:nvPicPr>
        <xdr:cNvPr id="212" name="Imagem 211">
          <a:extLst>
            <a:ext uri="{FF2B5EF4-FFF2-40B4-BE49-F238E27FC236}">
              <a16:creationId xmlns:a16="http://schemas.microsoft.com/office/drawing/2014/main" id="{07A084FF-641A-4D9C-95F4-D45007D85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046460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1249</xdr:row>
      <xdr:rowOff>68117</xdr:rowOff>
    </xdr:from>
    <xdr:ext cx="543215" cy="290159"/>
    <xdr:pic>
      <xdr:nvPicPr>
        <xdr:cNvPr id="213" name="Imagem 212">
          <a:extLst>
            <a:ext uri="{FF2B5EF4-FFF2-40B4-BE49-F238E27FC236}">
              <a16:creationId xmlns:a16="http://schemas.microsoft.com/office/drawing/2014/main" id="{B76AF8E4-C89E-4BD2-84DD-29740B13A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046460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1227</xdr:row>
      <xdr:rowOff>68117</xdr:rowOff>
    </xdr:from>
    <xdr:ext cx="543215" cy="290159"/>
    <xdr:pic>
      <xdr:nvPicPr>
        <xdr:cNvPr id="214" name="Imagem 213">
          <a:extLst>
            <a:ext uri="{FF2B5EF4-FFF2-40B4-BE49-F238E27FC236}">
              <a16:creationId xmlns:a16="http://schemas.microsoft.com/office/drawing/2014/main" id="{9534EE1D-9BAA-4DF6-A0E6-F9C4CE601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010170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1227</xdr:row>
      <xdr:rowOff>68117</xdr:rowOff>
    </xdr:from>
    <xdr:ext cx="543215" cy="290159"/>
    <xdr:pic>
      <xdr:nvPicPr>
        <xdr:cNvPr id="215" name="Imagem 214">
          <a:extLst>
            <a:ext uri="{FF2B5EF4-FFF2-40B4-BE49-F238E27FC236}">
              <a16:creationId xmlns:a16="http://schemas.microsoft.com/office/drawing/2014/main" id="{5A387B9C-7C2D-488B-999D-52426FB13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010170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1227</xdr:row>
      <xdr:rowOff>68117</xdr:rowOff>
    </xdr:from>
    <xdr:ext cx="543215" cy="290159"/>
    <xdr:pic>
      <xdr:nvPicPr>
        <xdr:cNvPr id="216" name="Imagem 215">
          <a:extLst>
            <a:ext uri="{FF2B5EF4-FFF2-40B4-BE49-F238E27FC236}">
              <a16:creationId xmlns:a16="http://schemas.microsoft.com/office/drawing/2014/main" id="{1126E0DF-451B-475B-8DE9-8D00835B5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010170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1227</xdr:row>
      <xdr:rowOff>68117</xdr:rowOff>
    </xdr:from>
    <xdr:ext cx="543215" cy="290159"/>
    <xdr:pic>
      <xdr:nvPicPr>
        <xdr:cNvPr id="217" name="Imagem 216">
          <a:extLst>
            <a:ext uri="{FF2B5EF4-FFF2-40B4-BE49-F238E27FC236}">
              <a16:creationId xmlns:a16="http://schemas.microsoft.com/office/drawing/2014/main" id="{C50ED316-0851-4037-ABF1-60E2322A1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010170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1227</xdr:row>
      <xdr:rowOff>68117</xdr:rowOff>
    </xdr:from>
    <xdr:ext cx="543215" cy="290159"/>
    <xdr:pic>
      <xdr:nvPicPr>
        <xdr:cNvPr id="218" name="Imagem 217">
          <a:extLst>
            <a:ext uri="{FF2B5EF4-FFF2-40B4-BE49-F238E27FC236}">
              <a16:creationId xmlns:a16="http://schemas.microsoft.com/office/drawing/2014/main" id="{AAA12B5A-5BCB-42D2-A81C-D8CF39E1E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010170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1227</xdr:row>
      <xdr:rowOff>68117</xdr:rowOff>
    </xdr:from>
    <xdr:ext cx="543215" cy="290159"/>
    <xdr:pic>
      <xdr:nvPicPr>
        <xdr:cNvPr id="219" name="Imagem 218">
          <a:extLst>
            <a:ext uri="{FF2B5EF4-FFF2-40B4-BE49-F238E27FC236}">
              <a16:creationId xmlns:a16="http://schemas.microsoft.com/office/drawing/2014/main" id="{66FB9595-5010-4108-8915-F453F393B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010170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1227</xdr:row>
      <xdr:rowOff>68117</xdr:rowOff>
    </xdr:from>
    <xdr:ext cx="543215" cy="290159"/>
    <xdr:pic>
      <xdr:nvPicPr>
        <xdr:cNvPr id="220" name="Imagem 219">
          <a:extLst>
            <a:ext uri="{FF2B5EF4-FFF2-40B4-BE49-F238E27FC236}">
              <a16:creationId xmlns:a16="http://schemas.microsoft.com/office/drawing/2014/main" id="{D7402F21-C754-4EC9-8D4F-2B19C2ACB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010170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1227</xdr:row>
      <xdr:rowOff>68117</xdr:rowOff>
    </xdr:from>
    <xdr:ext cx="543215" cy="290159"/>
    <xdr:pic>
      <xdr:nvPicPr>
        <xdr:cNvPr id="221" name="Imagem 220">
          <a:extLst>
            <a:ext uri="{FF2B5EF4-FFF2-40B4-BE49-F238E27FC236}">
              <a16:creationId xmlns:a16="http://schemas.microsoft.com/office/drawing/2014/main" id="{8AE3E2E7-52E3-4BAF-96F2-244EEDD61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010170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1249</xdr:row>
      <xdr:rowOff>68117</xdr:rowOff>
    </xdr:from>
    <xdr:ext cx="543215" cy="290159"/>
    <xdr:pic>
      <xdr:nvPicPr>
        <xdr:cNvPr id="222" name="Imagem 221">
          <a:extLst>
            <a:ext uri="{FF2B5EF4-FFF2-40B4-BE49-F238E27FC236}">
              <a16:creationId xmlns:a16="http://schemas.microsoft.com/office/drawing/2014/main" id="{EF095BAB-AF16-4EDE-8A24-D12F27205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046460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1249</xdr:row>
      <xdr:rowOff>68117</xdr:rowOff>
    </xdr:from>
    <xdr:ext cx="543215" cy="290159"/>
    <xdr:pic>
      <xdr:nvPicPr>
        <xdr:cNvPr id="223" name="Imagem 222">
          <a:extLst>
            <a:ext uri="{FF2B5EF4-FFF2-40B4-BE49-F238E27FC236}">
              <a16:creationId xmlns:a16="http://schemas.microsoft.com/office/drawing/2014/main" id="{BBCF53DF-2C98-492C-98BC-5603E2A3F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046460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1249</xdr:row>
      <xdr:rowOff>68117</xdr:rowOff>
    </xdr:from>
    <xdr:ext cx="543215" cy="290159"/>
    <xdr:pic>
      <xdr:nvPicPr>
        <xdr:cNvPr id="224" name="Imagem 223">
          <a:extLst>
            <a:ext uri="{FF2B5EF4-FFF2-40B4-BE49-F238E27FC236}">
              <a16:creationId xmlns:a16="http://schemas.microsoft.com/office/drawing/2014/main" id="{233B0661-C06F-49AC-8C14-2893F4617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046460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1249</xdr:row>
      <xdr:rowOff>68117</xdr:rowOff>
    </xdr:from>
    <xdr:ext cx="543215" cy="290159"/>
    <xdr:pic>
      <xdr:nvPicPr>
        <xdr:cNvPr id="225" name="Imagem 224">
          <a:extLst>
            <a:ext uri="{FF2B5EF4-FFF2-40B4-BE49-F238E27FC236}">
              <a16:creationId xmlns:a16="http://schemas.microsoft.com/office/drawing/2014/main" id="{740EED80-CBA3-4576-9B90-910D966A2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046460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1293</xdr:row>
      <xdr:rowOff>68117</xdr:rowOff>
    </xdr:from>
    <xdr:ext cx="543215" cy="290159"/>
    <xdr:pic>
      <xdr:nvPicPr>
        <xdr:cNvPr id="226" name="Imagem 225">
          <a:extLst>
            <a:ext uri="{FF2B5EF4-FFF2-40B4-BE49-F238E27FC236}">
              <a16:creationId xmlns:a16="http://schemas.microsoft.com/office/drawing/2014/main" id="{1838FBD7-8881-4862-BAE3-0EF05FA98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119041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1293</xdr:row>
      <xdr:rowOff>68117</xdr:rowOff>
    </xdr:from>
    <xdr:ext cx="543215" cy="290159"/>
    <xdr:pic>
      <xdr:nvPicPr>
        <xdr:cNvPr id="227" name="Imagem 226">
          <a:extLst>
            <a:ext uri="{FF2B5EF4-FFF2-40B4-BE49-F238E27FC236}">
              <a16:creationId xmlns:a16="http://schemas.microsoft.com/office/drawing/2014/main" id="{355CC57C-540A-4C11-899C-D9D3402D2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119041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1293</xdr:row>
      <xdr:rowOff>68117</xdr:rowOff>
    </xdr:from>
    <xdr:ext cx="543215" cy="290159"/>
    <xdr:pic>
      <xdr:nvPicPr>
        <xdr:cNvPr id="228" name="Imagem 227">
          <a:extLst>
            <a:ext uri="{FF2B5EF4-FFF2-40B4-BE49-F238E27FC236}">
              <a16:creationId xmlns:a16="http://schemas.microsoft.com/office/drawing/2014/main" id="{3DFDE3D1-E286-4A7F-88BD-BDF6F605D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119041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1293</xdr:row>
      <xdr:rowOff>68117</xdr:rowOff>
    </xdr:from>
    <xdr:ext cx="543215" cy="290159"/>
    <xdr:pic>
      <xdr:nvPicPr>
        <xdr:cNvPr id="229" name="Imagem 228">
          <a:extLst>
            <a:ext uri="{FF2B5EF4-FFF2-40B4-BE49-F238E27FC236}">
              <a16:creationId xmlns:a16="http://schemas.microsoft.com/office/drawing/2014/main" id="{86DC67D3-D6DC-4B19-B929-626D6EA1A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119041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1271</xdr:row>
      <xdr:rowOff>68117</xdr:rowOff>
    </xdr:from>
    <xdr:ext cx="543215" cy="290159"/>
    <xdr:pic>
      <xdr:nvPicPr>
        <xdr:cNvPr id="230" name="Imagem 229">
          <a:extLst>
            <a:ext uri="{FF2B5EF4-FFF2-40B4-BE49-F238E27FC236}">
              <a16:creationId xmlns:a16="http://schemas.microsoft.com/office/drawing/2014/main" id="{BA2FEA90-5146-493C-BF21-36641F7BB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082750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1271</xdr:row>
      <xdr:rowOff>68117</xdr:rowOff>
    </xdr:from>
    <xdr:ext cx="543215" cy="290159"/>
    <xdr:pic>
      <xdr:nvPicPr>
        <xdr:cNvPr id="231" name="Imagem 230">
          <a:extLst>
            <a:ext uri="{FF2B5EF4-FFF2-40B4-BE49-F238E27FC236}">
              <a16:creationId xmlns:a16="http://schemas.microsoft.com/office/drawing/2014/main" id="{998DE008-4171-43AE-8B22-A9BF41012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082750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1271</xdr:row>
      <xdr:rowOff>68117</xdr:rowOff>
    </xdr:from>
    <xdr:ext cx="543215" cy="290159"/>
    <xdr:pic>
      <xdr:nvPicPr>
        <xdr:cNvPr id="232" name="Imagem 231">
          <a:extLst>
            <a:ext uri="{FF2B5EF4-FFF2-40B4-BE49-F238E27FC236}">
              <a16:creationId xmlns:a16="http://schemas.microsoft.com/office/drawing/2014/main" id="{F1C0A69D-B1B8-4B15-814D-0298B708F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082750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1271</xdr:row>
      <xdr:rowOff>68117</xdr:rowOff>
    </xdr:from>
    <xdr:ext cx="543215" cy="290159"/>
    <xdr:pic>
      <xdr:nvPicPr>
        <xdr:cNvPr id="233" name="Imagem 232">
          <a:extLst>
            <a:ext uri="{FF2B5EF4-FFF2-40B4-BE49-F238E27FC236}">
              <a16:creationId xmlns:a16="http://schemas.microsoft.com/office/drawing/2014/main" id="{25781B11-73C6-48AF-BF72-6A7F004B0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082750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1271</xdr:row>
      <xdr:rowOff>68117</xdr:rowOff>
    </xdr:from>
    <xdr:ext cx="543215" cy="290159"/>
    <xdr:pic>
      <xdr:nvPicPr>
        <xdr:cNvPr id="234" name="Imagem 233">
          <a:extLst>
            <a:ext uri="{FF2B5EF4-FFF2-40B4-BE49-F238E27FC236}">
              <a16:creationId xmlns:a16="http://schemas.microsoft.com/office/drawing/2014/main" id="{28404D8A-A8A2-4350-9CA8-F260D7E48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082750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1271</xdr:row>
      <xdr:rowOff>68117</xdr:rowOff>
    </xdr:from>
    <xdr:ext cx="543215" cy="290159"/>
    <xdr:pic>
      <xdr:nvPicPr>
        <xdr:cNvPr id="235" name="Imagem 234">
          <a:extLst>
            <a:ext uri="{FF2B5EF4-FFF2-40B4-BE49-F238E27FC236}">
              <a16:creationId xmlns:a16="http://schemas.microsoft.com/office/drawing/2014/main" id="{C03ACE39-1AA3-4F49-A803-BEA7D878C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082750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1271</xdr:row>
      <xdr:rowOff>68117</xdr:rowOff>
    </xdr:from>
    <xdr:ext cx="543215" cy="290159"/>
    <xdr:pic>
      <xdr:nvPicPr>
        <xdr:cNvPr id="236" name="Imagem 235">
          <a:extLst>
            <a:ext uri="{FF2B5EF4-FFF2-40B4-BE49-F238E27FC236}">
              <a16:creationId xmlns:a16="http://schemas.microsoft.com/office/drawing/2014/main" id="{9FE17330-7A87-4E3F-BA51-3FDA36E3E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082750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1271</xdr:row>
      <xdr:rowOff>68117</xdr:rowOff>
    </xdr:from>
    <xdr:ext cx="543215" cy="290159"/>
    <xdr:pic>
      <xdr:nvPicPr>
        <xdr:cNvPr id="237" name="Imagem 236">
          <a:extLst>
            <a:ext uri="{FF2B5EF4-FFF2-40B4-BE49-F238E27FC236}">
              <a16:creationId xmlns:a16="http://schemas.microsoft.com/office/drawing/2014/main" id="{1B0C3465-4038-4EB6-B99D-CD782211B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082750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1293</xdr:row>
      <xdr:rowOff>68117</xdr:rowOff>
    </xdr:from>
    <xdr:ext cx="543215" cy="290159"/>
    <xdr:pic>
      <xdr:nvPicPr>
        <xdr:cNvPr id="238" name="Imagem 237">
          <a:extLst>
            <a:ext uri="{FF2B5EF4-FFF2-40B4-BE49-F238E27FC236}">
              <a16:creationId xmlns:a16="http://schemas.microsoft.com/office/drawing/2014/main" id="{09F9C9EC-D2AD-4D8B-A558-93AA9F61B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119041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1293</xdr:row>
      <xdr:rowOff>68117</xdr:rowOff>
    </xdr:from>
    <xdr:ext cx="543215" cy="290159"/>
    <xdr:pic>
      <xdr:nvPicPr>
        <xdr:cNvPr id="239" name="Imagem 238">
          <a:extLst>
            <a:ext uri="{FF2B5EF4-FFF2-40B4-BE49-F238E27FC236}">
              <a16:creationId xmlns:a16="http://schemas.microsoft.com/office/drawing/2014/main" id="{7CC89EDA-B519-4897-9729-1966124C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119041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1293</xdr:row>
      <xdr:rowOff>68117</xdr:rowOff>
    </xdr:from>
    <xdr:ext cx="543215" cy="290159"/>
    <xdr:pic>
      <xdr:nvPicPr>
        <xdr:cNvPr id="240" name="Imagem 239">
          <a:extLst>
            <a:ext uri="{FF2B5EF4-FFF2-40B4-BE49-F238E27FC236}">
              <a16:creationId xmlns:a16="http://schemas.microsoft.com/office/drawing/2014/main" id="{E1A278CB-FC50-4F09-BFAF-309D50048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119041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1293</xdr:row>
      <xdr:rowOff>68117</xdr:rowOff>
    </xdr:from>
    <xdr:ext cx="543215" cy="290159"/>
    <xdr:pic>
      <xdr:nvPicPr>
        <xdr:cNvPr id="241" name="Imagem 240">
          <a:extLst>
            <a:ext uri="{FF2B5EF4-FFF2-40B4-BE49-F238E27FC236}">
              <a16:creationId xmlns:a16="http://schemas.microsoft.com/office/drawing/2014/main" id="{90A3B687-3FE7-48E9-86F6-AAC030E59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119041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1315</xdr:row>
      <xdr:rowOff>68117</xdr:rowOff>
    </xdr:from>
    <xdr:ext cx="543215" cy="290159"/>
    <xdr:pic>
      <xdr:nvPicPr>
        <xdr:cNvPr id="242" name="Imagem 241">
          <a:extLst>
            <a:ext uri="{FF2B5EF4-FFF2-40B4-BE49-F238E27FC236}">
              <a16:creationId xmlns:a16="http://schemas.microsoft.com/office/drawing/2014/main" id="{DF2FD693-095C-482B-8797-22FE7E0C6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15533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1315</xdr:row>
      <xdr:rowOff>68117</xdr:rowOff>
    </xdr:from>
    <xdr:ext cx="543215" cy="290159"/>
    <xdr:pic>
      <xdr:nvPicPr>
        <xdr:cNvPr id="243" name="Imagem 242">
          <a:extLst>
            <a:ext uri="{FF2B5EF4-FFF2-40B4-BE49-F238E27FC236}">
              <a16:creationId xmlns:a16="http://schemas.microsoft.com/office/drawing/2014/main" id="{478C942A-42F7-4757-93FA-68FD14C95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15533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1315</xdr:row>
      <xdr:rowOff>68117</xdr:rowOff>
    </xdr:from>
    <xdr:ext cx="543215" cy="290159"/>
    <xdr:pic>
      <xdr:nvPicPr>
        <xdr:cNvPr id="244" name="Imagem 243">
          <a:extLst>
            <a:ext uri="{FF2B5EF4-FFF2-40B4-BE49-F238E27FC236}">
              <a16:creationId xmlns:a16="http://schemas.microsoft.com/office/drawing/2014/main" id="{B7AA0436-A489-46D5-8519-4E4710903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15533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1315</xdr:row>
      <xdr:rowOff>68117</xdr:rowOff>
    </xdr:from>
    <xdr:ext cx="543215" cy="290159"/>
    <xdr:pic>
      <xdr:nvPicPr>
        <xdr:cNvPr id="245" name="Imagem 244">
          <a:extLst>
            <a:ext uri="{FF2B5EF4-FFF2-40B4-BE49-F238E27FC236}">
              <a16:creationId xmlns:a16="http://schemas.microsoft.com/office/drawing/2014/main" id="{7A0BA2FA-F5EC-4BEA-9386-9E5812DDC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15533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1315</xdr:row>
      <xdr:rowOff>68117</xdr:rowOff>
    </xdr:from>
    <xdr:ext cx="543215" cy="290159"/>
    <xdr:pic>
      <xdr:nvPicPr>
        <xdr:cNvPr id="246" name="Imagem 245">
          <a:extLst>
            <a:ext uri="{FF2B5EF4-FFF2-40B4-BE49-F238E27FC236}">
              <a16:creationId xmlns:a16="http://schemas.microsoft.com/office/drawing/2014/main" id="{C2192263-388D-4047-9334-A4728607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15533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1315</xdr:row>
      <xdr:rowOff>68117</xdr:rowOff>
    </xdr:from>
    <xdr:ext cx="543215" cy="290159"/>
    <xdr:pic>
      <xdr:nvPicPr>
        <xdr:cNvPr id="247" name="Imagem 246">
          <a:extLst>
            <a:ext uri="{FF2B5EF4-FFF2-40B4-BE49-F238E27FC236}">
              <a16:creationId xmlns:a16="http://schemas.microsoft.com/office/drawing/2014/main" id="{18E53542-356C-4D1F-92AF-4B1A4CD03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15533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1315</xdr:row>
      <xdr:rowOff>68117</xdr:rowOff>
    </xdr:from>
    <xdr:ext cx="543215" cy="290159"/>
    <xdr:pic>
      <xdr:nvPicPr>
        <xdr:cNvPr id="248" name="Imagem 247">
          <a:extLst>
            <a:ext uri="{FF2B5EF4-FFF2-40B4-BE49-F238E27FC236}">
              <a16:creationId xmlns:a16="http://schemas.microsoft.com/office/drawing/2014/main" id="{5E28799E-EE17-431A-8A17-B9E320D4B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15533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1315</xdr:row>
      <xdr:rowOff>68117</xdr:rowOff>
    </xdr:from>
    <xdr:ext cx="543215" cy="290159"/>
    <xdr:pic>
      <xdr:nvPicPr>
        <xdr:cNvPr id="249" name="Imagem 248">
          <a:extLst>
            <a:ext uri="{FF2B5EF4-FFF2-40B4-BE49-F238E27FC236}">
              <a16:creationId xmlns:a16="http://schemas.microsoft.com/office/drawing/2014/main" id="{36C5A479-1F57-4277-9CA1-1C292F5D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15533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1337</xdr:row>
      <xdr:rowOff>68117</xdr:rowOff>
    </xdr:from>
    <xdr:ext cx="543215" cy="290159"/>
    <xdr:pic>
      <xdr:nvPicPr>
        <xdr:cNvPr id="250" name="Imagem 249">
          <a:extLst>
            <a:ext uri="{FF2B5EF4-FFF2-40B4-BE49-F238E27FC236}">
              <a16:creationId xmlns:a16="http://schemas.microsoft.com/office/drawing/2014/main" id="{385C19DF-0864-474D-83D0-1555C4E8B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19162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1337</xdr:row>
      <xdr:rowOff>68117</xdr:rowOff>
    </xdr:from>
    <xdr:ext cx="543215" cy="290159"/>
    <xdr:pic>
      <xdr:nvPicPr>
        <xdr:cNvPr id="251" name="Imagem 250">
          <a:extLst>
            <a:ext uri="{FF2B5EF4-FFF2-40B4-BE49-F238E27FC236}">
              <a16:creationId xmlns:a16="http://schemas.microsoft.com/office/drawing/2014/main" id="{EACE0F4C-9573-4777-B9B0-AED7E5F4F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19162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1337</xdr:row>
      <xdr:rowOff>68117</xdr:rowOff>
    </xdr:from>
    <xdr:ext cx="543215" cy="290159"/>
    <xdr:pic>
      <xdr:nvPicPr>
        <xdr:cNvPr id="252" name="Imagem 251">
          <a:extLst>
            <a:ext uri="{FF2B5EF4-FFF2-40B4-BE49-F238E27FC236}">
              <a16:creationId xmlns:a16="http://schemas.microsoft.com/office/drawing/2014/main" id="{BCEECB79-3064-4DE8-A937-4E223786D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19162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1337</xdr:row>
      <xdr:rowOff>68117</xdr:rowOff>
    </xdr:from>
    <xdr:ext cx="543215" cy="290159"/>
    <xdr:pic>
      <xdr:nvPicPr>
        <xdr:cNvPr id="253" name="Imagem 252">
          <a:extLst>
            <a:ext uri="{FF2B5EF4-FFF2-40B4-BE49-F238E27FC236}">
              <a16:creationId xmlns:a16="http://schemas.microsoft.com/office/drawing/2014/main" id="{AD50DF36-7ED8-45FD-B650-0108BA09B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19162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1337</xdr:row>
      <xdr:rowOff>68117</xdr:rowOff>
    </xdr:from>
    <xdr:ext cx="543215" cy="290159"/>
    <xdr:pic>
      <xdr:nvPicPr>
        <xdr:cNvPr id="254" name="Imagem 253">
          <a:extLst>
            <a:ext uri="{FF2B5EF4-FFF2-40B4-BE49-F238E27FC236}">
              <a16:creationId xmlns:a16="http://schemas.microsoft.com/office/drawing/2014/main" id="{AFE47125-227B-48B3-B704-8793E5887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19162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1337</xdr:row>
      <xdr:rowOff>68117</xdr:rowOff>
    </xdr:from>
    <xdr:ext cx="543215" cy="290159"/>
    <xdr:pic>
      <xdr:nvPicPr>
        <xdr:cNvPr id="255" name="Imagem 254">
          <a:extLst>
            <a:ext uri="{FF2B5EF4-FFF2-40B4-BE49-F238E27FC236}">
              <a16:creationId xmlns:a16="http://schemas.microsoft.com/office/drawing/2014/main" id="{4E37C1D9-B05B-47CB-A0AA-93867CC72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19162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1337</xdr:row>
      <xdr:rowOff>68117</xdr:rowOff>
    </xdr:from>
    <xdr:ext cx="543215" cy="290159"/>
    <xdr:pic>
      <xdr:nvPicPr>
        <xdr:cNvPr id="256" name="Imagem 255">
          <a:extLst>
            <a:ext uri="{FF2B5EF4-FFF2-40B4-BE49-F238E27FC236}">
              <a16:creationId xmlns:a16="http://schemas.microsoft.com/office/drawing/2014/main" id="{A857CA36-4667-44C8-A3CE-F323DCC27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19162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1337</xdr:row>
      <xdr:rowOff>68117</xdr:rowOff>
    </xdr:from>
    <xdr:ext cx="543215" cy="290159"/>
    <xdr:pic>
      <xdr:nvPicPr>
        <xdr:cNvPr id="257" name="Imagem 256">
          <a:extLst>
            <a:ext uri="{FF2B5EF4-FFF2-40B4-BE49-F238E27FC236}">
              <a16:creationId xmlns:a16="http://schemas.microsoft.com/office/drawing/2014/main" id="{92F55EE3-EDB7-4B26-A00F-C7E9DE97F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19162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1359</xdr:row>
      <xdr:rowOff>68117</xdr:rowOff>
    </xdr:from>
    <xdr:ext cx="543215" cy="290159"/>
    <xdr:pic>
      <xdr:nvPicPr>
        <xdr:cNvPr id="258" name="Imagem 257">
          <a:extLst>
            <a:ext uri="{FF2B5EF4-FFF2-40B4-BE49-F238E27FC236}">
              <a16:creationId xmlns:a16="http://schemas.microsoft.com/office/drawing/2014/main" id="{BF7A891E-D4AD-4E5D-B20E-41931E28A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227911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1359</xdr:row>
      <xdr:rowOff>68117</xdr:rowOff>
    </xdr:from>
    <xdr:ext cx="543215" cy="290159"/>
    <xdr:pic>
      <xdr:nvPicPr>
        <xdr:cNvPr id="259" name="Imagem 258">
          <a:extLst>
            <a:ext uri="{FF2B5EF4-FFF2-40B4-BE49-F238E27FC236}">
              <a16:creationId xmlns:a16="http://schemas.microsoft.com/office/drawing/2014/main" id="{C4CCFC02-9FDF-43B6-9045-45A22EC64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227911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1359</xdr:row>
      <xdr:rowOff>68117</xdr:rowOff>
    </xdr:from>
    <xdr:ext cx="543215" cy="290159"/>
    <xdr:pic>
      <xdr:nvPicPr>
        <xdr:cNvPr id="260" name="Imagem 259">
          <a:extLst>
            <a:ext uri="{FF2B5EF4-FFF2-40B4-BE49-F238E27FC236}">
              <a16:creationId xmlns:a16="http://schemas.microsoft.com/office/drawing/2014/main" id="{69C82428-E4CA-49FE-8023-6E023C7CE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227911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1359</xdr:row>
      <xdr:rowOff>68117</xdr:rowOff>
    </xdr:from>
    <xdr:ext cx="543215" cy="290159"/>
    <xdr:pic>
      <xdr:nvPicPr>
        <xdr:cNvPr id="261" name="Imagem 260">
          <a:extLst>
            <a:ext uri="{FF2B5EF4-FFF2-40B4-BE49-F238E27FC236}">
              <a16:creationId xmlns:a16="http://schemas.microsoft.com/office/drawing/2014/main" id="{E265AAA3-94D9-4F87-AE30-754CF4BDA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227911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1359</xdr:row>
      <xdr:rowOff>68117</xdr:rowOff>
    </xdr:from>
    <xdr:ext cx="543215" cy="290159"/>
    <xdr:pic>
      <xdr:nvPicPr>
        <xdr:cNvPr id="262" name="Imagem 261">
          <a:extLst>
            <a:ext uri="{FF2B5EF4-FFF2-40B4-BE49-F238E27FC236}">
              <a16:creationId xmlns:a16="http://schemas.microsoft.com/office/drawing/2014/main" id="{6A575D27-A60B-4533-8EC9-1D3EA8FC7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227911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1359</xdr:row>
      <xdr:rowOff>68117</xdr:rowOff>
    </xdr:from>
    <xdr:ext cx="543215" cy="290159"/>
    <xdr:pic>
      <xdr:nvPicPr>
        <xdr:cNvPr id="263" name="Imagem 262">
          <a:extLst>
            <a:ext uri="{FF2B5EF4-FFF2-40B4-BE49-F238E27FC236}">
              <a16:creationId xmlns:a16="http://schemas.microsoft.com/office/drawing/2014/main" id="{CCF1B438-ED48-42FB-9334-27E52BBD0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227911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1359</xdr:row>
      <xdr:rowOff>68117</xdr:rowOff>
    </xdr:from>
    <xdr:ext cx="543215" cy="290159"/>
    <xdr:pic>
      <xdr:nvPicPr>
        <xdr:cNvPr id="264" name="Imagem 263">
          <a:extLst>
            <a:ext uri="{FF2B5EF4-FFF2-40B4-BE49-F238E27FC236}">
              <a16:creationId xmlns:a16="http://schemas.microsoft.com/office/drawing/2014/main" id="{844E0708-0FC4-4DF5-BD34-357CFC210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227911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1359</xdr:row>
      <xdr:rowOff>68117</xdr:rowOff>
    </xdr:from>
    <xdr:ext cx="543215" cy="290159"/>
    <xdr:pic>
      <xdr:nvPicPr>
        <xdr:cNvPr id="265" name="Imagem 264">
          <a:extLst>
            <a:ext uri="{FF2B5EF4-FFF2-40B4-BE49-F238E27FC236}">
              <a16:creationId xmlns:a16="http://schemas.microsoft.com/office/drawing/2014/main" id="{F6FB8815-A4B4-4FC7-82FF-B5A16ADA6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227911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1381</xdr:row>
      <xdr:rowOff>68117</xdr:rowOff>
    </xdr:from>
    <xdr:ext cx="543215" cy="290159"/>
    <xdr:pic>
      <xdr:nvPicPr>
        <xdr:cNvPr id="266" name="Imagem 265">
          <a:extLst>
            <a:ext uri="{FF2B5EF4-FFF2-40B4-BE49-F238E27FC236}">
              <a16:creationId xmlns:a16="http://schemas.microsoft.com/office/drawing/2014/main" id="{8BC1D77F-3460-4027-AC50-3AFB0D822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264202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1381</xdr:row>
      <xdr:rowOff>68117</xdr:rowOff>
    </xdr:from>
    <xdr:ext cx="543215" cy="290159"/>
    <xdr:pic>
      <xdr:nvPicPr>
        <xdr:cNvPr id="267" name="Imagem 266">
          <a:extLst>
            <a:ext uri="{FF2B5EF4-FFF2-40B4-BE49-F238E27FC236}">
              <a16:creationId xmlns:a16="http://schemas.microsoft.com/office/drawing/2014/main" id="{06F2443F-DC53-4A85-B75C-3E10A0106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264202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1381</xdr:row>
      <xdr:rowOff>68117</xdr:rowOff>
    </xdr:from>
    <xdr:ext cx="543215" cy="290159"/>
    <xdr:pic>
      <xdr:nvPicPr>
        <xdr:cNvPr id="268" name="Imagem 267">
          <a:extLst>
            <a:ext uri="{FF2B5EF4-FFF2-40B4-BE49-F238E27FC236}">
              <a16:creationId xmlns:a16="http://schemas.microsoft.com/office/drawing/2014/main" id="{5CDDA43A-5236-4687-83A9-EAE570DA1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264202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1381</xdr:row>
      <xdr:rowOff>68117</xdr:rowOff>
    </xdr:from>
    <xdr:ext cx="543215" cy="290159"/>
    <xdr:pic>
      <xdr:nvPicPr>
        <xdr:cNvPr id="269" name="Imagem 268">
          <a:extLst>
            <a:ext uri="{FF2B5EF4-FFF2-40B4-BE49-F238E27FC236}">
              <a16:creationId xmlns:a16="http://schemas.microsoft.com/office/drawing/2014/main" id="{4D4FA803-73EF-4043-B728-946BE2F2F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264202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1381</xdr:row>
      <xdr:rowOff>68117</xdr:rowOff>
    </xdr:from>
    <xdr:ext cx="543215" cy="290159"/>
    <xdr:pic>
      <xdr:nvPicPr>
        <xdr:cNvPr id="270" name="Imagem 269">
          <a:extLst>
            <a:ext uri="{FF2B5EF4-FFF2-40B4-BE49-F238E27FC236}">
              <a16:creationId xmlns:a16="http://schemas.microsoft.com/office/drawing/2014/main" id="{10DC5DFA-AC7F-4634-ADCE-0DC03EAEC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264202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1381</xdr:row>
      <xdr:rowOff>68117</xdr:rowOff>
    </xdr:from>
    <xdr:ext cx="543215" cy="290159"/>
    <xdr:pic>
      <xdr:nvPicPr>
        <xdr:cNvPr id="271" name="Imagem 270">
          <a:extLst>
            <a:ext uri="{FF2B5EF4-FFF2-40B4-BE49-F238E27FC236}">
              <a16:creationId xmlns:a16="http://schemas.microsoft.com/office/drawing/2014/main" id="{E082FB47-139E-47B2-9B4D-7A50072FA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712" y="2264202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1359</xdr:row>
      <xdr:rowOff>68117</xdr:rowOff>
    </xdr:from>
    <xdr:ext cx="543215" cy="290159"/>
    <xdr:pic>
      <xdr:nvPicPr>
        <xdr:cNvPr id="272" name="Imagem 271">
          <a:extLst>
            <a:ext uri="{FF2B5EF4-FFF2-40B4-BE49-F238E27FC236}">
              <a16:creationId xmlns:a16="http://schemas.microsoft.com/office/drawing/2014/main" id="{8F40987F-2327-488D-AF13-0A06E5207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712" y="2227911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1337</xdr:row>
      <xdr:rowOff>68117</xdr:rowOff>
    </xdr:from>
    <xdr:ext cx="543215" cy="290159"/>
    <xdr:pic>
      <xdr:nvPicPr>
        <xdr:cNvPr id="273" name="Imagem 272">
          <a:extLst>
            <a:ext uri="{FF2B5EF4-FFF2-40B4-BE49-F238E27FC236}">
              <a16:creationId xmlns:a16="http://schemas.microsoft.com/office/drawing/2014/main" id="{A5169FAE-B89E-44C1-863B-BBCF2C61F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712" y="219162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1227</xdr:row>
      <xdr:rowOff>68117</xdr:rowOff>
    </xdr:from>
    <xdr:ext cx="543215" cy="290159"/>
    <xdr:pic>
      <xdr:nvPicPr>
        <xdr:cNvPr id="274" name="Imagem 273">
          <a:extLst>
            <a:ext uri="{FF2B5EF4-FFF2-40B4-BE49-F238E27FC236}">
              <a16:creationId xmlns:a16="http://schemas.microsoft.com/office/drawing/2014/main" id="{4B82B9A6-D85F-4EFE-97C5-4FCF3B26F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712" y="2010170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1205</xdr:row>
      <xdr:rowOff>68117</xdr:rowOff>
    </xdr:from>
    <xdr:ext cx="543215" cy="290159"/>
    <xdr:pic>
      <xdr:nvPicPr>
        <xdr:cNvPr id="275" name="Imagem 274">
          <a:extLst>
            <a:ext uri="{FF2B5EF4-FFF2-40B4-BE49-F238E27FC236}">
              <a16:creationId xmlns:a16="http://schemas.microsoft.com/office/drawing/2014/main" id="{DB030269-A0BD-40EE-A12C-DDB2A156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712" y="197511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1183</xdr:row>
      <xdr:rowOff>68117</xdr:rowOff>
    </xdr:from>
    <xdr:ext cx="543215" cy="290159"/>
    <xdr:pic>
      <xdr:nvPicPr>
        <xdr:cNvPr id="276" name="Imagem 275">
          <a:extLst>
            <a:ext uri="{FF2B5EF4-FFF2-40B4-BE49-F238E27FC236}">
              <a16:creationId xmlns:a16="http://schemas.microsoft.com/office/drawing/2014/main" id="{74CC470F-E61F-4BFE-8F1D-AAF109D36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712" y="193892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1293</xdr:row>
      <xdr:rowOff>68117</xdr:rowOff>
    </xdr:from>
    <xdr:ext cx="543215" cy="290159"/>
    <xdr:pic>
      <xdr:nvPicPr>
        <xdr:cNvPr id="277" name="Imagem 276">
          <a:extLst>
            <a:ext uri="{FF2B5EF4-FFF2-40B4-BE49-F238E27FC236}">
              <a16:creationId xmlns:a16="http://schemas.microsoft.com/office/drawing/2014/main" id="{460A751E-60CA-48A8-BC9D-E62F0B845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712" y="2119041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1271</xdr:row>
      <xdr:rowOff>68117</xdr:rowOff>
    </xdr:from>
    <xdr:ext cx="543215" cy="290159"/>
    <xdr:pic>
      <xdr:nvPicPr>
        <xdr:cNvPr id="278" name="Imagem 277">
          <a:extLst>
            <a:ext uri="{FF2B5EF4-FFF2-40B4-BE49-F238E27FC236}">
              <a16:creationId xmlns:a16="http://schemas.microsoft.com/office/drawing/2014/main" id="{205EB38A-ECD0-4DAC-9585-39EF6DBCD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712" y="2082750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1249</xdr:row>
      <xdr:rowOff>68117</xdr:rowOff>
    </xdr:from>
    <xdr:ext cx="543215" cy="290159"/>
    <xdr:pic>
      <xdr:nvPicPr>
        <xdr:cNvPr id="279" name="Imagem 278">
          <a:extLst>
            <a:ext uri="{FF2B5EF4-FFF2-40B4-BE49-F238E27FC236}">
              <a16:creationId xmlns:a16="http://schemas.microsoft.com/office/drawing/2014/main" id="{BA4F6C48-9799-4E2F-B9C6-DAEF8759B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712" y="2046460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1315</xdr:row>
      <xdr:rowOff>68117</xdr:rowOff>
    </xdr:from>
    <xdr:ext cx="543215" cy="290159"/>
    <xdr:pic>
      <xdr:nvPicPr>
        <xdr:cNvPr id="280" name="Imagem 279">
          <a:extLst>
            <a:ext uri="{FF2B5EF4-FFF2-40B4-BE49-F238E27FC236}">
              <a16:creationId xmlns:a16="http://schemas.microsoft.com/office/drawing/2014/main" id="{2F115CB4-58F2-4BEA-96C4-C8C414941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712" y="215533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1095</xdr:row>
      <xdr:rowOff>68117</xdr:rowOff>
    </xdr:from>
    <xdr:ext cx="543215" cy="290159"/>
    <xdr:pic>
      <xdr:nvPicPr>
        <xdr:cNvPr id="281" name="Imagem 280">
          <a:extLst>
            <a:ext uri="{FF2B5EF4-FFF2-40B4-BE49-F238E27FC236}">
              <a16:creationId xmlns:a16="http://schemas.microsoft.com/office/drawing/2014/main" id="{1514E24D-6341-45D2-BE31-BE1713642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712" y="179414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1073</xdr:row>
      <xdr:rowOff>68117</xdr:rowOff>
    </xdr:from>
    <xdr:ext cx="543215" cy="290159"/>
    <xdr:pic>
      <xdr:nvPicPr>
        <xdr:cNvPr id="282" name="Imagem 281">
          <a:extLst>
            <a:ext uri="{FF2B5EF4-FFF2-40B4-BE49-F238E27FC236}">
              <a16:creationId xmlns:a16="http://schemas.microsoft.com/office/drawing/2014/main" id="{BDC62098-D007-4E21-AEC9-E3800B3CB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712" y="175794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1051</xdr:row>
      <xdr:rowOff>68117</xdr:rowOff>
    </xdr:from>
    <xdr:ext cx="543215" cy="290159"/>
    <xdr:pic>
      <xdr:nvPicPr>
        <xdr:cNvPr id="283" name="Imagem 282">
          <a:extLst>
            <a:ext uri="{FF2B5EF4-FFF2-40B4-BE49-F238E27FC236}">
              <a16:creationId xmlns:a16="http://schemas.microsoft.com/office/drawing/2014/main" id="{821126C5-AE16-4AF4-B934-9BC368D5C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712" y="172175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1161</xdr:row>
      <xdr:rowOff>68117</xdr:rowOff>
    </xdr:from>
    <xdr:ext cx="543215" cy="290159"/>
    <xdr:pic>
      <xdr:nvPicPr>
        <xdr:cNvPr id="284" name="Imagem 283">
          <a:extLst>
            <a:ext uri="{FF2B5EF4-FFF2-40B4-BE49-F238E27FC236}">
              <a16:creationId xmlns:a16="http://schemas.microsoft.com/office/drawing/2014/main" id="{F3A10531-E179-4D8B-9D2B-BF704E753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712" y="190272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1139</xdr:row>
      <xdr:rowOff>68117</xdr:rowOff>
    </xdr:from>
    <xdr:ext cx="543215" cy="290159"/>
    <xdr:pic>
      <xdr:nvPicPr>
        <xdr:cNvPr id="285" name="Imagem 284">
          <a:extLst>
            <a:ext uri="{FF2B5EF4-FFF2-40B4-BE49-F238E27FC236}">
              <a16:creationId xmlns:a16="http://schemas.microsoft.com/office/drawing/2014/main" id="{BFE0C89A-E31B-4CEE-82E2-BDCB87EF0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712" y="186653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1117</xdr:row>
      <xdr:rowOff>68117</xdr:rowOff>
    </xdr:from>
    <xdr:ext cx="543215" cy="290159"/>
    <xdr:pic>
      <xdr:nvPicPr>
        <xdr:cNvPr id="286" name="Imagem 285">
          <a:extLst>
            <a:ext uri="{FF2B5EF4-FFF2-40B4-BE49-F238E27FC236}">
              <a16:creationId xmlns:a16="http://schemas.microsoft.com/office/drawing/2014/main" id="{36ED3CC0-16C4-4E17-AEB0-C82E2AF83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712" y="183033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1183</xdr:row>
      <xdr:rowOff>68117</xdr:rowOff>
    </xdr:from>
    <xdr:ext cx="543215" cy="290159"/>
    <xdr:pic>
      <xdr:nvPicPr>
        <xdr:cNvPr id="287" name="Imagem 286">
          <a:extLst>
            <a:ext uri="{FF2B5EF4-FFF2-40B4-BE49-F238E27FC236}">
              <a16:creationId xmlns:a16="http://schemas.microsoft.com/office/drawing/2014/main" id="{2DE11249-7D19-4B76-A777-9525BE1BB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712" y="193892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1381</xdr:row>
      <xdr:rowOff>68117</xdr:rowOff>
    </xdr:from>
    <xdr:ext cx="543215" cy="290159"/>
    <xdr:pic>
      <xdr:nvPicPr>
        <xdr:cNvPr id="288" name="Imagem 287">
          <a:extLst>
            <a:ext uri="{FF2B5EF4-FFF2-40B4-BE49-F238E27FC236}">
              <a16:creationId xmlns:a16="http://schemas.microsoft.com/office/drawing/2014/main" id="{381D9040-49BB-448E-86EF-8491B542A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887" y="2264202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1359</xdr:row>
      <xdr:rowOff>68117</xdr:rowOff>
    </xdr:from>
    <xdr:ext cx="543215" cy="290159"/>
    <xdr:pic>
      <xdr:nvPicPr>
        <xdr:cNvPr id="289" name="Imagem 288">
          <a:extLst>
            <a:ext uri="{FF2B5EF4-FFF2-40B4-BE49-F238E27FC236}">
              <a16:creationId xmlns:a16="http://schemas.microsoft.com/office/drawing/2014/main" id="{6002CBF8-951A-428D-91AD-703248C48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887" y="2227911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1337</xdr:row>
      <xdr:rowOff>68117</xdr:rowOff>
    </xdr:from>
    <xdr:ext cx="543215" cy="290159"/>
    <xdr:pic>
      <xdr:nvPicPr>
        <xdr:cNvPr id="290" name="Imagem 289">
          <a:extLst>
            <a:ext uri="{FF2B5EF4-FFF2-40B4-BE49-F238E27FC236}">
              <a16:creationId xmlns:a16="http://schemas.microsoft.com/office/drawing/2014/main" id="{7EE69DB3-262E-48B1-8B60-C154437E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887" y="219162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1227</xdr:row>
      <xdr:rowOff>68117</xdr:rowOff>
    </xdr:from>
    <xdr:ext cx="543215" cy="290159"/>
    <xdr:pic>
      <xdr:nvPicPr>
        <xdr:cNvPr id="291" name="Imagem 290">
          <a:extLst>
            <a:ext uri="{FF2B5EF4-FFF2-40B4-BE49-F238E27FC236}">
              <a16:creationId xmlns:a16="http://schemas.microsoft.com/office/drawing/2014/main" id="{B04C0B2A-A35A-430B-B15D-D0E7D613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887" y="2010170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1205</xdr:row>
      <xdr:rowOff>68117</xdr:rowOff>
    </xdr:from>
    <xdr:ext cx="543215" cy="290159"/>
    <xdr:pic>
      <xdr:nvPicPr>
        <xdr:cNvPr id="292" name="Imagem 291">
          <a:extLst>
            <a:ext uri="{FF2B5EF4-FFF2-40B4-BE49-F238E27FC236}">
              <a16:creationId xmlns:a16="http://schemas.microsoft.com/office/drawing/2014/main" id="{4D8FFDAA-801A-47BE-AA7B-E77F7A44F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887" y="197511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1183</xdr:row>
      <xdr:rowOff>68117</xdr:rowOff>
    </xdr:from>
    <xdr:ext cx="543215" cy="290159"/>
    <xdr:pic>
      <xdr:nvPicPr>
        <xdr:cNvPr id="293" name="Imagem 292">
          <a:extLst>
            <a:ext uri="{FF2B5EF4-FFF2-40B4-BE49-F238E27FC236}">
              <a16:creationId xmlns:a16="http://schemas.microsoft.com/office/drawing/2014/main" id="{F625A714-2951-4807-B2FE-CFA458F7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887" y="193892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1293</xdr:row>
      <xdr:rowOff>68117</xdr:rowOff>
    </xdr:from>
    <xdr:ext cx="543215" cy="290159"/>
    <xdr:pic>
      <xdr:nvPicPr>
        <xdr:cNvPr id="294" name="Imagem 293">
          <a:extLst>
            <a:ext uri="{FF2B5EF4-FFF2-40B4-BE49-F238E27FC236}">
              <a16:creationId xmlns:a16="http://schemas.microsoft.com/office/drawing/2014/main" id="{780E44F5-757E-48CA-9708-418CB35CA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887" y="2119041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1271</xdr:row>
      <xdr:rowOff>68117</xdr:rowOff>
    </xdr:from>
    <xdr:ext cx="543215" cy="290159"/>
    <xdr:pic>
      <xdr:nvPicPr>
        <xdr:cNvPr id="295" name="Imagem 294">
          <a:extLst>
            <a:ext uri="{FF2B5EF4-FFF2-40B4-BE49-F238E27FC236}">
              <a16:creationId xmlns:a16="http://schemas.microsoft.com/office/drawing/2014/main" id="{FF3AE05D-5633-4B35-9008-77912CA62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887" y="2082750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1249</xdr:row>
      <xdr:rowOff>68117</xdr:rowOff>
    </xdr:from>
    <xdr:ext cx="543215" cy="290159"/>
    <xdr:pic>
      <xdr:nvPicPr>
        <xdr:cNvPr id="296" name="Imagem 295">
          <a:extLst>
            <a:ext uri="{FF2B5EF4-FFF2-40B4-BE49-F238E27FC236}">
              <a16:creationId xmlns:a16="http://schemas.microsoft.com/office/drawing/2014/main" id="{DF6E9A3D-5BFB-4BB1-BD94-0C591C470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887" y="2046460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1315</xdr:row>
      <xdr:rowOff>68117</xdr:rowOff>
    </xdr:from>
    <xdr:ext cx="543215" cy="290159"/>
    <xdr:pic>
      <xdr:nvPicPr>
        <xdr:cNvPr id="297" name="Imagem 296">
          <a:extLst>
            <a:ext uri="{FF2B5EF4-FFF2-40B4-BE49-F238E27FC236}">
              <a16:creationId xmlns:a16="http://schemas.microsoft.com/office/drawing/2014/main" id="{189D5FD4-FCC8-4C9F-864F-8A3AB47AA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887" y="215533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1095</xdr:row>
      <xdr:rowOff>68117</xdr:rowOff>
    </xdr:from>
    <xdr:ext cx="543215" cy="290159"/>
    <xdr:pic>
      <xdr:nvPicPr>
        <xdr:cNvPr id="298" name="Imagem 297">
          <a:extLst>
            <a:ext uri="{FF2B5EF4-FFF2-40B4-BE49-F238E27FC236}">
              <a16:creationId xmlns:a16="http://schemas.microsoft.com/office/drawing/2014/main" id="{2B4D3BA2-D72C-4660-8C99-5F8ECAE30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887" y="179414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1073</xdr:row>
      <xdr:rowOff>68117</xdr:rowOff>
    </xdr:from>
    <xdr:ext cx="543215" cy="290159"/>
    <xdr:pic>
      <xdr:nvPicPr>
        <xdr:cNvPr id="299" name="Imagem 298">
          <a:extLst>
            <a:ext uri="{FF2B5EF4-FFF2-40B4-BE49-F238E27FC236}">
              <a16:creationId xmlns:a16="http://schemas.microsoft.com/office/drawing/2014/main" id="{A007AC9C-EA80-4BB4-ACC9-5517D89D7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887" y="175794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1051</xdr:row>
      <xdr:rowOff>68117</xdr:rowOff>
    </xdr:from>
    <xdr:ext cx="543215" cy="290159"/>
    <xdr:pic>
      <xdr:nvPicPr>
        <xdr:cNvPr id="300" name="Imagem 299">
          <a:extLst>
            <a:ext uri="{FF2B5EF4-FFF2-40B4-BE49-F238E27FC236}">
              <a16:creationId xmlns:a16="http://schemas.microsoft.com/office/drawing/2014/main" id="{9D7FE6D7-D328-4B0F-968E-A22B6B272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887" y="172175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1161</xdr:row>
      <xdr:rowOff>68117</xdr:rowOff>
    </xdr:from>
    <xdr:ext cx="543215" cy="290159"/>
    <xdr:pic>
      <xdr:nvPicPr>
        <xdr:cNvPr id="301" name="Imagem 300">
          <a:extLst>
            <a:ext uri="{FF2B5EF4-FFF2-40B4-BE49-F238E27FC236}">
              <a16:creationId xmlns:a16="http://schemas.microsoft.com/office/drawing/2014/main" id="{EC758360-E965-474C-8CBB-D8B62F966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887" y="190272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1139</xdr:row>
      <xdr:rowOff>68117</xdr:rowOff>
    </xdr:from>
    <xdr:ext cx="543215" cy="290159"/>
    <xdr:pic>
      <xdr:nvPicPr>
        <xdr:cNvPr id="302" name="Imagem 301">
          <a:extLst>
            <a:ext uri="{FF2B5EF4-FFF2-40B4-BE49-F238E27FC236}">
              <a16:creationId xmlns:a16="http://schemas.microsoft.com/office/drawing/2014/main" id="{F8CA0AA9-9D8F-4F47-886A-F3747396E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887" y="186653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1117</xdr:row>
      <xdr:rowOff>68117</xdr:rowOff>
    </xdr:from>
    <xdr:ext cx="543215" cy="290159"/>
    <xdr:pic>
      <xdr:nvPicPr>
        <xdr:cNvPr id="303" name="Imagem 302">
          <a:extLst>
            <a:ext uri="{FF2B5EF4-FFF2-40B4-BE49-F238E27FC236}">
              <a16:creationId xmlns:a16="http://schemas.microsoft.com/office/drawing/2014/main" id="{A7CC50B7-3FCB-42EA-9300-B450CDA84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887" y="1830338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1183</xdr:row>
      <xdr:rowOff>68117</xdr:rowOff>
    </xdr:from>
    <xdr:ext cx="543215" cy="290159"/>
    <xdr:pic>
      <xdr:nvPicPr>
        <xdr:cNvPr id="304" name="Imagem 303">
          <a:extLst>
            <a:ext uri="{FF2B5EF4-FFF2-40B4-BE49-F238E27FC236}">
              <a16:creationId xmlns:a16="http://schemas.microsoft.com/office/drawing/2014/main" id="{F4617236-B65B-4F82-9851-B21D72346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887" y="1938923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1403</xdr:row>
      <xdr:rowOff>68117</xdr:rowOff>
    </xdr:from>
    <xdr:ext cx="543215" cy="290159"/>
    <xdr:pic>
      <xdr:nvPicPr>
        <xdr:cNvPr id="305" name="Imagem 304">
          <a:extLst>
            <a:ext uri="{FF2B5EF4-FFF2-40B4-BE49-F238E27FC236}">
              <a16:creationId xmlns:a16="http://schemas.microsoft.com/office/drawing/2014/main" id="{55928101-1684-4CD9-9723-5AA369170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300492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1403</xdr:row>
      <xdr:rowOff>68117</xdr:rowOff>
    </xdr:from>
    <xdr:ext cx="543215" cy="290159"/>
    <xdr:pic>
      <xdr:nvPicPr>
        <xdr:cNvPr id="306" name="Imagem 305">
          <a:extLst>
            <a:ext uri="{FF2B5EF4-FFF2-40B4-BE49-F238E27FC236}">
              <a16:creationId xmlns:a16="http://schemas.microsoft.com/office/drawing/2014/main" id="{F4DCB60C-EAE8-4AFE-8568-EEE560B9B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300492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1403</xdr:row>
      <xdr:rowOff>68117</xdr:rowOff>
    </xdr:from>
    <xdr:ext cx="543215" cy="290159"/>
    <xdr:pic>
      <xdr:nvPicPr>
        <xdr:cNvPr id="307" name="Imagem 306">
          <a:extLst>
            <a:ext uri="{FF2B5EF4-FFF2-40B4-BE49-F238E27FC236}">
              <a16:creationId xmlns:a16="http://schemas.microsoft.com/office/drawing/2014/main" id="{1D19EFE1-D77F-4B7E-A3CD-BA556DBA5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712" y="2300492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1403</xdr:row>
      <xdr:rowOff>68117</xdr:rowOff>
    </xdr:from>
    <xdr:ext cx="543215" cy="290159"/>
    <xdr:pic>
      <xdr:nvPicPr>
        <xdr:cNvPr id="308" name="Imagem 307">
          <a:extLst>
            <a:ext uri="{FF2B5EF4-FFF2-40B4-BE49-F238E27FC236}">
              <a16:creationId xmlns:a16="http://schemas.microsoft.com/office/drawing/2014/main" id="{39C9C0EB-975C-4059-AF28-CA4CFCB68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887" y="2300492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1425</xdr:row>
      <xdr:rowOff>68117</xdr:rowOff>
    </xdr:from>
    <xdr:ext cx="543215" cy="290159"/>
    <xdr:pic>
      <xdr:nvPicPr>
        <xdr:cNvPr id="309" name="Imagem 308">
          <a:extLst>
            <a:ext uri="{FF2B5EF4-FFF2-40B4-BE49-F238E27FC236}">
              <a16:creationId xmlns:a16="http://schemas.microsoft.com/office/drawing/2014/main" id="{6C4C72D4-5DF7-4BC2-9000-F575FAD82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333353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1425</xdr:row>
      <xdr:rowOff>68117</xdr:rowOff>
    </xdr:from>
    <xdr:ext cx="543215" cy="290159"/>
    <xdr:pic>
      <xdr:nvPicPr>
        <xdr:cNvPr id="310" name="Imagem 309">
          <a:extLst>
            <a:ext uri="{FF2B5EF4-FFF2-40B4-BE49-F238E27FC236}">
              <a16:creationId xmlns:a16="http://schemas.microsoft.com/office/drawing/2014/main" id="{CC67A660-3451-47C6-80C3-3327375BC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333353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22413</xdr:colOff>
      <xdr:row>1447</xdr:row>
      <xdr:rowOff>68117</xdr:rowOff>
    </xdr:from>
    <xdr:ext cx="543215" cy="290159"/>
    <xdr:pic>
      <xdr:nvPicPr>
        <xdr:cNvPr id="311" name="Imagem 310">
          <a:extLst>
            <a:ext uri="{FF2B5EF4-FFF2-40B4-BE49-F238E27FC236}">
              <a16:creationId xmlns:a16="http://schemas.microsoft.com/office/drawing/2014/main" id="{5D7F982F-5D5C-44BA-BFB6-1C489FBF5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113" y="236688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1425</xdr:row>
      <xdr:rowOff>68117</xdr:rowOff>
    </xdr:from>
    <xdr:ext cx="543215" cy="290159"/>
    <xdr:pic>
      <xdr:nvPicPr>
        <xdr:cNvPr id="312" name="Imagem 311">
          <a:extLst>
            <a:ext uri="{FF2B5EF4-FFF2-40B4-BE49-F238E27FC236}">
              <a16:creationId xmlns:a16="http://schemas.microsoft.com/office/drawing/2014/main" id="{96D4215E-28EC-4071-B443-2A58E3DF2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333353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1469</xdr:row>
      <xdr:rowOff>68117</xdr:rowOff>
    </xdr:from>
    <xdr:ext cx="543215" cy="290159"/>
    <xdr:pic>
      <xdr:nvPicPr>
        <xdr:cNvPr id="313" name="Imagem 312">
          <a:extLst>
            <a:ext uri="{FF2B5EF4-FFF2-40B4-BE49-F238E27FC236}">
              <a16:creationId xmlns:a16="http://schemas.microsoft.com/office/drawing/2014/main" id="{B5E64537-9397-4D65-940C-09412B856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400409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1469</xdr:row>
      <xdr:rowOff>68117</xdr:rowOff>
    </xdr:from>
    <xdr:ext cx="543215" cy="290159"/>
    <xdr:pic>
      <xdr:nvPicPr>
        <xdr:cNvPr id="314" name="Imagem 313">
          <a:extLst>
            <a:ext uri="{FF2B5EF4-FFF2-40B4-BE49-F238E27FC236}">
              <a16:creationId xmlns:a16="http://schemas.microsoft.com/office/drawing/2014/main" id="{6054D083-DF33-4F44-B059-A09DBE161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400409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1469</xdr:row>
      <xdr:rowOff>68117</xdr:rowOff>
    </xdr:from>
    <xdr:ext cx="543215" cy="290159"/>
    <xdr:pic>
      <xdr:nvPicPr>
        <xdr:cNvPr id="315" name="Imagem 314">
          <a:extLst>
            <a:ext uri="{FF2B5EF4-FFF2-40B4-BE49-F238E27FC236}">
              <a16:creationId xmlns:a16="http://schemas.microsoft.com/office/drawing/2014/main" id="{D920736A-4FCB-4076-A1FF-1129230CB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712" y="2400409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1469</xdr:row>
      <xdr:rowOff>68117</xdr:rowOff>
    </xdr:from>
    <xdr:ext cx="543215" cy="290159"/>
    <xdr:pic>
      <xdr:nvPicPr>
        <xdr:cNvPr id="316" name="Imagem 315">
          <a:extLst>
            <a:ext uri="{FF2B5EF4-FFF2-40B4-BE49-F238E27FC236}">
              <a16:creationId xmlns:a16="http://schemas.microsoft.com/office/drawing/2014/main" id="{453AD89C-1692-4954-B4B7-B99111D64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887" y="2400409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1491</xdr:row>
      <xdr:rowOff>68117</xdr:rowOff>
    </xdr:from>
    <xdr:ext cx="543215" cy="290159"/>
    <xdr:pic>
      <xdr:nvPicPr>
        <xdr:cNvPr id="317" name="Imagem 316">
          <a:extLst>
            <a:ext uri="{FF2B5EF4-FFF2-40B4-BE49-F238E27FC236}">
              <a16:creationId xmlns:a16="http://schemas.microsoft.com/office/drawing/2014/main" id="{BAD32779-69A7-49FB-B5DD-09E29FE77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43669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1491</xdr:row>
      <xdr:rowOff>68117</xdr:rowOff>
    </xdr:from>
    <xdr:ext cx="543215" cy="290159"/>
    <xdr:pic>
      <xdr:nvPicPr>
        <xdr:cNvPr id="318" name="Imagem 317">
          <a:extLst>
            <a:ext uri="{FF2B5EF4-FFF2-40B4-BE49-F238E27FC236}">
              <a16:creationId xmlns:a16="http://schemas.microsoft.com/office/drawing/2014/main" id="{B7C54DFD-D03A-4915-8C62-317F63827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43669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1491</xdr:row>
      <xdr:rowOff>68117</xdr:rowOff>
    </xdr:from>
    <xdr:ext cx="543215" cy="290159"/>
    <xdr:pic>
      <xdr:nvPicPr>
        <xdr:cNvPr id="319" name="Imagem 318">
          <a:extLst>
            <a:ext uri="{FF2B5EF4-FFF2-40B4-BE49-F238E27FC236}">
              <a16:creationId xmlns:a16="http://schemas.microsoft.com/office/drawing/2014/main" id="{560525FB-BB6B-4507-8DE0-011D9583A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712" y="243669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1491</xdr:row>
      <xdr:rowOff>68117</xdr:rowOff>
    </xdr:from>
    <xdr:ext cx="543215" cy="290159"/>
    <xdr:pic>
      <xdr:nvPicPr>
        <xdr:cNvPr id="320" name="Imagem 319">
          <a:extLst>
            <a:ext uri="{FF2B5EF4-FFF2-40B4-BE49-F238E27FC236}">
              <a16:creationId xmlns:a16="http://schemas.microsoft.com/office/drawing/2014/main" id="{EE6ABC7D-6DE1-4907-93B5-24B674D01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887" y="2436699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1513</xdr:row>
      <xdr:rowOff>68117</xdr:rowOff>
    </xdr:from>
    <xdr:ext cx="543215" cy="290159"/>
    <xdr:pic>
      <xdr:nvPicPr>
        <xdr:cNvPr id="321" name="Imagem 320">
          <a:extLst>
            <a:ext uri="{FF2B5EF4-FFF2-40B4-BE49-F238E27FC236}">
              <a16:creationId xmlns:a16="http://schemas.microsoft.com/office/drawing/2014/main" id="{B3A5F779-0412-4EE4-8672-B39F9C5D0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474037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1513</xdr:row>
      <xdr:rowOff>68117</xdr:rowOff>
    </xdr:from>
    <xdr:ext cx="543215" cy="290159"/>
    <xdr:pic>
      <xdr:nvPicPr>
        <xdr:cNvPr id="322" name="Imagem 321">
          <a:extLst>
            <a:ext uri="{FF2B5EF4-FFF2-40B4-BE49-F238E27FC236}">
              <a16:creationId xmlns:a16="http://schemas.microsoft.com/office/drawing/2014/main" id="{55109F63-B4EC-4CC7-B68C-8FEA218E8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474037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1513</xdr:row>
      <xdr:rowOff>68117</xdr:rowOff>
    </xdr:from>
    <xdr:ext cx="543215" cy="290159"/>
    <xdr:pic>
      <xdr:nvPicPr>
        <xdr:cNvPr id="323" name="Imagem 322">
          <a:extLst>
            <a:ext uri="{FF2B5EF4-FFF2-40B4-BE49-F238E27FC236}">
              <a16:creationId xmlns:a16="http://schemas.microsoft.com/office/drawing/2014/main" id="{5F4FF478-D50F-4E42-97EF-BF3D0B350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712" y="2474037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1513</xdr:row>
      <xdr:rowOff>68117</xdr:rowOff>
    </xdr:from>
    <xdr:ext cx="543215" cy="290159"/>
    <xdr:pic>
      <xdr:nvPicPr>
        <xdr:cNvPr id="324" name="Imagem 323">
          <a:extLst>
            <a:ext uri="{FF2B5EF4-FFF2-40B4-BE49-F238E27FC236}">
              <a16:creationId xmlns:a16="http://schemas.microsoft.com/office/drawing/2014/main" id="{D9CFC869-05A1-4F83-974E-1EBBE7ED6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887" y="2474037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1535</xdr:row>
      <xdr:rowOff>68117</xdr:rowOff>
    </xdr:from>
    <xdr:ext cx="543215" cy="290159"/>
    <xdr:pic>
      <xdr:nvPicPr>
        <xdr:cNvPr id="325" name="Imagem 324">
          <a:extLst>
            <a:ext uri="{FF2B5EF4-FFF2-40B4-BE49-F238E27FC236}">
              <a16:creationId xmlns:a16="http://schemas.microsoft.com/office/drawing/2014/main" id="{203B7250-8E76-4723-8066-B648154C7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510328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1535</xdr:row>
      <xdr:rowOff>68117</xdr:rowOff>
    </xdr:from>
    <xdr:ext cx="543215" cy="290159"/>
    <xdr:pic>
      <xdr:nvPicPr>
        <xdr:cNvPr id="326" name="Imagem 325">
          <a:extLst>
            <a:ext uri="{FF2B5EF4-FFF2-40B4-BE49-F238E27FC236}">
              <a16:creationId xmlns:a16="http://schemas.microsoft.com/office/drawing/2014/main" id="{AD90B7C2-7BEA-46D2-B4E6-84FCB36E2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4437" y="2510328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1535</xdr:row>
      <xdr:rowOff>68117</xdr:rowOff>
    </xdr:from>
    <xdr:ext cx="543215" cy="290159"/>
    <xdr:pic>
      <xdr:nvPicPr>
        <xdr:cNvPr id="327" name="Imagem 326">
          <a:extLst>
            <a:ext uri="{FF2B5EF4-FFF2-40B4-BE49-F238E27FC236}">
              <a16:creationId xmlns:a16="http://schemas.microsoft.com/office/drawing/2014/main" id="{9422535F-A285-47D3-8975-C80B749E5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8712" y="2510328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1535</xdr:row>
      <xdr:rowOff>68117</xdr:rowOff>
    </xdr:from>
    <xdr:ext cx="543215" cy="290159"/>
    <xdr:pic>
      <xdr:nvPicPr>
        <xdr:cNvPr id="328" name="Imagem 327">
          <a:extLst>
            <a:ext uri="{FF2B5EF4-FFF2-40B4-BE49-F238E27FC236}">
              <a16:creationId xmlns:a16="http://schemas.microsoft.com/office/drawing/2014/main" id="{74222E6A-D38B-4C73-ACAE-B51C767FE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887" y="2510328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633</xdr:row>
      <xdr:rowOff>68117</xdr:rowOff>
    </xdr:from>
    <xdr:ext cx="543215" cy="290159"/>
    <xdr:pic>
      <xdr:nvPicPr>
        <xdr:cNvPr id="329" name="Imagem 328">
          <a:extLst>
            <a:ext uri="{FF2B5EF4-FFF2-40B4-BE49-F238E27FC236}">
              <a16:creationId xmlns:a16="http://schemas.microsoft.com/office/drawing/2014/main" id="{35F15FC9-2CC9-4F2D-AD6F-32D26C286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1820" y="1034143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633</xdr:row>
      <xdr:rowOff>68117</xdr:rowOff>
    </xdr:from>
    <xdr:ext cx="543215" cy="290159"/>
    <xdr:pic>
      <xdr:nvPicPr>
        <xdr:cNvPr id="330" name="Imagem 329">
          <a:extLst>
            <a:ext uri="{FF2B5EF4-FFF2-40B4-BE49-F238E27FC236}">
              <a16:creationId xmlns:a16="http://schemas.microsoft.com/office/drawing/2014/main" id="{B4EE372C-6727-4EAC-AF40-2973E23A2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1820" y="1034143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22512</xdr:colOff>
      <xdr:row>0</xdr:row>
      <xdr:rowOff>68117</xdr:rowOff>
    </xdr:from>
    <xdr:ext cx="543215" cy="290159"/>
    <xdr:pic>
      <xdr:nvPicPr>
        <xdr:cNvPr id="2" name="Imagem 1">
          <a:extLst>
            <a:ext uri="{FF2B5EF4-FFF2-40B4-BE49-F238E27FC236}">
              <a16:creationId xmlns:a16="http://schemas.microsoft.com/office/drawing/2014/main" id="{11537824-3360-4AE9-B75D-D07C774AB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15533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0</xdr:row>
      <xdr:rowOff>68117</xdr:rowOff>
    </xdr:from>
    <xdr:ext cx="543215" cy="290159"/>
    <xdr:pic>
      <xdr:nvPicPr>
        <xdr:cNvPr id="3" name="Imagem 2">
          <a:extLst>
            <a:ext uri="{FF2B5EF4-FFF2-40B4-BE49-F238E27FC236}">
              <a16:creationId xmlns:a16="http://schemas.microsoft.com/office/drawing/2014/main" id="{9826336E-5F65-43A9-9B4E-53DC8E0A4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15533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0</xdr:row>
      <xdr:rowOff>68117</xdr:rowOff>
    </xdr:from>
    <xdr:ext cx="543215" cy="290159"/>
    <xdr:pic>
      <xdr:nvPicPr>
        <xdr:cNvPr id="4" name="Imagem 3">
          <a:extLst>
            <a:ext uri="{FF2B5EF4-FFF2-40B4-BE49-F238E27FC236}">
              <a16:creationId xmlns:a16="http://schemas.microsoft.com/office/drawing/2014/main" id="{6570D831-79C2-4F8F-9359-F7B6279C1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15533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0</xdr:row>
      <xdr:rowOff>68117</xdr:rowOff>
    </xdr:from>
    <xdr:ext cx="543215" cy="290159"/>
    <xdr:pic>
      <xdr:nvPicPr>
        <xdr:cNvPr id="5" name="Imagem 4">
          <a:extLst>
            <a:ext uri="{FF2B5EF4-FFF2-40B4-BE49-F238E27FC236}">
              <a16:creationId xmlns:a16="http://schemas.microsoft.com/office/drawing/2014/main" id="{BA716AFC-F934-4566-841A-8D31EAB07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15533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22</xdr:row>
      <xdr:rowOff>68117</xdr:rowOff>
    </xdr:from>
    <xdr:ext cx="543215" cy="290159"/>
    <xdr:pic>
      <xdr:nvPicPr>
        <xdr:cNvPr id="6" name="Imagem 5">
          <a:extLst>
            <a:ext uri="{FF2B5EF4-FFF2-40B4-BE49-F238E27FC236}">
              <a16:creationId xmlns:a16="http://schemas.microsoft.com/office/drawing/2014/main" id="{7A1D16F4-C03B-4B26-813D-95CE9EDD9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19162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22</xdr:row>
      <xdr:rowOff>68117</xdr:rowOff>
    </xdr:from>
    <xdr:ext cx="543215" cy="290159"/>
    <xdr:pic>
      <xdr:nvPicPr>
        <xdr:cNvPr id="7" name="Imagem 6">
          <a:extLst>
            <a:ext uri="{FF2B5EF4-FFF2-40B4-BE49-F238E27FC236}">
              <a16:creationId xmlns:a16="http://schemas.microsoft.com/office/drawing/2014/main" id="{FEA102AA-57D0-4BDD-9B81-92F24FC1E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19162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22</xdr:row>
      <xdr:rowOff>68117</xdr:rowOff>
    </xdr:from>
    <xdr:ext cx="543215" cy="290159"/>
    <xdr:pic>
      <xdr:nvPicPr>
        <xdr:cNvPr id="8" name="Imagem 7">
          <a:extLst>
            <a:ext uri="{FF2B5EF4-FFF2-40B4-BE49-F238E27FC236}">
              <a16:creationId xmlns:a16="http://schemas.microsoft.com/office/drawing/2014/main" id="{EFAA7C9F-8070-4469-81FF-281206878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19162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22</xdr:row>
      <xdr:rowOff>68117</xdr:rowOff>
    </xdr:from>
    <xdr:ext cx="543215" cy="290159"/>
    <xdr:pic>
      <xdr:nvPicPr>
        <xdr:cNvPr id="9" name="Imagem 8">
          <a:extLst>
            <a:ext uri="{FF2B5EF4-FFF2-40B4-BE49-F238E27FC236}">
              <a16:creationId xmlns:a16="http://schemas.microsoft.com/office/drawing/2014/main" id="{C1B0682C-6C19-4C57-A51D-7C0D1C95B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19162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0</xdr:row>
      <xdr:rowOff>68117</xdr:rowOff>
    </xdr:from>
    <xdr:ext cx="543215" cy="290159"/>
    <xdr:pic>
      <xdr:nvPicPr>
        <xdr:cNvPr id="10" name="Imagem 9">
          <a:extLst>
            <a:ext uri="{FF2B5EF4-FFF2-40B4-BE49-F238E27FC236}">
              <a16:creationId xmlns:a16="http://schemas.microsoft.com/office/drawing/2014/main" id="{623FA4E1-D29A-4B87-9E1B-CFB30D8A1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0612" y="2264202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22</xdr:row>
      <xdr:rowOff>68117</xdr:rowOff>
    </xdr:from>
    <xdr:ext cx="543215" cy="290159"/>
    <xdr:pic>
      <xdr:nvPicPr>
        <xdr:cNvPr id="11" name="Imagem 10">
          <a:extLst>
            <a:ext uri="{FF2B5EF4-FFF2-40B4-BE49-F238E27FC236}">
              <a16:creationId xmlns:a16="http://schemas.microsoft.com/office/drawing/2014/main" id="{793BE106-6BFD-4D87-826D-A2696D784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0612" y="215533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22</xdr:row>
      <xdr:rowOff>68117</xdr:rowOff>
    </xdr:from>
    <xdr:ext cx="543215" cy="290159"/>
    <xdr:pic>
      <xdr:nvPicPr>
        <xdr:cNvPr id="12" name="Imagem 11">
          <a:extLst>
            <a:ext uri="{FF2B5EF4-FFF2-40B4-BE49-F238E27FC236}">
              <a16:creationId xmlns:a16="http://schemas.microsoft.com/office/drawing/2014/main" id="{724B7D4E-A9F4-4C1D-BCEA-708EE0AD7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0612" y="215533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22</xdr:row>
      <xdr:rowOff>68117</xdr:rowOff>
    </xdr:from>
    <xdr:ext cx="543215" cy="290159"/>
    <xdr:pic>
      <xdr:nvPicPr>
        <xdr:cNvPr id="13" name="Imagem 12">
          <a:extLst>
            <a:ext uri="{FF2B5EF4-FFF2-40B4-BE49-F238E27FC236}">
              <a16:creationId xmlns:a16="http://schemas.microsoft.com/office/drawing/2014/main" id="{E15DF4F9-B550-4A09-9CFD-5990BDDF1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0612" y="215533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22</xdr:row>
      <xdr:rowOff>68117</xdr:rowOff>
    </xdr:from>
    <xdr:ext cx="543215" cy="290159"/>
    <xdr:pic>
      <xdr:nvPicPr>
        <xdr:cNvPr id="14" name="Imagem 13">
          <a:extLst>
            <a:ext uri="{FF2B5EF4-FFF2-40B4-BE49-F238E27FC236}">
              <a16:creationId xmlns:a16="http://schemas.microsoft.com/office/drawing/2014/main" id="{2FB11B31-5D54-45FA-B0DD-3C1A2B11C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0612" y="215533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44</xdr:row>
      <xdr:rowOff>68117</xdr:rowOff>
    </xdr:from>
    <xdr:ext cx="543215" cy="290159"/>
    <xdr:pic>
      <xdr:nvPicPr>
        <xdr:cNvPr id="15" name="Imagem 14">
          <a:extLst>
            <a:ext uri="{FF2B5EF4-FFF2-40B4-BE49-F238E27FC236}">
              <a16:creationId xmlns:a16="http://schemas.microsoft.com/office/drawing/2014/main" id="{2E67CD32-88C4-4BFB-A2D8-C5ABAAB96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3697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44</xdr:row>
      <xdr:rowOff>68117</xdr:rowOff>
    </xdr:from>
    <xdr:ext cx="543215" cy="290159"/>
    <xdr:pic>
      <xdr:nvPicPr>
        <xdr:cNvPr id="16" name="Imagem 15">
          <a:extLst>
            <a:ext uri="{FF2B5EF4-FFF2-40B4-BE49-F238E27FC236}">
              <a16:creationId xmlns:a16="http://schemas.microsoft.com/office/drawing/2014/main" id="{9BB9CAB9-FA5F-44B7-8E25-A4F4AB438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3697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44</xdr:row>
      <xdr:rowOff>68117</xdr:rowOff>
    </xdr:from>
    <xdr:ext cx="543215" cy="290159"/>
    <xdr:pic>
      <xdr:nvPicPr>
        <xdr:cNvPr id="17" name="Imagem 16">
          <a:extLst>
            <a:ext uri="{FF2B5EF4-FFF2-40B4-BE49-F238E27FC236}">
              <a16:creationId xmlns:a16="http://schemas.microsoft.com/office/drawing/2014/main" id="{184DE6CC-ABDD-4D8B-ABE6-CFEC479AD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3697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44</xdr:row>
      <xdr:rowOff>68117</xdr:rowOff>
    </xdr:from>
    <xdr:ext cx="543215" cy="290159"/>
    <xdr:pic>
      <xdr:nvPicPr>
        <xdr:cNvPr id="18" name="Imagem 17">
          <a:extLst>
            <a:ext uri="{FF2B5EF4-FFF2-40B4-BE49-F238E27FC236}">
              <a16:creationId xmlns:a16="http://schemas.microsoft.com/office/drawing/2014/main" id="{85FD7DCE-D0D9-493E-838F-B6F4007FC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3697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44</xdr:row>
      <xdr:rowOff>68117</xdr:rowOff>
    </xdr:from>
    <xdr:ext cx="543215" cy="290159"/>
    <xdr:pic>
      <xdr:nvPicPr>
        <xdr:cNvPr id="19" name="Imagem 18">
          <a:extLst>
            <a:ext uri="{FF2B5EF4-FFF2-40B4-BE49-F238E27FC236}">
              <a16:creationId xmlns:a16="http://schemas.microsoft.com/office/drawing/2014/main" id="{20AA4FBD-54B7-4739-A6F8-EAC98ACC4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3697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44</xdr:row>
      <xdr:rowOff>68117</xdr:rowOff>
    </xdr:from>
    <xdr:ext cx="543215" cy="290159"/>
    <xdr:pic>
      <xdr:nvPicPr>
        <xdr:cNvPr id="20" name="Imagem 19">
          <a:extLst>
            <a:ext uri="{FF2B5EF4-FFF2-40B4-BE49-F238E27FC236}">
              <a16:creationId xmlns:a16="http://schemas.microsoft.com/office/drawing/2014/main" id="{D56F1DE6-5C64-4F52-A6EF-C6567D5C5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3697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44</xdr:row>
      <xdr:rowOff>68117</xdr:rowOff>
    </xdr:from>
    <xdr:ext cx="543215" cy="290159"/>
    <xdr:pic>
      <xdr:nvPicPr>
        <xdr:cNvPr id="21" name="Imagem 20">
          <a:extLst>
            <a:ext uri="{FF2B5EF4-FFF2-40B4-BE49-F238E27FC236}">
              <a16:creationId xmlns:a16="http://schemas.microsoft.com/office/drawing/2014/main" id="{7A0DB4B3-E9EE-4941-AED0-4ADCD1B04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3697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44</xdr:row>
      <xdr:rowOff>68117</xdr:rowOff>
    </xdr:from>
    <xdr:ext cx="543215" cy="290159"/>
    <xdr:pic>
      <xdr:nvPicPr>
        <xdr:cNvPr id="22" name="Imagem 21">
          <a:extLst>
            <a:ext uri="{FF2B5EF4-FFF2-40B4-BE49-F238E27FC236}">
              <a16:creationId xmlns:a16="http://schemas.microsoft.com/office/drawing/2014/main" id="{74FD630C-C65D-4A13-9B5C-7878CBA62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36971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0</xdr:row>
      <xdr:rowOff>68117</xdr:rowOff>
    </xdr:from>
    <xdr:ext cx="543215" cy="290159"/>
    <xdr:pic>
      <xdr:nvPicPr>
        <xdr:cNvPr id="23" name="Imagem 22">
          <a:extLst>
            <a:ext uri="{FF2B5EF4-FFF2-40B4-BE49-F238E27FC236}">
              <a16:creationId xmlns:a16="http://schemas.microsoft.com/office/drawing/2014/main" id="{25B1432F-DFAC-46E7-8B66-0B53947E8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681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0</xdr:row>
      <xdr:rowOff>68117</xdr:rowOff>
    </xdr:from>
    <xdr:ext cx="543215" cy="290159"/>
    <xdr:pic>
      <xdr:nvPicPr>
        <xdr:cNvPr id="24" name="Imagem 23">
          <a:extLst>
            <a:ext uri="{FF2B5EF4-FFF2-40B4-BE49-F238E27FC236}">
              <a16:creationId xmlns:a16="http://schemas.microsoft.com/office/drawing/2014/main" id="{F37EF6D9-EDC4-4DDA-A095-216446CC0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681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0</xdr:row>
      <xdr:rowOff>68117</xdr:rowOff>
    </xdr:from>
    <xdr:ext cx="543215" cy="290159"/>
    <xdr:pic>
      <xdr:nvPicPr>
        <xdr:cNvPr id="25" name="Imagem 24">
          <a:extLst>
            <a:ext uri="{FF2B5EF4-FFF2-40B4-BE49-F238E27FC236}">
              <a16:creationId xmlns:a16="http://schemas.microsoft.com/office/drawing/2014/main" id="{062B7F7A-879F-4A11-920E-CC89A1F34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681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0</xdr:row>
      <xdr:rowOff>68117</xdr:rowOff>
    </xdr:from>
    <xdr:ext cx="543215" cy="290159"/>
    <xdr:pic>
      <xdr:nvPicPr>
        <xdr:cNvPr id="26" name="Imagem 25">
          <a:extLst>
            <a:ext uri="{FF2B5EF4-FFF2-40B4-BE49-F238E27FC236}">
              <a16:creationId xmlns:a16="http://schemas.microsoft.com/office/drawing/2014/main" id="{4B95EFAF-C1B3-45E5-B35F-987AA291E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681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44</xdr:row>
      <xdr:rowOff>68117</xdr:rowOff>
    </xdr:from>
    <xdr:ext cx="543215" cy="290159"/>
    <xdr:pic>
      <xdr:nvPicPr>
        <xdr:cNvPr id="36" name="Imagem 35">
          <a:extLst>
            <a:ext uri="{FF2B5EF4-FFF2-40B4-BE49-F238E27FC236}">
              <a16:creationId xmlns:a16="http://schemas.microsoft.com/office/drawing/2014/main" id="{A3FE087C-329E-4289-B37A-A3C38B287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44</xdr:row>
      <xdr:rowOff>68117</xdr:rowOff>
    </xdr:from>
    <xdr:ext cx="543215" cy="290159"/>
    <xdr:pic>
      <xdr:nvPicPr>
        <xdr:cNvPr id="37" name="Imagem 36">
          <a:extLst>
            <a:ext uri="{FF2B5EF4-FFF2-40B4-BE49-F238E27FC236}">
              <a16:creationId xmlns:a16="http://schemas.microsoft.com/office/drawing/2014/main" id="{DBCC2C52-C467-496F-BEEB-092DD2AB4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44</xdr:row>
      <xdr:rowOff>68117</xdr:rowOff>
    </xdr:from>
    <xdr:ext cx="543215" cy="290159"/>
    <xdr:pic>
      <xdr:nvPicPr>
        <xdr:cNvPr id="38" name="Imagem 37">
          <a:extLst>
            <a:ext uri="{FF2B5EF4-FFF2-40B4-BE49-F238E27FC236}">
              <a16:creationId xmlns:a16="http://schemas.microsoft.com/office/drawing/2014/main" id="{693D2386-5644-4310-827A-6BE00972E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44</xdr:row>
      <xdr:rowOff>68117</xdr:rowOff>
    </xdr:from>
    <xdr:ext cx="543215" cy="290159"/>
    <xdr:pic>
      <xdr:nvPicPr>
        <xdr:cNvPr id="39" name="Imagem 38">
          <a:extLst>
            <a:ext uri="{FF2B5EF4-FFF2-40B4-BE49-F238E27FC236}">
              <a16:creationId xmlns:a16="http://schemas.microsoft.com/office/drawing/2014/main" id="{B058F467-493A-4873-9B02-CF7C1803A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44</xdr:row>
      <xdr:rowOff>68117</xdr:rowOff>
    </xdr:from>
    <xdr:ext cx="543215" cy="290159"/>
    <xdr:pic>
      <xdr:nvPicPr>
        <xdr:cNvPr id="40" name="Imagem 39">
          <a:extLst>
            <a:ext uri="{FF2B5EF4-FFF2-40B4-BE49-F238E27FC236}">
              <a16:creationId xmlns:a16="http://schemas.microsoft.com/office/drawing/2014/main" id="{3D2B11AE-B42D-4999-94A1-09B5928A5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44</xdr:row>
      <xdr:rowOff>68117</xdr:rowOff>
    </xdr:from>
    <xdr:ext cx="543215" cy="290159"/>
    <xdr:pic>
      <xdr:nvPicPr>
        <xdr:cNvPr id="41" name="Imagem 40">
          <a:extLst>
            <a:ext uri="{FF2B5EF4-FFF2-40B4-BE49-F238E27FC236}">
              <a16:creationId xmlns:a16="http://schemas.microsoft.com/office/drawing/2014/main" id="{8018E8BB-F56E-4A02-8FF5-4DC7CCAC0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44</xdr:row>
      <xdr:rowOff>68117</xdr:rowOff>
    </xdr:from>
    <xdr:ext cx="543215" cy="290159"/>
    <xdr:pic>
      <xdr:nvPicPr>
        <xdr:cNvPr id="42" name="Imagem 41">
          <a:extLst>
            <a:ext uri="{FF2B5EF4-FFF2-40B4-BE49-F238E27FC236}">
              <a16:creationId xmlns:a16="http://schemas.microsoft.com/office/drawing/2014/main" id="{8307BA4F-FDDF-45C7-B744-5DEBA4B01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44</xdr:row>
      <xdr:rowOff>68117</xdr:rowOff>
    </xdr:from>
    <xdr:ext cx="543215" cy="290159"/>
    <xdr:pic>
      <xdr:nvPicPr>
        <xdr:cNvPr id="43" name="Imagem 42">
          <a:extLst>
            <a:ext uri="{FF2B5EF4-FFF2-40B4-BE49-F238E27FC236}">
              <a16:creationId xmlns:a16="http://schemas.microsoft.com/office/drawing/2014/main" id="{0A41A84F-0DF5-4585-8773-D4FDAE8F1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44</xdr:row>
      <xdr:rowOff>68117</xdr:rowOff>
    </xdr:from>
    <xdr:ext cx="543215" cy="290159"/>
    <xdr:pic>
      <xdr:nvPicPr>
        <xdr:cNvPr id="44" name="Imagem 43">
          <a:extLst>
            <a:ext uri="{FF2B5EF4-FFF2-40B4-BE49-F238E27FC236}">
              <a16:creationId xmlns:a16="http://schemas.microsoft.com/office/drawing/2014/main" id="{111B711F-70ED-4EF3-8910-F444AD377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0612" y="2227911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44</xdr:row>
      <xdr:rowOff>68117</xdr:rowOff>
    </xdr:from>
    <xdr:ext cx="543215" cy="290159"/>
    <xdr:pic>
      <xdr:nvPicPr>
        <xdr:cNvPr id="45" name="Imagem 44">
          <a:extLst>
            <a:ext uri="{FF2B5EF4-FFF2-40B4-BE49-F238E27FC236}">
              <a16:creationId xmlns:a16="http://schemas.microsoft.com/office/drawing/2014/main" id="{A5030AA4-683B-4AC1-BDF2-B85A470F2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0612" y="2227911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44</xdr:row>
      <xdr:rowOff>68117</xdr:rowOff>
    </xdr:from>
    <xdr:ext cx="543215" cy="290159"/>
    <xdr:pic>
      <xdr:nvPicPr>
        <xdr:cNvPr id="46" name="Imagem 45">
          <a:extLst>
            <a:ext uri="{FF2B5EF4-FFF2-40B4-BE49-F238E27FC236}">
              <a16:creationId xmlns:a16="http://schemas.microsoft.com/office/drawing/2014/main" id="{D2470DA9-91A8-4B20-B51D-6321891FD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0612" y="2227911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22512</xdr:colOff>
      <xdr:row>44</xdr:row>
      <xdr:rowOff>68117</xdr:rowOff>
    </xdr:from>
    <xdr:ext cx="543215" cy="290159"/>
    <xdr:pic>
      <xdr:nvPicPr>
        <xdr:cNvPr id="47" name="Imagem 46">
          <a:extLst>
            <a:ext uri="{FF2B5EF4-FFF2-40B4-BE49-F238E27FC236}">
              <a16:creationId xmlns:a16="http://schemas.microsoft.com/office/drawing/2014/main" id="{21E527A2-056F-40AF-A877-233F697F9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0612" y="22279119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44</xdr:row>
      <xdr:rowOff>68117</xdr:rowOff>
    </xdr:from>
    <xdr:ext cx="543215" cy="290159"/>
    <xdr:pic>
      <xdr:nvPicPr>
        <xdr:cNvPr id="48" name="Imagem 47">
          <a:extLst>
            <a:ext uri="{FF2B5EF4-FFF2-40B4-BE49-F238E27FC236}">
              <a16:creationId xmlns:a16="http://schemas.microsoft.com/office/drawing/2014/main" id="{B062BFD6-EF80-4711-84F0-C0ADB98D5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264202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44</xdr:row>
      <xdr:rowOff>68117</xdr:rowOff>
    </xdr:from>
    <xdr:ext cx="543215" cy="290159"/>
    <xdr:pic>
      <xdr:nvPicPr>
        <xdr:cNvPr id="49" name="Imagem 48">
          <a:extLst>
            <a:ext uri="{FF2B5EF4-FFF2-40B4-BE49-F238E27FC236}">
              <a16:creationId xmlns:a16="http://schemas.microsoft.com/office/drawing/2014/main" id="{91760070-1171-4FC1-AE1A-2CA73ACA2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264202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44</xdr:row>
      <xdr:rowOff>68117</xdr:rowOff>
    </xdr:from>
    <xdr:ext cx="543215" cy="290159"/>
    <xdr:pic>
      <xdr:nvPicPr>
        <xdr:cNvPr id="50" name="Imagem 49">
          <a:extLst>
            <a:ext uri="{FF2B5EF4-FFF2-40B4-BE49-F238E27FC236}">
              <a16:creationId xmlns:a16="http://schemas.microsoft.com/office/drawing/2014/main" id="{8FED6E1D-B6F2-48ED-84CA-C9AE6D814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264202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11</xdr:col>
      <xdr:colOff>22512</xdr:colOff>
      <xdr:row>44</xdr:row>
      <xdr:rowOff>68117</xdr:rowOff>
    </xdr:from>
    <xdr:ext cx="543215" cy="290159"/>
    <xdr:pic>
      <xdr:nvPicPr>
        <xdr:cNvPr id="51" name="Imagem 50">
          <a:extLst>
            <a:ext uri="{FF2B5EF4-FFF2-40B4-BE49-F238E27FC236}">
              <a16:creationId xmlns:a16="http://schemas.microsoft.com/office/drawing/2014/main" id="{C9365DA7-74F2-4643-ADEA-FCD935ADB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264202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6637</xdr:colOff>
      <xdr:row>66</xdr:row>
      <xdr:rowOff>68117</xdr:rowOff>
    </xdr:from>
    <xdr:ext cx="543215" cy="290159"/>
    <xdr:pic>
      <xdr:nvPicPr>
        <xdr:cNvPr id="57" name="Imagem 56">
          <a:extLst>
            <a:ext uri="{FF2B5EF4-FFF2-40B4-BE49-F238E27FC236}">
              <a16:creationId xmlns:a16="http://schemas.microsoft.com/office/drawing/2014/main" id="{DFBB2E73-57C5-44F6-8179-641367831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512" y="1054561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0</xdr:row>
      <xdr:rowOff>68117</xdr:rowOff>
    </xdr:from>
    <xdr:ext cx="543215" cy="290159"/>
    <xdr:pic>
      <xdr:nvPicPr>
        <xdr:cNvPr id="60" name="Imagem 59">
          <a:extLst>
            <a:ext uri="{FF2B5EF4-FFF2-40B4-BE49-F238E27FC236}">
              <a16:creationId xmlns:a16="http://schemas.microsoft.com/office/drawing/2014/main" id="{E4884EBB-4F06-4DC8-9B0D-9C4D761E4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62" y="230049242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44</xdr:row>
      <xdr:rowOff>68117</xdr:rowOff>
    </xdr:from>
    <xdr:ext cx="543215" cy="290159"/>
    <xdr:pic>
      <xdr:nvPicPr>
        <xdr:cNvPr id="61" name="Imagem 60">
          <a:extLst>
            <a:ext uri="{FF2B5EF4-FFF2-40B4-BE49-F238E27FC236}">
              <a16:creationId xmlns:a16="http://schemas.microsoft.com/office/drawing/2014/main" id="{E751E269-638E-439A-AFCE-DEB411649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44</xdr:row>
      <xdr:rowOff>68117</xdr:rowOff>
    </xdr:from>
    <xdr:ext cx="543215" cy="290159"/>
    <xdr:pic>
      <xdr:nvPicPr>
        <xdr:cNvPr id="62" name="Imagem 61">
          <a:extLst>
            <a:ext uri="{FF2B5EF4-FFF2-40B4-BE49-F238E27FC236}">
              <a16:creationId xmlns:a16="http://schemas.microsoft.com/office/drawing/2014/main" id="{2169367C-E325-413D-BDE0-95AEA8178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44</xdr:row>
      <xdr:rowOff>68117</xdr:rowOff>
    </xdr:from>
    <xdr:ext cx="543215" cy="290159"/>
    <xdr:pic>
      <xdr:nvPicPr>
        <xdr:cNvPr id="63" name="Imagem 62">
          <a:extLst>
            <a:ext uri="{FF2B5EF4-FFF2-40B4-BE49-F238E27FC236}">
              <a16:creationId xmlns:a16="http://schemas.microsoft.com/office/drawing/2014/main" id="{12C25258-CE2B-427C-B337-F71A6FC34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44</xdr:row>
      <xdr:rowOff>68117</xdr:rowOff>
    </xdr:from>
    <xdr:ext cx="543215" cy="290159"/>
    <xdr:pic>
      <xdr:nvPicPr>
        <xdr:cNvPr id="64" name="Imagem 63">
          <a:extLst>
            <a:ext uri="{FF2B5EF4-FFF2-40B4-BE49-F238E27FC236}">
              <a16:creationId xmlns:a16="http://schemas.microsoft.com/office/drawing/2014/main" id="{D1488F90-BFCD-4C97-A4EB-233911EA1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44</xdr:row>
      <xdr:rowOff>68117</xdr:rowOff>
    </xdr:from>
    <xdr:ext cx="543215" cy="290159"/>
    <xdr:pic>
      <xdr:nvPicPr>
        <xdr:cNvPr id="65" name="Imagem 64">
          <a:extLst>
            <a:ext uri="{FF2B5EF4-FFF2-40B4-BE49-F238E27FC236}">
              <a16:creationId xmlns:a16="http://schemas.microsoft.com/office/drawing/2014/main" id="{0D9F8762-9316-486F-A208-9DEA2394D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44</xdr:row>
      <xdr:rowOff>68117</xdr:rowOff>
    </xdr:from>
    <xdr:ext cx="543215" cy="290159"/>
    <xdr:pic>
      <xdr:nvPicPr>
        <xdr:cNvPr id="66" name="Imagem 65">
          <a:extLst>
            <a:ext uri="{FF2B5EF4-FFF2-40B4-BE49-F238E27FC236}">
              <a16:creationId xmlns:a16="http://schemas.microsoft.com/office/drawing/2014/main" id="{F5318F0B-88AA-41B7-B5D5-26C140E36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44</xdr:row>
      <xdr:rowOff>68117</xdr:rowOff>
    </xdr:from>
    <xdr:ext cx="543215" cy="290159"/>
    <xdr:pic>
      <xdr:nvPicPr>
        <xdr:cNvPr id="67" name="Imagem 66">
          <a:extLst>
            <a:ext uri="{FF2B5EF4-FFF2-40B4-BE49-F238E27FC236}">
              <a16:creationId xmlns:a16="http://schemas.microsoft.com/office/drawing/2014/main" id="{CF0FB8C1-FD15-4A99-BFB7-46E84CEAD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22512</xdr:colOff>
      <xdr:row>44</xdr:row>
      <xdr:rowOff>68117</xdr:rowOff>
    </xdr:from>
    <xdr:ext cx="543215" cy="290159"/>
    <xdr:pic>
      <xdr:nvPicPr>
        <xdr:cNvPr id="68" name="Imagem 67">
          <a:extLst>
            <a:ext uri="{FF2B5EF4-FFF2-40B4-BE49-F238E27FC236}">
              <a16:creationId xmlns:a16="http://schemas.microsoft.com/office/drawing/2014/main" id="{9F42101D-A905-4148-A95C-18703821E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44</xdr:row>
      <xdr:rowOff>68117</xdr:rowOff>
    </xdr:from>
    <xdr:ext cx="543215" cy="290159"/>
    <xdr:pic>
      <xdr:nvPicPr>
        <xdr:cNvPr id="69" name="Imagem 68">
          <a:extLst>
            <a:ext uri="{FF2B5EF4-FFF2-40B4-BE49-F238E27FC236}">
              <a16:creationId xmlns:a16="http://schemas.microsoft.com/office/drawing/2014/main" id="{9F96ED3F-3D58-4095-B138-979C1F88E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44</xdr:row>
      <xdr:rowOff>68117</xdr:rowOff>
    </xdr:from>
    <xdr:ext cx="543215" cy="290159"/>
    <xdr:pic>
      <xdr:nvPicPr>
        <xdr:cNvPr id="70" name="Imagem 69">
          <a:extLst>
            <a:ext uri="{FF2B5EF4-FFF2-40B4-BE49-F238E27FC236}">
              <a16:creationId xmlns:a16="http://schemas.microsoft.com/office/drawing/2014/main" id="{A1303A85-B548-4946-A3FD-E9CBA6BC8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44</xdr:row>
      <xdr:rowOff>68117</xdr:rowOff>
    </xdr:from>
    <xdr:ext cx="543215" cy="290159"/>
    <xdr:pic>
      <xdr:nvPicPr>
        <xdr:cNvPr id="71" name="Imagem 70">
          <a:extLst>
            <a:ext uri="{FF2B5EF4-FFF2-40B4-BE49-F238E27FC236}">
              <a16:creationId xmlns:a16="http://schemas.microsoft.com/office/drawing/2014/main" id="{95AE510B-1D1F-4A4E-94B9-2E557ACC8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44</xdr:row>
      <xdr:rowOff>68117</xdr:rowOff>
    </xdr:from>
    <xdr:ext cx="543215" cy="290159"/>
    <xdr:pic>
      <xdr:nvPicPr>
        <xdr:cNvPr id="72" name="Imagem 71">
          <a:extLst>
            <a:ext uri="{FF2B5EF4-FFF2-40B4-BE49-F238E27FC236}">
              <a16:creationId xmlns:a16="http://schemas.microsoft.com/office/drawing/2014/main" id="{D57B2BF3-0091-484D-9C8B-1CC21B266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44</xdr:row>
      <xdr:rowOff>68117</xdr:rowOff>
    </xdr:from>
    <xdr:ext cx="543215" cy="290159"/>
    <xdr:pic>
      <xdr:nvPicPr>
        <xdr:cNvPr id="73" name="Imagem 72">
          <a:extLst>
            <a:ext uri="{FF2B5EF4-FFF2-40B4-BE49-F238E27FC236}">
              <a16:creationId xmlns:a16="http://schemas.microsoft.com/office/drawing/2014/main" id="{191ABAB7-CB48-426F-A062-E3474F2A9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44</xdr:row>
      <xdr:rowOff>68117</xdr:rowOff>
    </xdr:from>
    <xdr:ext cx="543215" cy="290159"/>
    <xdr:pic>
      <xdr:nvPicPr>
        <xdr:cNvPr id="74" name="Imagem 73">
          <a:extLst>
            <a:ext uri="{FF2B5EF4-FFF2-40B4-BE49-F238E27FC236}">
              <a16:creationId xmlns:a16="http://schemas.microsoft.com/office/drawing/2014/main" id="{184E973A-3D9B-4CB6-8643-418BF1260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44</xdr:row>
      <xdr:rowOff>68117</xdr:rowOff>
    </xdr:from>
    <xdr:ext cx="543215" cy="290159"/>
    <xdr:pic>
      <xdr:nvPicPr>
        <xdr:cNvPr id="75" name="Imagem 74">
          <a:extLst>
            <a:ext uri="{FF2B5EF4-FFF2-40B4-BE49-F238E27FC236}">
              <a16:creationId xmlns:a16="http://schemas.microsoft.com/office/drawing/2014/main" id="{5A92597C-6D3B-413F-9330-5DFA22D4D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31</xdr:col>
      <xdr:colOff>22512</xdr:colOff>
      <xdr:row>44</xdr:row>
      <xdr:rowOff>68117</xdr:rowOff>
    </xdr:from>
    <xdr:ext cx="543215" cy="290159"/>
    <xdr:pic>
      <xdr:nvPicPr>
        <xdr:cNvPr id="76" name="Imagem 75">
          <a:extLst>
            <a:ext uri="{FF2B5EF4-FFF2-40B4-BE49-F238E27FC236}">
              <a16:creationId xmlns:a16="http://schemas.microsoft.com/office/drawing/2014/main" id="{8205F781-DE25-4736-9F9C-787EED14F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6387" y="7326167"/>
          <a:ext cx="543215" cy="290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5A95-244D-408D-B434-9F7C617D85D3}">
  <sheetPr>
    <pageSetUpPr fitToPage="1"/>
  </sheetPr>
  <dimension ref="A1:AN323"/>
  <sheetViews>
    <sheetView showGridLines="0" tabSelected="1" topLeftCell="B1" zoomScale="89" zoomScaleNormal="89" workbookViewId="0">
      <pane ySplit="3" topLeftCell="A25" activePane="bottomLeft" state="frozen"/>
      <selection pane="bottomLeft" activeCell="B43" sqref="A43:XFD43"/>
    </sheetView>
  </sheetViews>
  <sheetFormatPr defaultRowHeight="15.75" x14ac:dyDescent="0.25"/>
  <cols>
    <col min="1" max="1" width="6.7109375" customWidth="1"/>
    <col min="2" max="2" width="20.85546875" style="47" customWidth="1"/>
    <col min="3" max="3" width="20.7109375" style="47" customWidth="1"/>
    <col min="4" max="4" width="49.140625" style="48" bestFit="1" customWidth="1"/>
    <col min="5" max="5" width="15.42578125" customWidth="1"/>
    <col min="6" max="6" width="13.5703125" style="47" customWidth="1"/>
    <col min="7" max="7" width="20.85546875" style="47" bestFit="1" customWidth="1"/>
    <col min="8" max="8" width="48.7109375" style="47" customWidth="1"/>
    <col min="9" max="9" width="19.140625" style="47" customWidth="1"/>
    <col min="10" max="10" width="17.42578125" style="47" bestFit="1" customWidth="1"/>
    <col min="11" max="11" width="17.42578125" customWidth="1"/>
    <col min="12" max="12" width="18" customWidth="1"/>
    <col min="13" max="13" width="13.140625" style="46" customWidth="1"/>
    <col min="14" max="14" width="16.140625" style="46" customWidth="1"/>
    <col min="15" max="15" width="48.42578125" style="47" customWidth="1"/>
    <col min="16" max="16" width="17.42578125" style="48" customWidth="1"/>
    <col min="17" max="17" width="22.5703125" style="47" customWidth="1"/>
    <col min="18" max="18" width="14.28515625" style="46" customWidth="1"/>
    <col min="19" max="19" width="12.140625" style="46" bestFit="1" customWidth="1"/>
    <col min="20" max="20" width="14.7109375" style="46" bestFit="1" customWidth="1"/>
    <col min="21" max="21" width="14.7109375" style="145" customWidth="1"/>
    <col min="22" max="23" width="14.7109375" style="46" customWidth="1"/>
    <col min="24" max="24" width="11.140625" style="46" customWidth="1"/>
    <col min="25" max="25" width="21.85546875" style="47" customWidth="1"/>
    <col min="26" max="26" width="15.42578125" style="47" customWidth="1"/>
    <col min="27" max="27" width="18.5703125" style="48" customWidth="1"/>
    <col min="28" max="28" width="10.140625" style="53" customWidth="1"/>
    <col min="29" max="29" width="14" style="46" customWidth="1"/>
    <col min="30" max="30" width="17.85546875" style="46" customWidth="1"/>
    <col min="31" max="31" width="14.7109375" style="54" customWidth="1"/>
    <col min="32" max="32" width="22.140625" style="46" customWidth="1"/>
    <col min="33" max="33" width="17.28515625" style="115" customWidth="1"/>
    <col min="34" max="34" width="17.28515625" style="103" customWidth="1"/>
    <col min="35" max="35" width="12.28515625" style="46" customWidth="1"/>
    <col min="36" max="36" width="16.85546875" style="47" customWidth="1"/>
    <col min="37" max="37" width="18.7109375" style="46" customWidth="1"/>
    <col min="38" max="38" width="23.140625" style="46" customWidth="1"/>
  </cols>
  <sheetData>
    <row r="1" spans="1:38" ht="28.5" customHeight="1" thickBot="1" x14ac:dyDescent="0.3">
      <c r="A1" s="177" t="s">
        <v>107</v>
      </c>
      <c r="B1" s="178"/>
      <c r="C1" s="178"/>
      <c r="D1" s="178"/>
      <c r="E1" s="177"/>
      <c r="F1" s="178"/>
      <c r="G1" s="178"/>
      <c r="H1" s="178"/>
      <c r="I1" s="178"/>
      <c r="J1" s="178"/>
      <c r="K1" s="177"/>
      <c r="L1" s="177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9"/>
      <c r="AC1" s="178"/>
      <c r="AD1" s="178"/>
      <c r="AE1" s="180"/>
      <c r="AF1" s="178"/>
      <c r="AG1" s="181"/>
      <c r="AH1" s="181"/>
      <c r="AI1" s="178"/>
      <c r="AJ1" s="178"/>
      <c r="AK1" s="178"/>
      <c r="AL1" s="178"/>
    </row>
    <row r="2" spans="1:38" s="31" customFormat="1" ht="20.100000000000001" customHeight="1" thickTop="1" x14ac:dyDescent="0.25">
      <c r="A2" s="174"/>
      <c r="B2" s="175"/>
      <c r="C2" s="175"/>
      <c r="D2" s="175"/>
      <c r="E2" s="174"/>
      <c r="F2" s="171" t="s">
        <v>100</v>
      </c>
      <c r="G2" s="176"/>
      <c r="H2" s="176"/>
      <c r="I2" s="176"/>
      <c r="J2" s="173"/>
      <c r="K2" s="182" t="s">
        <v>185</v>
      </c>
      <c r="L2" s="183"/>
      <c r="M2" s="171" t="s">
        <v>119</v>
      </c>
      <c r="N2" s="176"/>
      <c r="O2" s="176"/>
      <c r="P2" s="176"/>
      <c r="Q2" s="184"/>
      <c r="R2" s="185" t="s">
        <v>118</v>
      </c>
      <c r="S2" s="186"/>
      <c r="T2" s="187"/>
      <c r="U2" s="189" t="s">
        <v>185</v>
      </c>
      <c r="V2" s="190"/>
      <c r="W2" s="188" t="s">
        <v>103</v>
      </c>
      <c r="X2" s="176"/>
      <c r="Y2" s="176"/>
      <c r="Z2" s="176"/>
      <c r="AA2" s="173"/>
      <c r="AB2" s="171" t="s">
        <v>105</v>
      </c>
      <c r="AC2" s="176"/>
      <c r="AD2" s="176"/>
      <c r="AE2" s="173"/>
      <c r="AF2" s="171" t="s">
        <v>106</v>
      </c>
      <c r="AG2" s="172"/>
      <c r="AH2" s="172"/>
      <c r="AI2" s="173"/>
      <c r="AJ2" s="171" t="s">
        <v>114</v>
      </c>
      <c r="AK2" s="173"/>
      <c r="AL2" s="49"/>
    </row>
    <row r="3" spans="1:38" s="7" customFormat="1" ht="35.450000000000003" customHeight="1" x14ac:dyDescent="0.25">
      <c r="A3" s="5" t="s">
        <v>0</v>
      </c>
      <c r="B3" s="5" t="s">
        <v>130</v>
      </c>
      <c r="C3" s="5" t="s">
        <v>131</v>
      </c>
      <c r="D3" s="5" t="s">
        <v>1</v>
      </c>
      <c r="E3" s="17" t="s">
        <v>2</v>
      </c>
      <c r="F3" s="26" t="s">
        <v>323</v>
      </c>
      <c r="G3" s="5" t="s">
        <v>115</v>
      </c>
      <c r="H3" s="5" t="s">
        <v>319</v>
      </c>
      <c r="I3" s="5" t="s">
        <v>1</v>
      </c>
      <c r="J3" s="32" t="s">
        <v>101</v>
      </c>
      <c r="K3" s="41" t="s">
        <v>186</v>
      </c>
      <c r="L3" s="69" t="s">
        <v>187</v>
      </c>
      <c r="M3" s="26" t="s">
        <v>323</v>
      </c>
      <c r="N3" s="5" t="s">
        <v>120</v>
      </c>
      <c r="O3" s="5" t="s">
        <v>319</v>
      </c>
      <c r="P3" s="5" t="s">
        <v>1</v>
      </c>
      <c r="Q3" s="148" t="s">
        <v>121</v>
      </c>
      <c r="R3" s="153" t="s">
        <v>323</v>
      </c>
      <c r="S3" s="5" t="s">
        <v>116</v>
      </c>
      <c r="T3" s="154" t="s">
        <v>102</v>
      </c>
      <c r="U3" s="167" t="s">
        <v>186</v>
      </c>
      <c r="V3" s="168" t="s">
        <v>187</v>
      </c>
      <c r="W3" s="13" t="s">
        <v>323</v>
      </c>
      <c r="X3" s="5" t="s">
        <v>104</v>
      </c>
      <c r="Y3" s="5" t="s">
        <v>108</v>
      </c>
      <c r="Z3" s="5" t="s">
        <v>321</v>
      </c>
      <c r="AA3" s="32" t="s">
        <v>322</v>
      </c>
      <c r="AB3" s="26" t="s">
        <v>116</v>
      </c>
      <c r="AC3" s="5" t="s">
        <v>326</v>
      </c>
      <c r="AD3" s="5" t="s">
        <v>325</v>
      </c>
      <c r="AE3" s="32" t="s">
        <v>102</v>
      </c>
      <c r="AF3" s="41" t="s">
        <v>113</v>
      </c>
      <c r="AG3" s="104" t="s">
        <v>1267</v>
      </c>
      <c r="AH3" s="110" t="s">
        <v>1269</v>
      </c>
      <c r="AI3" s="32" t="s">
        <v>1268</v>
      </c>
      <c r="AJ3" s="26" t="s">
        <v>327</v>
      </c>
      <c r="AK3" s="32" t="s">
        <v>328</v>
      </c>
      <c r="AL3" s="13" t="s">
        <v>3</v>
      </c>
    </row>
    <row r="4" spans="1:38" x14ac:dyDescent="0.25">
      <c r="A4" s="3">
        <v>1</v>
      </c>
      <c r="B4" s="3" t="s">
        <v>4</v>
      </c>
      <c r="C4" s="3" t="s">
        <v>5</v>
      </c>
      <c r="D4" s="3" t="s">
        <v>318</v>
      </c>
      <c r="E4" s="23" t="s">
        <v>8</v>
      </c>
      <c r="F4" s="34">
        <v>20002899</v>
      </c>
      <c r="G4" s="44" t="s">
        <v>334</v>
      </c>
      <c r="H4" s="3" t="s">
        <v>6</v>
      </c>
      <c r="I4" s="3" t="s">
        <v>7</v>
      </c>
      <c r="J4" s="27">
        <v>23</v>
      </c>
      <c r="K4" s="70">
        <v>60.31</v>
      </c>
      <c r="L4" s="71">
        <f>J4*K4</f>
        <v>1387.13</v>
      </c>
      <c r="M4" s="34">
        <v>30005613</v>
      </c>
      <c r="N4" s="2" t="s">
        <v>125</v>
      </c>
      <c r="O4" s="19" t="s">
        <v>320</v>
      </c>
      <c r="P4" s="2" t="s">
        <v>132</v>
      </c>
      <c r="Q4" s="144" t="s">
        <v>180</v>
      </c>
      <c r="R4" s="155">
        <v>30093974</v>
      </c>
      <c r="S4" s="2" t="s">
        <v>128</v>
      </c>
      <c r="T4" s="156">
        <v>17.5</v>
      </c>
      <c r="U4" s="157">
        <v>15.31</v>
      </c>
      <c r="V4" s="169">
        <f>T4*U4</f>
        <v>267.92500000000001</v>
      </c>
      <c r="W4" s="11">
        <v>20016490</v>
      </c>
      <c r="X4" s="2" t="s">
        <v>110</v>
      </c>
      <c r="Y4" s="2">
        <v>4</v>
      </c>
      <c r="Z4" s="2">
        <v>2</v>
      </c>
      <c r="AA4" s="27">
        <f>Z4*Y4</f>
        <v>8</v>
      </c>
      <c r="AB4" s="74" t="s">
        <v>111</v>
      </c>
      <c r="AC4" s="2">
        <v>5</v>
      </c>
      <c r="AD4" s="2" t="s">
        <v>324</v>
      </c>
      <c r="AE4" s="27">
        <v>1450</v>
      </c>
      <c r="AF4" s="106" t="s">
        <v>112</v>
      </c>
      <c r="AG4" s="112" t="s">
        <v>1241</v>
      </c>
      <c r="AH4" s="106" t="s">
        <v>112</v>
      </c>
      <c r="AI4" s="27" t="s">
        <v>1270</v>
      </c>
      <c r="AJ4" s="33">
        <v>62</v>
      </c>
      <c r="AK4" s="27">
        <f>AJ4+AJ4*12%</f>
        <v>69.44</v>
      </c>
      <c r="AL4" s="10"/>
    </row>
    <row r="5" spans="1:38" x14ac:dyDescent="0.25">
      <c r="A5" s="3">
        <v>1</v>
      </c>
      <c r="B5" s="3" t="s">
        <v>9</v>
      </c>
      <c r="C5" s="3" t="s">
        <v>10</v>
      </c>
      <c r="D5" s="3" t="s">
        <v>318</v>
      </c>
      <c r="E5" s="23" t="s">
        <v>8</v>
      </c>
      <c r="F5" s="34">
        <v>20002899</v>
      </c>
      <c r="G5" s="44" t="s">
        <v>334</v>
      </c>
      <c r="H5" s="3" t="s">
        <v>335</v>
      </c>
      <c r="I5" s="3" t="s">
        <v>11</v>
      </c>
      <c r="J5" s="27">
        <v>23</v>
      </c>
      <c r="K5" s="70">
        <v>60.31</v>
      </c>
      <c r="L5" s="71">
        <f t="shared" ref="L5:L15" si="0">J5*K5</f>
        <v>1387.13</v>
      </c>
      <c r="M5" s="34">
        <v>30005613</v>
      </c>
      <c r="N5" s="2" t="s">
        <v>125</v>
      </c>
      <c r="O5" s="19" t="s">
        <v>336</v>
      </c>
      <c r="P5" s="2" t="s">
        <v>133</v>
      </c>
      <c r="Q5" s="144" t="s">
        <v>180</v>
      </c>
      <c r="R5" s="155">
        <v>30093974</v>
      </c>
      <c r="S5" s="2" t="s">
        <v>128</v>
      </c>
      <c r="T5" s="156">
        <v>17.5</v>
      </c>
      <c r="U5" s="157">
        <v>15.31</v>
      </c>
      <c r="V5" s="169">
        <f t="shared" ref="V5:V68" si="1">T5*U5</f>
        <v>267.92500000000001</v>
      </c>
      <c r="W5" s="11">
        <v>20016490</v>
      </c>
      <c r="X5" s="2" t="s">
        <v>110</v>
      </c>
      <c r="Y5" s="2">
        <v>4</v>
      </c>
      <c r="Z5" s="2">
        <v>2</v>
      </c>
      <c r="AA5" s="27">
        <f t="shared" ref="AA5:AA68" si="2">Z5*Y5</f>
        <v>8</v>
      </c>
      <c r="AB5" s="74" t="s">
        <v>111</v>
      </c>
      <c r="AC5" s="2">
        <v>5</v>
      </c>
      <c r="AD5" s="2" t="s">
        <v>324</v>
      </c>
      <c r="AE5" s="27">
        <v>1450</v>
      </c>
      <c r="AF5" s="106" t="s">
        <v>112</v>
      </c>
      <c r="AG5" s="112" t="s">
        <v>1248</v>
      </c>
      <c r="AH5" s="106" t="s">
        <v>112</v>
      </c>
      <c r="AI5" s="27" t="s">
        <v>1270</v>
      </c>
      <c r="AJ5" s="33">
        <v>65</v>
      </c>
      <c r="AK5" s="27">
        <f t="shared" ref="AK5:AK14" si="3">AJ5+AJ5*12%</f>
        <v>72.8</v>
      </c>
      <c r="AL5" s="10"/>
    </row>
    <row r="6" spans="1:38" x14ac:dyDescent="0.25">
      <c r="A6" s="3">
        <v>1</v>
      </c>
      <c r="B6" s="3" t="s">
        <v>12</v>
      </c>
      <c r="C6" s="3" t="s">
        <v>13</v>
      </c>
      <c r="D6" s="3" t="s">
        <v>318</v>
      </c>
      <c r="E6" s="23" t="s">
        <v>8</v>
      </c>
      <c r="F6" s="34">
        <v>20002899</v>
      </c>
      <c r="G6" s="44" t="s">
        <v>334</v>
      </c>
      <c r="H6" s="3" t="s">
        <v>330</v>
      </c>
      <c r="I6" s="3" t="s">
        <v>14</v>
      </c>
      <c r="J6" s="27">
        <v>288</v>
      </c>
      <c r="K6" s="70">
        <v>60.31</v>
      </c>
      <c r="L6" s="71">
        <f t="shared" si="0"/>
        <v>17369.28</v>
      </c>
      <c r="M6" s="34">
        <v>30005613</v>
      </c>
      <c r="N6" s="2" t="s">
        <v>125</v>
      </c>
      <c r="O6" s="19" t="s">
        <v>337</v>
      </c>
      <c r="P6" s="2" t="s">
        <v>135</v>
      </c>
      <c r="Q6" s="144" t="s">
        <v>1285</v>
      </c>
      <c r="R6" s="155">
        <v>30093974</v>
      </c>
      <c r="S6" s="2" t="s">
        <v>128</v>
      </c>
      <c r="T6" s="156">
        <v>110</v>
      </c>
      <c r="U6" s="157">
        <v>15.31</v>
      </c>
      <c r="V6" s="169">
        <f t="shared" si="1"/>
        <v>1684.1000000000001</v>
      </c>
      <c r="W6" s="11">
        <v>20016490</v>
      </c>
      <c r="X6" s="2" t="s">
        <v>110</v>
      </c>
      <c r="Y6" s="2">
        <v>10</v>
      </c>
      <c r="Z6" s="2">
        <v>2</v>
      </c>
      <c r="AA6" s="27">
        <f t="shared" si="2"/>
        <v>20</v>
      </c>
      <c r="AB6" s="33" t="s">
        <v>109</v>
      </c>
      <c r="AC6" s="2" t="s">
        <v>109</v>
      </c>
      <c r="AD6" s="2" t="s">
        <v>109</v>
      </c>
      <c r="AE6" s="27" t="s">
        <v>109</v>
      </c>
      <c r="AF6" s="106" t="s">
        <v>112</v>
      </c>
      <c r="AG6" s="112" t="s">
        <v>1242</v>
      </c>
      <c r="AH6" s="106" t="s">
        <v>112</v>
      </c>
      <c r="AI6" s="27" t="s">
        <v>1270</v>
      </c>
      <c r="AJ6" s="33">
        <v>70</v>
      </c>
      <c r="AK6" s="27">
        <f t="shared" si="3"/>
        <v>78.400000000000006</v>
      </c>
      <c r="AL6" s="10"/>
    </row>
    <row r="7" spans="1:38" x14ac:dyDescent="0.25">
      <c r="A7" s="3">
        <v>1</v>
      </c>
      <c r="B7" s="3" t="s">
        <v>12</v>
      </c>
      <c r="C7" s="3" t="s">
        <v>13</v>
      </c>
      <c r="D7" s="3" t="s">
        <v>318</v>
      </c>
      <c r="E7" s="23" t="s">
        <v>8</v>
      </c>
      <c r="F7" s="34">
        <v>20002899</v>
      </c>
      <c r="G7" s="44" t="s">
        <v>334</v>
      </c>
      <c r="H7" s="3" t="s">
        <v>331</v>
      </c>
      <c r="I7" s="3" t="s">
        <v>15</v>
      </c>
      <c r="J7" s="27">
        <v>288</v>
      </c>
      <c r="K7" s="70">
        <v>60.31</v>
      </c>
      <c r="L7" s="71">
        <f t="shared" si="0"/>
        <v>17369.28</v>
      </c>
      <c r="M7" s="34">
        <v>30005613</v>
      </c>
      <c r="N7" s="2" t="s">
        <v>125</v>
      </c>
      <c r="O7" s="19" t="s">
        <v>338</v>
      </c>
      <c r="P7" s="2" t="s">
        <v>134</v>
      </c>
      <c r="Q7" s="144" t="s">
        <v>1285</v>
      </c>
      <c r="R7" s="155">
        <v>30093974</v>
      </c>
      <c r="S7" s="2" t="s">
        <v>128</v>
      </c>
      <c r="T7" s="156">
        <v>110</v>
      </c>
      <c r="U7" s="157">
        <v>15.31</v>
      </c>
      <c r="V7" s="169">
        <f t="shared" si="1"/>
        <v>1684.1000000000001</v>
      </c>
      <c r="W7" s="11">
        <v>20016490</v>
      </c>
      <c r="X7" s="2" t="s">
        <v>110</v>
      </c>
      <c r="Y7" s="2">
        <v>10</v>
      </c>
      <c r="Z7" s="2">
        <v>2</v>
      </c>
      <c r="AA7" s="27">
        <f t="shared" si="2"/>
        <v>20</v>
      </c>
      <c r="AB7" s="33" t="s">
        <v>109</v>
      </c>
      <c r="AC7" s="2" t="s">
        <v>109</v>
      </c>
      <c r="AD7" s="2" t="s">
        <v>109</v>
      </c>
      <c r="AE7" s="27" t="s">
        <v>109</v>
      </c>
      <c r="AF7" s="106" t="s">
        <v>112</v>
      </c>
      <c r="AG7" s="112" t="s">
        <v>1243</v>
      </c>
      <c r="AH7" s="106" t="s">
        <v>112</v>
      </c>
      <c r="AI7" s="27" t="s">
        <v>1270</v>
      </c>
      <c r="AJ7" s="33">
        <v>70</v>
      </c>
      <c r="AK7" s="27">
        <f t="shared" si="3"/>
        <v>78.400000000000006</v>
      </c>
      <c r="AL7" s="10"/>
    </row>
    <row r="8" spans="1:38" x14ac:dyDescent="0.25">
      <c r="A8" s="3">
        <v>1</v>
      </c>
      <c r="B8" s="3" t="s">
        <v>16</v>
      </c>
      <c r="C8" s="3" t="s">
        <v>17</v>
      </c>
      <c r="D8" s="3" t="s">
        <v>318</v>
      </c>
      <c r="E8" s="23" t="s">
        <v>8</v>
      </c>
      <c r="F8" s="34">
        <v>20002899</v>
      </c>
      <c r="G8" s="44" t="s">
        <v>334</v>
      </c>
      <c r="H8" s="3" t="s">
        <v>332</v>
      </c>
      <c r="I8" s="3" t="s">
        <v>18</v>
      </c>
      <c r="J8" s="27">
        <v>288</v>
      </c>
      <c r="K8" s="70">
        <v>60.31</v>
      </c>
      <c r="L8" s="71">
        <f t="shared" si="0"/>
        <v>17369.28</v>
      </c>
      <c r="M8" s="34">
        <v>30005613</v>
      </c>
      <c r="N8" s="2" t="s">
        <v>125</v>
      </c>
      <c r="O8" s="19" t="s">
        <v>339</v>
      </c>
      <c r="P8" s="2" t="s">
        <v>136</v>
      </c>
      <c r="Q8" s="144" t="s">
        <v>1285</v>
      </c>
      <c r="R8" s="155">
        <v>30093974</v>
      </c>
      <c r="S8" s="2" t="s">
        <v>128</v>
      </c>
      <c r="T8" s="156">
        <v>115</v>
      </c>
      <c r="U8" s="157">
        <v>15.31</v>
      </c>
      <c r="V8" s="169">
        <f t="shared" si="1"/>
        <v>1760.65</v>
      </c>
      <c r="W8" s="11">
        <v>20016490</v>
      </c>
      <c r="X8" s="2" t="s">
        <v>110</v>
      </c>
      <c r="Y8" s="2">
        <v>10</v>
      </c>
      <c r="Z8" s="2">
        <v>2</v>
      </c>
      <c r="AA8" s="27">
        <f t="shared" si="2"/>
        <v>20</v>
      </c>
      <c r="AB8" s="33" t="s">
        <v>117</v>
      </c>
      <c r="AC8" s="2" t="s">
        <v>117</v>
      </c>
      <c r="AD8" s="2" t="s">
        <v>109</v>
      </c>
      <c r="AE8" s="27" t="s">
        <v>109</v>
      </c>
      <c r="AF8" s="106" t="s">
        <v>112</v>
      </c>
      <c r="AG8" s="112" t="s">
        <v>1244</v>
      </c>
      <c r="AH8" s="106" t="s">
        <v>112</v>
      </c>
      <c r="AI8" s="27" t="s">
        <v>1270</v>
      </c>
      <c r="AJ8" s="33">
        <v>69</v>
      </c>
      <c r="AK8" s="27">
        <f t="shared" si="3"/>
        <v>77.28</v>
      </c>
      <c r="AL8" s="10"/>
    </row>
    <row r="9" spans="1:38" x14ac:dyDescent="0.25">
      <c r="A9" s="3">
        <v>1</v>
      </c>
      <c r="B9" s="3" t="s">
        <v>16</v>
      </c>
      <c r="C9" s="3" t="s">
        <v>17</v>
      </c>
      <c r="D9" s="3" t="s">
        <v>318</v>
      </c>
      <c r="E9" s="23" t="s">
        <v>8</v>
      </c>
      <c r="F9" s="34">
        <v>20002899</v>
      </c>
      <c r="G9" s="44" t="s">
        <v>334</v>
      </c>
      <c r="H9" s="3" t="s">
        <v>333</v>
      </c>
      <c r="I9" s="3" t="s">
        <v>19</v>
      </c>
      <c r="J9" s="27">
        <v>288</v>
      </c>
      <c r="K9" s="70">
        <v>60.31</v>
      </c>
      <c r="L9" s="71">
        <f t="shared" si="0"/>
        <v>17369.28</v>
      </c>
      <c r="M9" s="34">
        <v>30005613</v>
      </c>
      <c r="N9" s="2" t="s">
        <v>125</v>
      </c>
      <c r="O9" s="19" t="s">
        <v>340</v>
      </c>
      <c r="P9" s="2" t="s">
        <v>137</v>
      </c>
      <c r="Q9" s="144" t="s">
        <v>1285</v>
      </c>
      <c r="R9" s="155">
        <v>30093974</v>
      </c>
      <c r="S9" s="2" t="s">
        <v>128</v>
      </c>
      <c r="T9" s="156">
        <v>115</v>
      </c>
      <c r="U9" s="157">
        <v>15.31</v>
      </c>
      <c r="V9" s="169">
        <f t="shared" si="1"/>
        <v>1760.65</v>
      </c>
      <c r="W9" s="11">
        <v>20016490</v>
      </c>
      <c r="X9" s="2" t="s">
        <v>110</v>
      </c>
      <c r="Y9" s="2">
        <v>10</v>
      </c>
      <c r="Z9" s="2">
        <v>2</v>
      </c>
      <c r="AA9" s="27">
        <f t="shared" si="2"/>
        <v>20</v>
      </c>
      <c r="AB9" s="33" t="s">
        <v>109</v>
      </c>
      <c r="AC9" s="2"/>
      <c r="AD9" s="2" t="s">
        <v>109</v>
      </c>
      <c r="AE9" s="27" t="s">
        <v>109</v>
      </c>
      <c r="AF9" s="106" t="s">
        <v>112</v>
      </c>
      <c r="AG9" s="112" t="s">
        <v>1245</v>
      </c>
      <c r="AH9" s="106" t="s">
        <v>112</v>
      </c>
      <c r="AI9" s="27" t="s">
        <v>1270</v>
      </c>
      <c r="AJ9" s="33">
        <v>69</v>
      </c>
      <c r="AK9" s="27">
        <f t="shared" si="3"/>
        <v>77.28</v>
      </c>
      <c r="AL9" s="10"/>
    </row>
    <row r="10" spans="1:38" x14ac:dyDescent="0.25">
      <c r="A10" s="3">
        <v>1</v>
      </c>
      <c r="B10" s="3" t="s">
        <v>20</v>
      </c>
      <c r="C10" s="3" t="s">
        <v>21</v>
      </c>
      <c r="D10" s="3" t="s">
        <v>318</v>
      </c>
      <c r="E10" s="23" t="s">
        <v>8</v>
      </c>
      <c r="F10" s="34">
        <v>20002899</v>
      </c>
      <c r="G10" s="44" t="s">
        <v>334</v>
      </c>
      <c r="H10" s="3" t="s">
        <v>341</v>
      </c>
      <c r="I10" s="3" t="s">
        <v>22</v>
      </c>
      <c r="J10" s="27">
        <v>23</v>
      </c>
      <c r="K10" s="70">
        <v>60.31</v>
      </c>
      <c r="L10" s="71">
        <f t="shared" si="0"/>
        <v>1387.13</v>
      </c>
      <c r="M10" s="34">
        <v>30005613</v>
      </c>
      <c r="N10" s="2" t="s">
        <v>125</v>
      </c>
      <c r="O10" s="19" t="s">
        <v>342</v>
      </c>
      <c r="P10" s="2" t="s">
        <v>138</v>
      </c>
      <c r="Q10" s="144" t="s">
        <v>180</v>
      </c>
      <c r="R10" s="155">
        <v>30093974</v>
      </c>
      <c r="S10" s="2" t="s">
        <v>128</v>
      </c>
      <c r="T10" s="156">
        <v>17.5</v>
      </c>
      <c r="U10" s="157">
        <v>15.31</v>
      </c>
      <c r="V10" s="169">
        <f t="shared" si="1"/>
        <v>267.92500000000001</v>
      </c>
      <c r="W10" s="11">
        <v>20016490</v>
      </c>
      <c r="X10" s="2" t="s">
        <v>110</v>
      </c>
      <c r="Y10" s="2">
        <v>4</v>
      </c>
      <c r="Z10" s="2">
        <v>2</v>
      </c>
      <c r="AA10" s="27">
        <f t="shared" si="2"/>
        <v>8</v>
      </c>
      <c r="AB10" s="33" t="s">
        <v>117</v>
      </c>
      <c r="AC10" s="2" t="s">
        <v>117</v>
      </c>
      <c r="AD10" s="2" t="s">
        <v>109</v>
      </c>
      <c r="AE10" s="27" t="s">
        <v>109</v>
      </c>
      <c r="AF10" s="106" t="s">
        <v>112</v>
      </c>
      <c r="AG10" s="112" t="s">
        <v>1246</v>
      </c>
      <c r="AH10" s="106" t="s">
        <v>112</v>
      </c>
      <c r="AI10" s="27" t="s">
        <v>1270</v>
      </c>
      <c r="AJ10" s="33">
        <v>60</v>
      </c>
      <c r="AK10" s="27">
        <f t="shared" si="3"/>
        <v>67.2</v>
      </c>
      <c r="AL10" s="10"/>
    </row>
    <row r="11" spans="1:38" x14ac:dyDescent="0.25">
      <c r="A11" s="3">
        <v>1</v>
      </c>
      <c r="B11" s="3" t="s">
        <v>23</v>
      </c>
      <c r="C11" s="3" t="s">
        <v>24</v>
      </c>
      <c r="D11" s="3" t="s">
        <v>318</v>
      </c>
      <c r="E11" s="23" t="s">
        <v>8</v>
      </c>
      <c r="F11" s="34">
        <v>20002899</v>
      </c>
      <c r="G11" s="44" t="s">
        <v>334</v>
      </c>
      <c r="H11" s="3" t="s">
        <v>343</v>
      </c>
      <c r="I11" s="3" t="s">
        <v>139</v>
      </c>
      <c r="J11" s="27">
        <v>35</v>
      </c>
      <c r="K11" s="70">
        <v>60.31</v>
      </c>
      <c r="L11" s="71">
        <f t="shared" si="0"/>
        <v>2110.85</v>
      </c>
      <c r="M11" s="34">
        <v>30005613</v>
      </c>
      <c r="N11" s="2" t="s">
        <v>125</v>
      </c>
      <c r="O11" s="19" t="s">
        <v>344</v>
      </c>
      <c r="P11" s="2" t="s">
        <v>140</v>
      </c>
      <c r="Q11" s="144" t="s">
        <v>180</v>
      </c>
      <c r="R11" s="155">
        <v>30093974</v>
      </c>
      <c r="S11" s="2" t="s">
        <v>128</v>
      </c>
      <c r="T11" s="156">
        <v>20</v>
      </c>
      <c r="U11" s="157">
        <v>15.31</v>
      </c>
      <c r="V11" s="169">
        <f t="shared" si="1"/>
        <v>306.2</v>
      </c>
      <c r="W11" s="11">
        <v>20016490</v>
      </c>
      <c r="X11" s="2" t="s">
        <v>110</v>
      </c>
      <c r="Y11" s="2">
        <v>4</v>
      </c>
      <c r="Z11" s="2">
        <v>2</v>
      </c>
      <c r="AA11" s="27">
        <f t="shared" si="2"/>
        <v>8</v>
      </c>
      <c r="AB11" s="33" t="s">
        <v>117</v>
      </c>
      <c r="AC11" s="2" t="s">
        <v>117</v>
      </c>
      <c r="AD11" s="2" t="s">
        <v>109</v>
      </c>
      <c r="AE11" s="27" t="s">
        <v>109</v>
      </c>
      <c r="AF11" s="106" t="s">
        <v>112</v>
      </c>
      <c r="AG11" s="112" t="s">
        <v>1247</v>
      </c>
      <c r="AH11" s="106" t="s">
        <v>112</v>
      </c>
      <c r="AI11" s="27" t="s">
        <v>1270</v>
      </c>
      <c r="AJ11" s="33">
        <v>62</v>
      </c>
      <c r="AK11" s="27">
        <f t="shared" si="3"/>
        <v>69.44</v>
      </c>
      <c r="AL11" s="10"/>
    </row>
    <row r="12" spans="1:38" x14ac:dyDescent="0.25">
      <c r="A12" s="3">
        <v>1</v>
      </c>
      <c r="B12" s="3" t="s">
        <v>25</v>
      </c>
      <c r="C12" s="3" t="s">
        <v>26</v>
      </c>
      <c r="D12" s="3" t="s">
        <v>318</v>
      </c>
      <c r="E12" s="23" t="s">
        <v>8</v>
      </c>
      <c r="F12" s="34">
        <v>20002899</v>
      </c>
      <c r="G12" s="44" t="s">
        <v>334</v>
      </c>
      <c r="H12" s="3" t="s">
        <v>346</v>
      </c>
      <c r="I12" s="3" t="s">
        <v>27</v>
      </c>
      <c r="J12" s="27">
        <v>35</v>
      </c>
      <c r="K12" s="70">
        <v>60.31</v>
      </c>
      <c r="L12" s="71">
        <f t="shared" si="0"/>
        <v>2110.85</v>
      </c>
      <c r="M12" s="34">
        <v>30005613</v>
      </c>
      <c r="N12" s="2" t="s">
        <v>125</v>
      </c>
      <c r="O12" s="19" t="s">
        <v>345</v>
      </c>
      <c r="P12" s="2" t="s">
        <v>141</v>
      </c>
      <c r="Q12" s="144" t="s">
        <v>124</v>
      </c>
      <c r="R12" s="157" t="s">
        <v>109</v>
      </c>
      <c r="S12" s="2" t="s">
        <v>109</v>
      </c>
      <c r="T12" s="156" t="s">
        <v>109</v>
      </c>
      <c r="U12" s="157"/>
      <c r="V12" s="169"/>
      <c r="W12" s="11">
        <v>20016490</v>
      </c>
      <c r="X12" s="2" t="s">
        <v>110</v>
      </c>
      <c r="Y12" s="2">
        <v>4</v>
      </c>
      <c r="Z12" s="2">
        <v>2</v>
      </c>
      <c r="AA12" s="27">
        <f t="shared" si="2"/>
        <v>8</v>
      </c>
      <c r="AB12" s="33" t="s">
        <v>117</v>
      </c>
      <c r="AC12" s="2" t="s">
        <v>117</v>
      </c>
      <c r="AD12" s="2" t="s">
        <v>109</v>
      </c>
      <c r="AE12" s="27" t="s">
        <v>109</v>
      </c>
      <c r="AF12" s="106" t="s">
        <v>112</v>
      </c>
      <c r="AG12" s="112" t="s">
        <v>1249</v>
      </c>
      <c r="AH12" s="106" t="s">
        <v>112</v>
      </c>
      <c r="AI12" s="27" t="s">
        <v>1270</v>
      </c>
      <c r="AJ12" s="33">
        <v>69</v>
      </c>
      <c r="AK12" s="27">
        <f t="shared" si="3"/>
        <v>77.28</v>
      </c>
      <c r="AL12" s="10"/>
    </row>
    <row r="13" spans="1:38" x14ac:dyDescent="0.25">
      <c r="A13" s="3">
        <v>1</v>
      </c>
      <c r="B13" s="3" t="s">
        <v>28</v>
      </c>
      <c r="C13" s="3" t="s">
        <v>29</v>
      </c>
      <c r="D13" s="3" t="s">
        <v>318</v>
      </c>
      <c r="E13" s="23" t="s">
        <v>8</v>
      </c>
      <c r="F13" s="34">
        <v>20002899</v>
      </c>
      <c r="G13" s="44" t="s">
        <v>334</v>
      </c>
      <c r="H13" s="3" t="s">
        <v>347</v>
      </c>
      <c r="I13" s="3" t="s">
        <v>30</v>
      </c>
      <c r="J13" s="27">
        <v>22</v>
      </c>
      <c r="K13" s="70">
        <v>60.31</v>
      </c>
      <c r="L13" s="71">
        <f t="shared" si="0"/>
        <v>1326.8200000000002</v>
      </c>
      <c r="M13" s="34">
        <v>30005613</v>
      </c>
      <c r="N13" s="2" t="s">
        <v>125</v>
      </c>
      <c r="O13" s="19" t="s">
        <v>348</v>
      </c>
      <c r="P13" s="2" t="s">
        <v>142</v>
      </c>
      <c r="Q13" s="144" t="s">
        <v>122</v>
      </c>
      <c r="R13" s="157" t="s">
        <v>109</v>
      </c>
      <c r="S13" s="2" t="s">
        <v>109</v>
      </c>
      <c r="T13" s="156" t="s">
        <v>109</v>
      </c>
      <c r="U13" s="157"/>
      <c r="V13" s="169"/>
      <c r="W13" s="11">
        <v>20016490</v>
      </c>
      <c r="X13" s="2" t="s">
        <v>110</v>
      </c>
      <c r="Y13" s="2">
        <v>4</v>
      </c>
      <c r="Z13" s="2">
        <v>2</v>
      </c>
      <c r="AA13" s="27">
        <f t="shared" si="2"/>
        <v>8</v>
      </c>
      <c r="AB13" s="33" t="s">
        <v>117</v>
      </c>
      <c r="AC13" s="2" t="s">
        <v>117</v>
      </c>
      <c r="AD13" s="2" t="s">
        <v>109</v>
      </c>
      <c r="AE13" s="27" t="s">
        <v>109</v>
      </c>
      <c r="AF13" s="106" t="s">
        <v>112</v>
      </c>
      <c r="AG13" s="112" t="s">
        <v>1250</v>
      </c>
      <c r="AH13" s="106" t="s">
        <v>112</v>
      </c>
      <c r="AI13" s="27" t="s">
        <v>1270</v>
      </c>
      <c r="AJ13" s="33">
        <v>68</v>
      </c>
      <c r="AK13" s="27">
        <f t="shared" si="3"/>
        <v>76.16</v>
      </c>
      <c r="AL13" s="10"/>
    </row>
    <row r="14" spans="1:38" x14ac:dyDescent="0.25">
      <c r="A14" s="3">
        <v>3</v>
      </c>
      <c r="B14" s="3" t="s">
        <v>31</v>
      </c>
      <c r="C14" s="3" t="s">
        <v>32</v>
      </c>
      <c r="D14" s="3" t="s">
        <v>318</v>
      </c>
      <c r="E14" s="23" t="s">
        <v>288</v>
      </c>
      <c r="F14" s="34">
        <v>20002899</v>
      </c>
      <c r="G14" s="44" t="s">
        <v>334</v>
      </c>
      <c r="H14" s="3" t="s">
        <v>513</v>
      </c>
      <c r="I14" s="3" t="s">
        <v>33</v>
      </c>
      <c r="J14" s="28">
        <v>36</v>
      </c>
      <c r="K14" s="70">
        <v>60.31</v>
      </c>
      <c r="L14" s="71">
        <f t="shared" si="0"/>
        <v>2171.16</v>
      </c>
      <c r="M14" s="34">
        <v>30005613</v>
      </c>
      <c r="N14" s="2" t="s">
        <v>125</v>
      </c>
      <c r="O14" s="19" t="s">
        <v>783</v>
      </c>
      <c r="P14" s="3" t="s">
        <v>165</v>
      </c>
      <c r="Q14" s="9" t="s">
        <v>176</v>
      </c>
      <c r="R14" s="155">
        <v>30093974</v>
      </c>
      <c r="S14" s="2" t="s">
        <v>128</v>
      </c>
      <c r="T14" s="158">
        <v>26</v>
      </c>
      <c r="U14" s="157">
        <v>15.31</v>
      </c>
      <c r="V14" s="169">
        <f t="shared" si="1"/>
        <v>398.06</v>
      </c>
      <c r="W14" s="11">
        <v>20016490</v>
      </c>
      <c r="X14" s="2" t="s">
        <v>110</v>
      </c>
      <c r="Y14" s="3">
        <v>16</v>
      </c>
      <c r="Z14" s="3">
        <v>2</v>
      </c>
      <c r="AA14" s="27">
        <f t="shared" si="2"/>
        <v>32</v>
      </c>
      <c r="AB14" s="33" t="s">
        <v>109</v>
      </c>
      <c r="AC14" s="2" t="s">
        <v>109</v>
      </c>
      <c r="AD14" s="2" t="s">
        <v>109</v>
      </c>
      <c r="AE14" s="27" t="s">
        <v>109</v>
      </c>
      <c r="AF14" s="106" t="s">
        <v>112</v>
      </c>
      <c r="AG14" s="3">
        <v>124</v>
      </c>
      <c r="AH14" s="106" t="s">
        <v>112</v>
      </c>
      <c r="AI14" s="27" t="s">
        <v>1270</v>
      </c>
      <c r="AJ14" s="34">
        <v>60</v>
      </c>
      <c r="AK14" s="27">
        <f t="shared" si="3"/>
        <v>67.2</v>
      </c>
      <c r="AL14" s="11"/>
    </row>
    <row r="15" spans="1:38" x14ac:dyDescent="0.25">
      <c r="A15" s="3">
        <v>3</v>
      </c>
      <c r="B15" s="3" t="s">
        <v>199</v>
      </c>
      <c r="C15" s="3" t="s">
        <v>35</v>
      </c>
      <c r="D15" s="3" t="s">
        <v>318</v>
      </c>
      <c r="E15" s="23" t="s">
        <v>288</v>
      </c>
      <c r="F15" s="34">
        <v>20016042</v>
      </c>
      <c r="G15" s="44" t="s">
        <v>334</v>
      </c>
      <c r="H15" s="3" t="s">
        <v>459</v>
      </c>
      <c r="I15" s="3" t="s">
        <v>166</v>
      </c>
      <c r="J15" s="29">
        <v>22</v>
      </c>
      <c r="K15" s="70">
        <v>60.31</v>
      </c>
      <c r="L15" s="71">
        <f t="shared" si="0"/>
        <v>1326.8200000000002</v>
      </c>
      <c r="M15" s="34">
        <v>30005613</v>
      </c>
      <c r="N15" s="2" t="s">
        <v>125</v>
      </c>
      <c r="O15" s="19" t="s">
        <v>460</v>
      </c>
      <c r="P15" s="4" t="s">
        <v>167</v>
      </c>
      <c r="Q15" s="149" t="s">
        <v>514</v>
      </c>
      <c r="R15" s="155" t="s">
        <v>109</v>
      </c>
      <c r="S15" s="2" t="s">
        <v>109</v>
      </c>
      <c r="T15" s="156" t="s">
        <v>109</v>
      </c>
      <c r="U15" s="157"/>
      <c r="V15" s="169"/>
      <c r="W15" s="11">
        <v>20016490</v>
      </c>
      <c r="X15" s="2" t="s">
        <v>110</v>
      </c>
      <c r="Y15" s="4">
        <v>10</v>
      </c>
      <c r="Z15" s="4">
        <v>2</v>
      </c>
      <c r="AA15" s="27">
        <f t="shared" si="2"/>
        <v>20</v>
      </c>
      <c r="AB15" s="33" t="s">
        <v>109</v>
      </c>
      <c r="AC15" s="3" t="s">
        <v>109</v>
      </c>
      <c r="AD15" s="2" t="s">
        <v>109</v>
      </c>
      <c r="AE15" s="27" t="s">
        <v>109</v>
      </c>
      <c r="AF15" s="106" t="s">
        <v>112</v>
      </c>
      <c r="AG15" s="4">
        <v>27</v>
      </c>
      <c r="AH15" s="106" t="s">
        <v>112</v>
      </c>
      <c r="AI15" s="27" t="s">
        <v>1270</v>
      </c>
      <c r="AJ15" s="35">
        <v>72</v>
      </c>
      <c r="AK15" s="29">
        <f>AJ15+AJ15*12%</f>
        <v>80.64</v>
      </c>
      <c r="AL15" s="12"/>
    </row>
    <row r="16" spans="1:38" x14ac:dyDescent="0.25">
      <c r="A16" s="3">
        <v>1</v>
      </c>
      <c r="B16" s="3" t="s">
        <v>36</v>
      </c>
      <c r="C16" s="3" t="s">
        <v>37</v>
      </c>
      <c r="D16" s="3" t="s">
        <v>318</v>
      </c>
      <c r="E16" s="23" t="s">
        <v>288</v>
      </c>
      <c r="F16" s="34">
        <v>20002899</v>
      </c>
      <c r="G16" s="44" t="s">
        <v>334</v>
      </c>
      <c r="H16" s="3" t="s">
        <v>349</v>
      </c>
      <c r="I16" s="3" t="s">
        <v>38</v>
      </c>
      <c r="J16" s="27">
        <v>58</v>
      </c>
      <c r="K16" s="70">
        <v>60.31</v>
      </c>
      <c r="L16" s="71">
        <f t="shared" ref="L16:L47" si="4">J16*K16</f>
        <v>3497.98</v>
      </c>
      <c r="M16" s="34">
        <v>30005613</v>
      </c>
      <c r="N16" s="2" t="s">
        <v>125</v>
      </c>
      <c r="O16" s="19" t="s">
        <v>350</v>
      </c>
      <c r="P16" s="2" t="s">
        <v>351</v>
      </c>
      <c r="Q16" s="144" t="s">
        <v>123</v>
      </c>
      <c r="R16" s="155">
        <v>30093974</v>
      </c>
      <c r="S16" s="2" t="s">
        <v>128</v>
      </c>
      <c r="T16" s="156">
        <v>53</v>
      </c>
      <c r="U16" s="157">
        <v>15.31</v>
      </c>
      <c r="V16" s="169">
        <f t="shared" si="1"/>
        <v>811.43000000000006</v>
      </c>
      <c r="W16" s="11">
        <v>20016490</v>
      </c>
      <c r="X16" s="2" t="s">
        <v>110</v>
      </c>
      <c r="Y16" s="6">
        <v>4</v>
      </c>
      <c r="Z16" s="2">
        <v>2</v>
      </c>
      <c r="AA16" s="27">
        <f t="shared" si="2"/>
        <v>8</v>
      </c>
      <c r="AB16" s="33" t="s">
        <v>109</v>
      </c>
      <c r="AC16" s="2" t="s">
        <v>109</v>
      </c>
      <c r="AD16" s="2" t="s">
        <v>109</v>
      </c>
      <c r="AE16" s="27" t="s">
        <v>109</v>
      </c>
      <c r="AF16" s="106" t="s">
        <v>112</v>
      </c>
      <c r="AG16" s="112" t="s">
        <v>1251</v>
      </c>
      <c r="AH16" s="106" t="s">
        <v>112</v>
      </c>
      <c r="AI16" s="27" t="s">
        <v>1270</v>
      </c>
      <c r="AJ16" s="33">
        <v>67</v>
      </c>
      <c r="AK16" s="27">
        <f>AJ16+AJ16*12%</f>
        <v>75.039999999999992</v>
      </c>
      <c r="AL16" s="10"/>
    </row>
    <row r="17" spans="1:38" x14ac:dyDescent="0.25">
      <c r="A17" s="3">
        <v>1</v>
      </c>
      <c r="B17" s="3" t="s">
        <v>36</v>
      </c>
      <c r="C17" s="3" t="s">
        <v>37</v>
      </c>
      <c r="D17" s="3" t="s">
        <v>39</v>
      </c>
      <c r="E17" s="23" t="s">
        <v>288</v>
      </c>
      <c r="F17" s="34">
        <v>20016373</v>
      </c>
      <c r="G17" s="43" t="s">
        <v>111</v>
      </c>
      <c r="H17" s="3" t="s">
        <v>352</v>
      </c>
      <c r="I17" s="3" t="s">
        <v>40</v>
      </c>
      <c r="J17" s="27">
        <v>5.4</v>
      </c>
      <c r="K17" s="70">
        <v>17.02</v>
      </c>
      <c r="L17" s="71">
        <f t="shared" si="4"/>
        <v>91.908000000000001</v>
      </c>
      <c r="M17" s="34" t="s">
        <v>109</v>
      </c>
      <c r="N17" s="3" t="s">
        <v>109</v>
      </c>
      <c r="O17" s="19" t="s">
        <v>356</v>
      </c>
      <c r="P17" s="3" t="s">
        <v>143</v>
      </c>
      <c r="Q17" s="9" t="s">
        <v>109</v>
      </c>
      <c r="R17" s="155" t="s">
        <v>109</v>
      </c>
      <c r="S17" s="3" t="s">
        <v>109</v>
      </c>
      <c r="T17" s="158" t="s">
        <v>109</v>
      </c>
      <c r="U17" s="155"/>
      <c r="V17" s="169"/>
      <c r="W17" s="11">
        <v>20016490</v>
      </c>
      <c r="X17" s="2" t="s">
        <v>110</v>
      </c>
      <c r="Y17" s="3">
        <v>1</v>
      </c>
      <c r="Z17" s="3">
        <v>1</v>
      </c>
      <c r="AA17" s="27">
        <f t="shared" si="2"/>
        <v>1</v>
      </c>
      <c r="AB17" s="33" t="s">
        <v>109</v>
      </c>
      <c r="AC17" s="2" t="s">
        <v>109</v>
      </c>
      <c r="AD17" s="2" t="s">
        <v>109</v>
      </c>
      <c r="AE17" s="27" t="s">
        <v>109</v>
      </c>
      <c r="AF17" s="107" t="s">
        <v>109</v>
      </c>
      <c r="AG17" s="113"/>
      <c r="AH17" s="100"/>
      <c r="AI17" s="28"/>
      <c r="AJ17" s="34" t="s">
        <v>109</v>
      </c>
      <c r="AK17" s="28" t="s">
        <v>109</v>
      </c>
      <c r="AL17" s="11"/>
    </row>
    <row r="18" spans="1:38" x14ac:dyDescent="0.25">
      <c r="A18" s="3">
        <v>1</v>
      </c>
      <c r="B18" s="3" t="s">
        <v>36</v>
      </c>
      <c r="C18" s="3" t="s">
        <v>37</v>
      </c>
      <c r="D18" s="3" t="s">
        <v>41</v>
      </c>
      <c r="E18" s="23" t="s">
        <v>288</v>
      </c>
      <c r="F18" s="34">
        <v>20016373</v>
      </c>
      <c r="G18" s="43" t="s">
        <v>111</v>
      </c>
      <c r="H18" s="3" t="s">
        <v>353</v>
      </c>
      <c r="I18" s="3" t="s">
        <v>42</v>
      </c>
      <c r="J18" s="27">
        <v>5.4</v>
      </c>
      <c r="K18" s="70">
        <v>17.02</v>
      </c>
      <c r="L18" s="71">
        <f t="shared" si="4"/>
        <v>91.908000000000001</v>
      </c>
      <c r="M18" s="34" t="s">
        <v>109</v>
      </c>
      <c r="N18" s="3" t="s">
        <v>109</v>
      </c>
      <c r="O18" s="19" t="s">
        <v>357</v>
      </c>
      <c r="P18" s="3" t="s">
        <v>144</v>
      </c>
      <c r="Q18" s="9" t="s">
        <v>109</v>
      </c>
      <c r="R18" s="155" t="s">
        <v>109</v>
      </c>
      <c r="S18" s="3" t="s">
        <v>109</v>
      </c>
      <c r="T18" s="158" t="s">
        <v>109</v>
      </c>
      <c r="U18" s="155"/>
      <c r="V18" s="169"/>
      <c r="W18" s="11">
        <v>20016490</v>
      </c>
      <c r="X18" s="2" t="s">
        <v>110</v>
      </c>
      <c r="Y18" s="3">
        <v>1</v>
      </c>
      <c r="Z18" s="3">
        <v>1</v>
      </c>
      <c r="AA18" s="27">
        <f t="shared" si="2"/>
        <v>1</v>
      </c>
      <c r="AB18" s="33" t="s">
        <v>109</v>
      </c>
      <c r="AC18" s="2" t="s">
        <v>109</v>
      </c>
      <c r="AD18" s="2" t="s">
        <v>109</v>
      </c>
      <c r="AE18" s="27" t="s">
        <v>109</v>
      </c>
      <c r="AF18" s="107" t="s">
        <v>109</v>
      </c>
      <c r="AG18" s="113"/>
      <c r="AH18" s="100"/>
      <c r="AI18" s="28"/>
      <c r="AJ18" s="34" t="s">
        <v>109</v>
      </c>
      <c r="AK18" s="28" t="s">
        <v>109</v>
      </c>
      <c r="AL18" s="11"/>
    </row>
    <row r="19" spans="1:38" x14ac:dyDescent="0.25">
      <c r="A19" s="3">
        <v>1</v>
      </c>
      <c r="B19" s="3" t="s">
        <v>36</v>
      </c>
      <c r="C19" s="3" t="s">
        <v>37</v>
      </c>
      <c r="D19" s="3" t="s">
        <v>43</v>
      </c>
      <c r="E19" s="23" t="s">
        <v>288</v>
      </c>
      <c r="F19" s="34">
        <v>20016373</v>
      </c>
      <c r="G19" s="43" t="s">
        <v>111</v>
      </c>
      <c r="H19" s="3" t="s">
        <v>354</v>
      </c>
      <c r="I19" s="3" t="s">
        <v>44</v>
      </c>
      <c r="J19" s="27">
        <v>5.4</v>
      </c>
      <c r="K19" s="70">
        <v>17.02</v>
      </c>
      <c r="L19" s="71">
        <f t="shared" si="4"/>
        <v>91.908000000000001</v>
      </c>
      <c r="M19" s="34" t="s">
        <v>109</v>
      </c>
      <c r="N19" s="3" t="s">
        <v>109</v>
      </c>
      <c r="O19" s="19" t="s">
        <v>358</v>
      </c>
      <c r="P19" s="3" t="s">
        <v>145</v>
      </c>
      <c r="Q19" s="9" t="s">
        <v>109</v>
      </c>
      <c r="R19" s="155" t="s">
        <v>109</v>
      </c>
      <c r="S19" s="3" t="s">
        <v>109</v>
      </c>
      <c r="T19" s="158" t="s">
        <v>109</v>
      </c>
      <c r="U19" s="155"/>
      <c r="V19" s="169"/>
      <c r="W19" s="11">
        <v>20016490</v>
      </c>
      <c r="X19" s="2" t="s">
        <v>110</v>
      </c>
      <c r="Y19" s="3">
        <v>1</v>
      </c>
      <c r="Z19" s="3">
        <v>1</v>
      </c>
      <c r="AA19" s="27">
        <f t="shared" si="2"/>
        <v>1</v>
      </c>
      <c r="AB19" s="33" t="s">
        <v>109</v>
      </c>
      <c r="AC19" s="2" t="s">
        <v>109</v>
      </c>
      <c r="AD19" s="2" t="s">
        <v>109</v>
      </c>
      <c r="AE19" s="27" t="s">
        <v>109</v>
      </c>
      <c r="AF19" s="107" t="s">
        <v>109</v>
      </c>
      <c r="AG19" s="113"/>
      <c r="AH19" s="100"/>
      <c r="AI19" s="28"/>
      <c r="AJ19" s="34" t="s">
        <v>109</v>
      </c>
      <c r="AK19" s="28" t="s">
        <v>109</v>
      </c>
      <c r="AL19" s="11"/>
    </row>
    <row r="20" spans="1:38" x14ac:dyDescent="0.25">
      <c r="A20" s="3">
        <v>1</v>
      </c>
      <c r="B20" s="3" t="s">
        <v>36</v>
      </c>
      <c r="C20" s="3" t="s">
        <v>37</v>
      </c>
      <c r="D20" s="3" t="s">
        <v>45</v>
      </c>
      <c r="E20" s="23" t="s">
        <v>288</v>
      </c>
      <c r="F20" s="34">
        <v>20016373</v>
      </c>
      <c r="G20" s="43" t="s">
        <v>111</v>
      </c>
      <c r="H20" s="3" t="s">
        <v>355</v>
      </c>
      <c r="I20" s="3" t="s">
        <v>46</v>
      </c>
      <c r="J20" s="27">
        <v>5.4</v>
      </c>
      <c r="K20" s="70">
        <v>17.02</v>
      </c>
      <c r="L20" s="71">
        <f t="shared" si="4"/>
        <v>91.908000000000001</v>
      </c>
      <c r="M20" s="34" t="s">
        <v>109</v>
      </c>
      <c r="N20" s="3" t="s">
        <v>109</v>
      </c>
      <c r="O20" s="19" t="s">
        <v>359</v>
      </c>
      <c r="P20" s="3" t="s">
        <v>146</v>
      </c>
      <c r="Q20" s="9" t="s">
        <v>109</v>
      </c>
      <c r="R20" s="155" t="s">
        <v>109</v>
      </c>
      <c r="S20" s="3" t="s">
        <v>109</v>
      </c>
      <c r="T20" s="158" t="s">
        <v>109</v>
      </c>
      <c r="U20" s="155"/>
      <c r="V20" s="169"/>
      <c r="W20" s="11">
        <v>20016490</v>
      </c>
      <c r="X20" s="2" t="s">
        <v>110</v>
      </c>
      <c r="Y20" s="3">
        <v>1</v>
      </c>
      <c r="Z20" s="3">
        <v>1</v>
      </c>
      <c r="AA20" s="27">
        <f t="shared" si="2"/>
        <v>1</v>
      </c>
      <c r="AB20" s="33" t="s">
        <v>109</v>
      </c>
      <c r="AC20" s="2" t="s">
        <v>109</v>
      </c>
      <c r="AD20" s="2" t="s">
        <v>109</v>
      </c>
      <c r="AE20" s="27" t="s">
        <v>109</v>
      </c>
      <c r="AF20" s="107" t="s">
        <v>109</v>
      </c>
      <c r="AG20" s="113"/>
      <c r="AH20" s="100"/>
      <c r="AI20" s="28"/>
      <c r="AJ20" s="34" t="s">
        <v>109</v>
      </c>
      <c r="AK20" s="28" t="s">
        <v>109</v>
      </c>
      <c r="AL20" s="11"/>
    </row>
    <row r="21" spans="1:38" x14ac:dyDescent="0.25">
      <c r="A21" s="3">
        <v>1</v>
      </c>
      <c r="B21" s="3" t="s">
        <v>47</v>
      </c>
      <c r="C21" s="3" t="s">
        <v>48</v>
      </c>
      <c r="D21" s="3" t="s">
        <v>318</v>
      </c>
      <c r="E21" s="23" t="s">
        <v>288</v>
      </c>
      <c r="F21" s="34">
        <v>20002899</v>
      </c>
      <c r="G21" s="44" t="s">
        <v>334</v>
      </c>
      <c r="H21" s="3" t="s">
        <v>360</v>
      </c>
      <c r="I21" s="3" t="s">
        <v>49</v>
      </c>
      <c r="J21" s="28">
        <v>58</v>
      </c>
      <c r="K21" s="70">
        <v>60.31</v>
      </c>
      <c r="L21" s="71">
        <f t="shared" si="4"/>
        <v>3497.98</v>
      </c>
      <c r="M21" s="34">
        <v>30005613</v>
      </c>
      <c r="N21" s="2" t="s">
        <v>125</v>
      </c>
      <c r="O21" s="19" t="s">
        <v>366</v>
      </c>
      <c r="P21" s="2" t="s">
        <v>147</v>
      </c>
      <c r="Q21" s="144" t="s">
        <v>123</v>
      </c>
      <c r="R21" s="155">
        <v>30093974</v>
      </c>
      <c r="S21" s="2" t="s">
        <v>128</v>
      </c>
      <c r="T21" s="156">
        <v>53</v>
      </c>
      <c r="U21" s="157">
        <v>15.31</v>
      </c>
      <c r="V21" s="169">
        <f t="shared" si="1"/>
        <v>811.43000000000006</v>
      </c>
      <c r="W21" s="11">
        <v>20016490</v>
      </c>
      <c r="X21" s="2" t="s">
        <v>110</v>
      </c>
      <c r="Y21" s="2">
        <v>4</v>
      </c>
      <c r="Z21" s="6">
        <v>1</v>
      </c>
      <c r="AA21" s="27">
        <f t="shared" si="2"/>
        <v>4</v>
      </c>
      <c r="AB21" s="33" t="s">
        <v>109</v>
      </c>
      <c r="AC21" s="2" t="s">
        <v>109</v>
      </c>
      <c r="AD21" s="2" t="s">
        <v>109</v>
      </c>
      <c r="AE21" s="27" t="s">
        <v>109</v>
      </c>
      <c r="AF21" s="106" t="s">
        <v>126</v>
      </c>
      <c r="AG21" s="112" t="s">
        <v>1252</v>
      </c>
      <c r="AH21" s="106" t="s">
        <v>112</v>
      </c>
      <c r="AI21" s="27" t="s">
        <v>1270</v>
      </c>
      <c r="AJ21" s="33">
        <v>70</v>
      </c>
      <c r="AK21" s="27">
        <f>AJ21+AJ21*12%</f>
        <v>78.400000000000006</v>
      </c>
      <c r="AL21" s="10"/>
    </row>
    <row r="22" spans="1:38" x14ac:dyDescent="0.25">
      <c r="A22" s="3">
        <v>1</v>
      </c>
      <c r="B22" s="3" t="s">
        <v>47</v>
      </c>
      <c r="C22" s="3" t="s">
        <v>48</v>
      </c>
      <c r="D22" s="3" t="s">
        <v>39</v>
      </c>
      <c r="E22" s="23" t="s">
        <v>288</v>
      </c>
      <c r="F22" s="34">
        <v>20016373</v>
      </c>
      <c r="G22" s="43" t="s">
        <v>111</v>
      </c>
      <c r="H22" s="3" t="s">
        <v>361</v>
      </c>
      <c r="I22" s="3" t="s">
        <v>50</v>
      </c>
      <c r="J22" s="27">
        <v>5.4</v>
      </c>
      <c r="K22" s="70">
        <v>17.02</v>
      </c>
      <c r="L22" s="71">
        <f t="shared" si="4"/>
        <v>91.908000000000001</v>
      </c>
      <c r="M22" s="34" t="s">
        <v>109</v>
      </c>
      <c r="N22" s="3" t="s">
        <v>109</v>
      </c>
      <c r="O22" s="19" t="s">
        <v>365</v>
      </c>
      <c r="P22" s="3" t="s">
        <v>148</v>
      </c>
      <c r="Q22" s="9" t="s">
        <v>109</v>
      </c>
      <c r="R22" s="155" t="s">
        <v>109</v>
      </c>
      <c r="S22" s="3" t="s">
        <v>109</v>
      </c>
      <c r="T22" s="158" t="s">
        <v>109</v>
      </c>
      <c r="U22" s="155"/>
      <c r="V22" s="169"/>
      <c r="W22" s="11">
        <v>20016490</v>
      </c>
      <c r="X22" s="2" t="s">
        <v>110</v>
      </c>
      <c r="Y22" s="3">
        <v>1</v>
      </c>
      <c r="Z22" s="6">
        <v>1</v>
      </c>
      <c r="AA22" s="27">
        <f t="shared" si="2"/>
        <v>1</v>
      </c>
      <c r="AB22" s="33" t="s">
        <v>109</v>
      </c>
      <c r="AC22" s="2" t="s">
        <v>109</v>
      </c>
      <c r="AD22" s="2" t="s">
        <v>109</v>
      </c>
      <c r="AE22" s="27" t="s">
        <v>109</v>
      </c>
      <c r="AF22" s="107" t="s">
        <v>109</v>
      </c>
      <c r="AG22" s="112"/>
      <c r="AH22" s="99"/>
      <c r="AI22" s="27"/>
      <c r="AJ22" s="34" t="s">
        <v>109</v>
      </c>
      <c r="AK22" s="28" t="s">
        <v>109</v>
      </c>
      <c r="AL22" s="11"/>
    </row>
    <row r="23" spans="1:38" x14ac:dyDescent="0.25">
      <c r="A23" s="3">
        <v>1</v>
      </c>
      <c r="B23" s="3" t="s">
        <v>47</v>
      </c>
      <c r="C23" s="3" t="s">
        <v>48</v>
      </c>
      <c r="D23" s="3" t="s">
        <v>41</v>
      </c>
      <c r="E23" s="23" t="s">
        <v>288</v>
      </c>
      <c r="F23" s="34">
        <v>20016373</v>
      </c>
      <c r="G23" s="43" t="s">
        <v>111</v>
      </c>
      <c r="H23" s="3" t="s">
        <v>362</v>
      </c>
      <c r="I23" s="3" t="s">
        <v>51</v>
      </c>
      <c r="J23" s="27">
        <v>5.4</v>
      </c>
      <c r="K23" s="70">
        <v>17.02</v>
      </c>
      <c r="L23" s="71">
        <f t="shared" si="4"/>
        <v>91.908000000000001</v>
      </c>
      <c r="M23" s="34" t="s">
        <v>109</v>
      </c>
      <c r="N23" s="3" t="s">
        <v>109</v>
      </c>
      <c r="O23" s="19" t="s">
        <v>367</v>
      </c>
      <c r="P23" s="3" t="s">
        <v>149</v>
      </c>
      <c r="Q23" s="9" t="s">
        <v>109</v>
      </c>
      <c r="R23" s="155" t="s">
        <v>109</v>
      </c>
      <c r="S23" s="3" t="s">
        <v>109</v>
      </c>
      <c r="T23" s="158" t="s">
        <v>109</v>
      </c>
      <c r="U23" s="155"/>
      <c r="V23" s="169"/>
      <c r="W23" s="11">
        <v>20016490</v>
      </c>
      <c r="X23" s="2" t="s">
        <v>110</v>
      </c>
      <c r="Y23" s="3">
        <v>1</v>
      </c>
      <c r="Z23" s="6">
        <v>1</v>
      </c>
      <c r="AA23" s="27">
        <f t="shared" si="2"/>
        <v>1</v>
      </c>
      <c r="AB23" s="33" t="s">
        <v>109</v>
      </c>
      <c r="AC23" s="2" t="s">
        <v>109</v>
      </c>
      <c r="AD23" s="2" t="s">
        <v>109</v>
      </c>
      <c r="AE23" s="27" t="s">
        <v>109</v>
      </c>
      <c r="AF23" s="107" t="s">
        <v>109</v>
      </c>
      <c r="AG23" s="112"/>
      <c r="AH23" s="99"/>
      <c r="AI23" s="27"/>
      <c r="AJ23" s="34" t="s">
        <v>109</v>
      </c>
      <c r="AK23" s="28" t="s">
        <v>109</v>
      </c>
      <c r="AL23" s="11"/>
    </row>
    <row r="24" spans="1:38" x14ac:dyDescent="0.25">
      <c r="A24" s="3">
        <v>1</v>
      </c>
      <c r="B24" s="3" t="s">
        <v>47</v>
      </c>
      <c r="C24" s="3" t="s">
        <v>48</v>
      </c>
      <c r="D24" s="3" t="s">
        <v>43</v>
      </c>
      <c r="E24" s="23" t="s">
        <v>288</v>
      </c>
      <c r="F24" s="34">
        <v>20016373</v>
      </c>
      <c r="G24" s="43" t="s">
        <v>111</v>
      </c>
      <c r="H24" s="3" t="s">
        <v>363</v>
      </c>
      <c r="I24" s="3" t="s">
        <v>52</v>
      </c>
      <c r="J24" s="27">
        <v>5.4</v>
      </c>
      <c r="K24" s="70">
        <v>17.02</v>
      </c>
      <c r="L24" s="71">
        <f t="shared" si="4"/>
        <v>91.908000000000001</v>
      </c>
      <c r="M24" s="34" t="s">
        <v>109</v>
      </c>
      <c r="N24" s="3" t="s">
        <v>109</v>
      </c>
      <c r="O24" s="19" t="s">
        <v>368</v>
      </c>
      <c r="P24" s="3" t="s">
        <v>150</v>
      </c>
      <c r="Q24" s="9" t="s">
        <v>109</v>
      </c>
      <c r="R24" s="155" t="s">
        <v>109</v>
      </c>
      <c r="S24" s="3" t="s">
        <v>109</v>
      </c>
      <c r="T24" s="158" t="s">
        <v>109</v>
      </c>
      <c r="U24" s="155"/>
      <c r="V24" s="169"/>
      <c r="W24" s="11">
        <v>20016490</v>
      </c>
      <c r="X24" s="2" t="s">
        <v>110</v>
      </c>
      <c r="Y24" s="3">
        <v>1</v>
      </c>
      <c r="Z24" s="6">
        <v>1</v>
      </c>
      <c r="AA24" s="27">
        <f t="shared" si="2"/>
        <v>1</v>
      </c>
      <c r="AB24" s="33" t="s">
        <v>109</v>
      </c>
      <c r="AC24" s="2" t="s">
        <v>109</v>
      </c>
      <c r="AD24" s="2" t="s">
        <v>109</v>
      </c>
      <c r="AE24" s="27" t="s">
        <v>109</v>
      </c>
      <c r="AF24" s="107" t="s">
        <v>109</v>
      </c>
      <c r="AG24" s="112"/>
      <c r="AH24" s="99"/>
      <c r="AI24" s="27"/>
      <c r="AJ24" s="34" t="s">
        <v>109</v>
      </c>
      <c r="AK24" s="28" t="s">
        <v>109</v>
      </c>
      <c r="AL24" s="11"/>
    </row>
    <row r="25" spans="1:38" x14ac:dyDescent="0.25">
      <c r="A25" s="3">
        <v>1</v>
      </c>
      <c r="B25" s="3" t="s">
        <v>47</v>
      </c>
      <c r="C25" s="3" t="s">
        <v>48</v>
      </c>
      <c r="D25" s="3" t="s">
        <v>45</v>
      </c>
      <c r="E25" s="23" t="s">
        <v>288</v>
      </c>
      <c r="F25" s="34">
        <v>20016373</v>
      </c>
      <c r="G25" s="43" t="s">
        <v>111</v>
      </c>
      <c r="H25" s="3" t="s">
        <v>364</v>
      </c>
      <c r="I25" s="3" t="s">
        <v>53</v>
      </c>
      <c r="J25" s="27">
        <v>5.4</v>
      </c>
      <c r="K25" s="70">
        <v>17.02</v>
      </c>
      <c r="L25" s="71">
        <f t="shared" si="4"/>
        <v>91.908000000000001</v>
      </c>
      <c r="M25" s="34" t="s">
        <v>109</v>
      </c>
      <c r="N25" s="3" t="s">
        <v>109</v>
      </c>
      <c r="O25" s="19" t="s">
        <v>369</v>
      </c>
      <c r="P25" s="3" t="s">
        <v>151</v>
      </c>
      <c r="Q25" s="9" t="s">
        <v>109</v>
      </c>
      <c r="R25" s="155" t="s">
        <v>109</v>
      </c>
      <c r="S25" s="3" t="s">
        <v>109</v>
      </c>
      <c r="T25" s="158" t="s">
        <v>109</v>
      </c>
      <c r="U25" s="155"/>
      <c r="V25" s="169"/>
      <c r="W25" s="11">
        <v>20016490</v>
      </c>
      <c r="X25" s="2" t="s">
        <v>110</v>
      </c>
      <c r="Y25" s="3">
        <v>1</v>
      </c>
      <c r="Z25" s="6">
        <v>1</v>
      </c>
      <c r="AA25" s="27">
        <f t="shared" si="2"/>
        <v>1</v>
      </c>
      <c r="AB25" s="33" t="s">
        <v>109</v>
      </c>
      <c r="AC25" s="2" t="s">
        <v>109</v>
      </c>
      <c r="AD25" s="2" t="s">
        <v>109</v>
      </c>
      <c r="AE25" s="27" t="s">
        <v>109</v>
      </c>
      <c r="AF25" s="107" t="s">
        <v>109</v>
      </c>
      <c r="AG25" s="112"/>
      <c r="AH25" s="99"/>
      <c r="AI25" s="27"/>
      <c r="AJ25" s="34" t="s">
        <v>109</v>
      </c>
      <c r="AK25" s="28" t="s">
        <v>109</v>
      </c>
      <c r="AL25" s="11"/>
    </row>
    <row r="26" spans="1:38" x14ac:dyDescent="0.25">
      <c r="A26" s="3">
        <v>1</v>
      </c>
      <c r="B26" s="3" t="s">
        <v>54</v>
      </c>
      <c r="C26" s="3" t="s">
        <v>55</v>
      </c>
      <c r="D26" s="3" t="s">
        <v>318</v>
      </c>
      <c r="E26" s="23" t="s">
        <v>288</v>
      </c>
      <c r="F26" s="34">
        <v>20002899</v>
      </c>
      <c r="G26" s="44" t="s">
        <v>334</v>
      </c>
      <c r="H26" s="3" t="s">
        <v>370</v>
      </c>
      <c r="I26" s="3" t="s">
        <v>56</v>
      </c>
      <c r="J26" s="28">
        <v>58</v>
      </c>
      <c r="K26" s="70">
        <v>60.31</v>
      </c>
      <c r="L26" s="71">
        <f t="shared" si="4"/>
        <v>3497.98</v>
      </c>
      <c r="M26" s="34">
        <v>30005613</v>
      </c>
      <c r="N26" s="2" t="s">
        <v>125</v>
      </c>
      <c r="O26" s="19" t="s">
        <v>377</v>
      </c>
      <c r="P26" s="2" t="s">
        <v>152</v>
      </c>
      <c r="Q26" s="144" t="s">
        <v>123</v>
      </c>
      <c r="R26" s="155">
        <v>30093974</v>
      </c>
      <c r="S26" s="2" t="s">
        <v>128</v>
      </c>
      <c r="T26" s="156">
        <v>53</v>
      </c>
      <c r="U26" s="157">
        <v>15.31</v>
      </c>
      <c r="V26" s="169">
        <f t="shared" si="1"/>
        <v>811.43000000000006</v>
      </c>
      <c r="W26" s="11">
        <v>20016490</v>
      </c>
      <c r="X26" s="2" t="s">
        <v>110</v>
      </c>
      <c r="Y26" s="2">
        <v>4</v>
      </c>
      <c r="Z26" s="6">
        <v>1</v>
      </c>
      <c r="AA26" s="27">
        <f t="shared" si="2"/>
        <v>4</v>
      </c>
      <c r="AB26" s="33" t="s">
        <v>109</v>
      </c>
      <c r="AC26" s="2" t="s">
        <v>109</v>
      </c>
      <c r="AD26" s="2" t="s">
        <v>109</v>
      </c>
      <c r="AE26" s="27" t="s">
        <v>109</v>
      </c>
      <c r="AF26" s="106" t="s">
        <v>112</v>
      </c>
      <c r="AG26" s="112" t="s">
        <v>1253</v>
      </c>
      <c r="AH26" s="106" t="s">
        <v>112</v>
      </c>
      <c r="AI26" s="27" t="s">
        <v>1270</v>
      </c>
      <c r="AJ26" s="33">
        <v>70</v>
      </c>
      <c r="AK26" s="27">
        <f>AJ26+AJ26*12%</f>
        <v>78.400000000000006</v>
      </c>
      <c r="AL26" s="10"/>
    </row>
    <row r="27" spans="1:38" x14ac:dyDescent="0.25">
      <c r="A27" s="3">
        <v>1</v>
      </c>
      <c r="B27" s="3" t="s">
        <v>54</v>
      </c>
      <c r="C27" s="3" t="s">
        <v>55</v>
      </c>
      <c r="D27" s="3" t="s">
        <v>39</v>
      </c>
      <c r="E27" s="23" t="s">
        <v>288</v>
      </c>
      <c r="F27" s="34">
        <v>20016373</v>
      </c>
      <c r="G27" s="43" t="s">
        <v>111</v>
      </c>
      <c r="H27" s="3" t="s">
        <v>371</v>
      </c>
      <c r="I27" s="3" t="s">
        <v>57</v>
      </c>
      <c r="J27" s="27">
        <v>5.4</v>
      </c>
      <c r="K27" s="70">
        <v>17.02</v>
      </c>
      <c r="L27" s="71">
        <f t="shared" si="4"/>
        <v>91.908000000000001</v>
      </c>
      <c r="M27" s="34" t="s">
        <v>109</v>
      </c>
      <c r="N27" s="3" t="s">
        <v>109</v>
      </c>
      <c r="O27" s="19" t="s">
        <v>376</v>
      </c>
      <c r="P27" s="3" t="s">
        <v>153</v>
      </c>
      <c r="Q27" s="9" t="s">
        <v>109</v>
      </c>
      <c r="R27" s="155" t="s">
        <v>109</v>
      </c>
      <c r="S27" s="3" t="s">
        <v>109</v>
      </c>
      <c r="T27" s="158" t="s">
        <v>109</v>
      </c>
      <c r="U27" s="155"/>
      <c r="V27" s="169"/>
      <c r="W27" s="11">
        <v>20016490</v>
      </c>
      <c r="X27" s="2" t="s">
        <v>110</v>
      </c>
      <c r="Y27" s="3">
        <v>1</v>
      </c>
      <c r="Z27" s="6">
        <v>1</v>
      </c>
      <c r="AA27" s="27">
        <f t="shared" si="2"/>
        <v>1</v>
      </c>
      <c r="AB27" s="33" t="s">
        <v>109</v>
      </c>
      <c r="AC27" s="2" t="s">
        <v>109</v>
      </c>
      <c r="AD27" s="2" t="s">
        <v>109</v>
      </c>
      <c r="AE27" s="27" t="s">
        <v>109</v>
      </c>
      <c r="AF27" s="107" t="s">
        <v>109</v>
      </c>
      <c r="AG27" s="113"/>
      <c r="AH27" s="100"/>
      <c r="AI27" s="28"/>
      <c r="AJ27" s="34" t="s">
        <v>109</v>
      </c>
      <c r="AK27" s="28" t="s">
        <v>109</v>
      </c>
      <c r="AL27" s="11"/>
    </row>
    <row r="28" spans="1:38" s="50" customFormat="1" x14ac:dyDescent="0.25">
      <c r="A28" s="3">
        <v>1</v>
      </c>
      <c r="B28" s="3" t="s">
        <v>54</v>
      </c>
      <c r="C28" s="3" t="s">
        <v>55</v>
      </c>
      <c r="D28" s="3" t="s">
        <v>41</v>
      </c>
      <c r="E28" s="23" t="s">
        <v>288</v>
      </c>
      <c r="F28" s="34">
        <v>20016373</v>
      </c>
      <c r="G28" s="43" t="s">
        <v>111</v>
      </c>
      <c r="H28" s="3" t="s">
        <v>372</v>
      </c>
      <c r="I28" s="51" t="s">
        <v>375</v>
      </c>
      <c r="J28" s="27">
        <v>5.4</v>
      </c>
      <c r="K28" s="70">
        <v>17.02</v>
      </c>
      <c r="L28" s="71">
        <f t="shared" si="4"/>
        <v>91.908000000000001</v>
      </c>
      <c r="M28" s="34" t="s">
        <v>109</v>
      </c>
      <c r="N28" s="3" t="s">
        <v>109</v>
      </c>
      <c r="O28" s="19" t="s">
        <v>378</v>
      </c>
      <c r="P28" s="3" t="s">
        <v>154</v>
      </c>
      <c r="Q28" s="9" t="s">
        <v>109</v>
      </c>
      <c r="R28" s="155" t="s">
        <v>109</v>
      </c>
      <c r="S28" s="3" t="s">
        <v>109</v>
      </c>
      <c r="T28" s="158" t="s">
        <v>109</v>
      </c>
      <c r="U28" s="155"/>
      <c r="V28" s="169"/>
      <c r="W28" s="11">
        <v>20016490</v>
      </c>
      <c r="X28" s="2" t="s">
        <v>110</v>
      </c>
      <c r="Y28" s="3">
        <v>1</v>
      </c>
      <c r="Z28" s="6">
        <v>1</v>
      </c>
      <c r="AA28" s="27">
        <f t="shared" si="2"/>
        <v>1</v>
      </c>
      <c r="AB28" s="33" t="s">
        <v>109</v>
      </c>
      <c r="AC28" s="2" t="s">
        <v>109</v>
      </c>
      <c r="AD28" s="2" t="s">
        <v>109</v>
      </c>
      <c r="AE28" s="27" t="s">
        <v>109</v>
      </c>
      <c r="AF28" s="107" t="s">
        <v>109</v>
      </c>
      <c r="AG28" s="113"/>
      <c r="AH28" s="100"/>
      <c r="AI28" s="28"/>
      <c r="AJ28" s="34" t="s">
        <v>109</v>
      </c>
      <c r="AK28" s="28" t="s">
        <v>109</v>
      </c>
      <c r="AL28" s="11"/>
    </row>
    <row r="29" spans="1:38" x14ac:dyDescent="0.25">
      <c r="A29" s="3">
        <v>1</v>
      </c>
      <c r="B29" s="3" t="s">
        <v>54</v>
      </c>
      <c r="C29" s="3" t="s">
        <v>55</v>
      </c>
      <c r="D29" s="3" t="s">
        <v>43</v>
      </c>
      <c r="E29" s="23" t="s">
        <v>288</v>
      </c>
      <c r="F29" s="34">
        <v>20016373</v>
      </c>
      <c r="G29" s="43" t="s">
        <v>111</v>
      </c>
      <c r="H29" s="3" t="s">
        <v>373</v>
      </c>
      <c r="I29" s="3" t="s">
        <v>58</v>
      </c>
      <c r="J29" s="27">
        <v>5.4</v>
      </c>
      <c r="K29" s="70">
        <v>17.02</v>
      </c>
      <c r="L29" s="71">
        <f t="shared" si="4"/>
        <v>91.908000000000001</v>
      </c>
      <c r="M29" s="34" t="s">
        <v>109</v>
      </c>
      <c r="N29" s="3" t="s">
        <v>109</v>
      </c>
      <c r="O29" s="19" t="s">
        <v>379</v>
      </c>
      <c r="P29" s="3" t="s">
        <v>155</v>
      </c>
      <c r="Q29" s="9" t="s">
        <v>109</v>
      </c>
      <c r="R29" s="155" t="s">
        <v>109</v>
      </c>
      <c r="S29" s="3" t="s">
        <v>109</v>
      </c>
      <c r="T29" s="158" t="s">
        <v>109</v>
      </c>
      <c r="U29" s="155"/>
      <c r="V29" s="169"/>
      <c r="W29" s="11">
        <v>20016490</v>
      </c>
      <c r="X29" s="2" t="s">
        <v>110</v>
      </c>
      <c r="Y29" s="3">
        <v>1</v>
      </c>
      <c r="Z29" s="6">
        <v>1</v>
      </c>
      <c r="AA29" s="27">
        <f t="shared" si="2"/>
        <v>1</v>
      </c>
      <c r="AB29" s="33" t="s">
        <v>109</v>
      </c>
      <c r="AC29" s="2" t="s">
        <v>109</v>
      </c>
      <c r="AD29" s="2" t="s">
        <v>109</v>
      </c>
      <c r="AE29" s="27" t="s">
        <v>109</v>
      </c>
      <c r="AF29" s="107" t="s">
        <v>109</v>
      </c>
      <c r="AG29" s="113"/>
      <c r="AH29" s="100"/>
      <c r="AI29" s="28"/>
      <c r="AJ29" s="34" t="s">
        <v>109</v>
      </c>
      <c r="AK29" s="28" t="s">
        <v>109</v>
      </c>
      <c r="AL29" s="11"/>
    </row>
    <row r="30" spans="1:38" x14ac:dyDescent="0.25">
      <c r="A30" s="3">
        <v>1</v>
      </c>
      <c r="B30" s="3" t="s">
        <v>54</v>
      </c>
      <c r="C30" s="3" t="s">
        <v>55</v>
      </c>
      <c r="D30" s="3" t="s">
        <v>45</v>
      </c>
      <c r="E30" s="23" t="s">
        <v>288</v>
      </c>
      <c r="F30" s="34">
        <v>20016373</v>
      </c>
      <c r="G30" s="43" t="s">
        <v>111</v>
      </c>
      <c r="H30" s="3" t="s">
        <v>374</v>
      </c>
      <c r="I30" s="3" t="s">
        <v>59</v>
      </c>
      <c r="J30" s="27">
        <v>5.4</v>
      </c>
      <c r="K30" s="70">
        <v>17.02</v>
      </c>
      <c r="L30" s="71">
        <f t="shared" si="4"/>
        <v>91.908000000000001</v>
      </c>
      <c r="M30" s="34" t="s">
        <v>109</v>
      </c>
      <c r="N30" s="3" t="s">
        <v>109</v>
      </c>
      <c r="O30" s="19" t="s">
        <v>380</v>
      </c>
      <c r="P30" s="3" t="s">
        <v>156</v>
      </c>
      <c r="Q30" s="9" t="s">
        <v>109</v>
      </c>
      <c r="R30" s="155" t="s">
        <v>109</v>
      </c>
      <c r="S30" s="3" t="s">
        <v>109</v>
      </c>
      <c r="T30" s="158" t="s">
        <v>109</v>
      </c>
      <c r="U30" s="155"/>
      <c r="V30" s="169"/>
      <c r="W30" s="11">
        <v>20016490</v>
      </c>
      <c r="X30" s="2" t="s">
        <v>110</v>
      </c>
      <c r="Y30" s="3">
        <v>1</v>
      </c>
      <c r="Z30" s="6">
        <v>1</v>
      </c>
      <c r="AA30" s="27">
        <f t="shared" si="2"/>
        <v>1</v>
      </c>
      <c r="AB30" s="33" t="s">
        <v>109</v>
      </c>
      <c r="AC30" s="2" t="s">
        <v>109</v>
      </c>
      <c r="AD30" s="2" t="s">
        <v>109</v>
      </c>
      <c r="AE30" s="27" t="s">
        <v>109</v>
      </c>
      <c r="AF30" s="107" t="s">
        <v>109</v>
      </c>
      <c r="AG30" s="112"/>
      <c r="AH30" s="99"/>
      <c r="AI30" s="27"/>
      <c r="AJ30" s="33" t="s">
        <v>109</v>
      </c>
      <c r="AK30" s="27" t="s">
        <v>109</v>
      </c>
      <c r="AL30" s="11"/>
    </row>
    <row r="31" spans="1:38" x14ac:dyDescent="0.25">
      <c r="A31" s="3">
        <v>1</v>
      </c>
      <c r="B31" s="3" t="s">
        <v>60</v>
      </c>
      <c r="C31" s="3" t="s">
        <v>61</v>
      </c>
      <c r="D31" s="3" t="s">
        <v>318</v>
      </c>
      <c r="E31" s="23" t="s">
        <v>288</v>
      </c>
      <c r="F31" s="34">
        <v>20002899</v>
      </c>
      <c r="G31" s="44" t="s">
        <v>334</v>
      </c>
      <c r="H31" s="3" t="s">
        <v>381</v>
      </c>
      <c r="I31" s="3" t="s">
        <v>62</v>
      </c>
      <c r="J31" s="28">
        <v>58</v>
      </c>
      <c r="K31" s="70">
        <v>60.31</v>
      </c>
      <c r="L31" s="71">
        <f t="shared" si="4"/>
        <v>3497.98</v>
      </c>
      <c r="M31" s="34">
        <v>30005613</v>
      </c>
      <c r="N31" s="2" t="s">
        <v>125</v>
      </c>
      <c r="O31" s="19" t="s">
        <v>386</v>
      </c>
      <c r="P31" s="2" t="s">
        <v>157</v>
      </c>
      <c r="Q31" s="144" t="s">
        <v>123</v>
      </c>
      <c r="R31" s="155">
        <v>30093974</v>
      </c>
      <c r="S31" s="2" t="s">
        <v>128</v>
      </c>
      <c r="T31" s="156">
        <v>53</v>
      </c>
      <c r="U31" s="157">
        <v>15.31</v>
      </c>
      <c r="V31" s="169">
        <f t="shared" si="1"/>
        <v>811.43000000000006</v>
      </c>
      <c r="W31" s="11">
        <v>20016490</v>
      </c>
      <c r="X31" s="2" t="s">
        <v>110</v>
      </c>
      <c r="Y31" s="2">
        <v>4</v>
      </c>
      <c r="Z31" s="2">
        <v>2</v>
      </c>
      <c r="AA31" s="27">
        <f t="shared" si="2"/>
        <v>8</v>
      </c>
      <c r="AB31" s="33" t="s">
        <v>109</v>
      </c>
      <c r="AC31" s="2" t="s">
        <v>109</v>
      </c>
      <c r="AD31" s="2" t="s">
        <v>109</v>
      </c>
      <c r="AE31" s="27" t="s">
        <v>109</v>
      </c>
      <c r="AF31" s="107" t="s">
        <v>109</v>
      </c>
      <c r="AG31" s="112"/>
      <c r="AH31" s="99"/>
      <c r="AI31" s="27"/>
      <c r="AJ31" s="33">
        <v>69</v>
      </c>
      <c r="AK31" s="27">
        <f>AJ31+AJ31*12%</f>
        <v>77.28</v>
      </c>
      <c r="AL31" s="10"/>
    </row>
    <row r="32" spans="1:38" x14ac:dyDescent="0.25">
      <c r="A32" s="3">
        <v>1</v>
      </c>
      <c r="B32" s="3" t="s">
        <v>60</v>
      </c>
      <c r="C32" s="3" t="s">
        <v>61</v>
      </c>
      <c r="D32" s="3" t="s">
        <v>39</v>
      </c>
      <c r="E32" s="23" t="s">
        <v>288</v>
      </c>
      <c r="F32" s="34">
        <v>20016373</v>
      </c>
      <c r="G32" s="43" t="s">
        <v>111</v>
      </c>
      <c r="H32" s="3" t="s">
        <v>382</v>
      </c>
      <c r="I32" s="3" t="s">
        <v>63</v>
      </c>
      <c r="J32" s="27">
        <v>5.4</v>
      </c>
      <c r="K32" s="70">
        <v>17.02</v>
      </c>
      <c r="L32" s="71">
        <f t="shared" si="4"/>
        <v>91.908000000000001</v>
      </c>
      <c r="M32" s="34" t="s">
        <v>109</v>
      </c>
      <c r="N32" s="3" t="s">
        <v>109</v>
      </c>
      <c r="O32" s="19" t="s">
        <v>387</v>
      </c>
      <c r="P32" s="3" t="s">
        <v>158</v>
      </c>
      <c r="Q32" s="9" t="s">
        <v>109</v>
      </c>
      <c r="R32" s="155" t="s">
        <v>109</v>
      </c>
      <c r="S32" s="3" t="s">
        <v>109</v>
      </c>
      <c r="T32" s="158" t="s">
        <v>109</v>
      </c>
      <c r="U32" s="155"/>
      <c r="V32" s="169"/>
      <c r="W32" s="11">
        <v>20016490</v>
      </c>
      <c r="X32" s="2" t="s">
        <v>110</v>
      </c>
      <c r="Y32" s="3">
        <v>1</v>
      </c>
      <c r="Z32" s="3">
        <v>1</v>
      </c>
      <c r="AA32" s="27">
        <f t="shared" si="2"/>
        <v>1</v>
      </c>
      <c r="AB32" s="33" t="s">
        <v>109</v>
      </c>
      <c r="AC32" s="2" t="s">
        <v>109</v>
      </c>
      <c r="AD32" s="2" t="s">
        <v>109</v>
      </c>
      <c r="AE32" s="27" t="s">
        <v>109</v>
      </c>
      <c r="AF32" s="107" t="s">
        <v>109</v>
      </c>
      <c r="AG32" s="112"/>
      <c r="AH32" s="99"/>
      <c r="AI32" s="27"/>
      <c r="AJ32" s="33" t="s">
        <v>109</v>
      </c>
      <c r="AK32" s="28" t="s">
        <v>109</v>
      </c>
      <c r="AL32" s="11"/>
    </row>
    <row r="33" spans="1:38" x14ac:dyDescent="0.25">
      <c r="A33" s="3">
        <v>1</v>
      </c>
      <c r="B33" s="3" t="s">
        <v>60</v>
      </c>
      <c r="C33" s="3" t="s">
        <v>61</v>
      </c>
      <c r="D33" s="3" t="s">
        <v>41</v>
      </c>
      <c r="E33" s="23" t="s">
        <v>288</v>
      </c>
      <c r="F33" s="34">
        <v>20016373</v>
      </c>
      <c r="G33" s="43" t="s">
        <v>111</v>
      </c>
      <c r="H33" s="3" t="s">
        <v>383</v>
      </c>
      <c r="I33" s="3" t="s">
        <v>64</v>
      </c>
      <c r="J33" s="27">
        <v>5.4</v>
      </c>
      <c r="K33" s="70">
        <v>17.02</v>
      </c>
      <c r="L33" s="71">
        <f t="shared" si="4"/>
        <v>91.908000000000001</v>
      </c>
      <c r="M33" s="34" t="s">
        <v>109</v>
      </c>
      <c r="N33" s="3" t="s">
        <v>109</v>
      </c>
      <c r="O33" s="19" t="s">
        <v>388</v>
      </c>
      <c r="P33" s="3" t="s">
        <v>159</v>
      </c>
      <c r="Q33" s="9" t="s">
        <v>109</v>
      </c>
      <c r="R33" s="155" t="s">
        <v>109</v>
      </c>
      <c r="S33" s="3" t="s">
        <v>109</v>
      </c>
      <c r="T33" s="158" t="s">
        <v>109</v>
      </c>
      <c r="U33" s="155"/>
      <c r="V33" s="169"/>
      <c r="W33" s="11">
        <v>20016490</v>
      </c>
      <c r="X33" s="2" t="s">
        <v>110</v>
      </c>
      <c r="Y33" s="3">
        <v>1</v>
      </c>
      <c r="Z33" s="3">
        <v>1</v>
      </c>
      <c r="AA33" s="27">
        <f t="shared" si="2"/>
        <v>1</v>
      </c>
      <c r="AB33" s="33" t="s">
        <v>109</v>
      </c>
      <c r="AC33" s="2" t="s">
        <v>109</v>
      </c>
      <c r="AD33" s="2" t="s">
        <v>109</v>
      </c>
      <c r="AE33" s="27" t="s">
        <v>109</v>
      </c>
      <c r="AF33" s="107" t="s">
        <v>109</v>
      </c>
      <c r="AG33" s="112"/>
      <c r="AH33" s="99"/>
      <c r="AI33" s="27"/>
      <c r="AJ33" s="33" t="s">
        <v>109</v>
      </c>
      <c r="AK33" s="28" t="s">
        <v>109</v>
      </c>
      <c r="AL33" s="11"/>
    </row>
    <row r="34" spans="1:38" x14ac:dyDescent="0.25">
      <c r="A34" s="3">
        <v>1</v>
      </c>
      <c r="B34" s="3" t="s">
        <v>60</v>
      </c>
      <c r="C34" s="3" t="s">
        <v>61</v>
      </c>
      <c r="D34" s="3" t="s">
        <v>43</v>
      </c>
      <c r="E34" s="23" t="s">
        <v>288</v>
      </c>
      <c r="F34" s="34">
        <v>20016373</v>
      </c>
      <c r="G34" s="43" t="s">
        <v>111</v>
      </c>
      <c r="H34" s="3" t="s">
        <v>384</v>
      </c>
      <c r="I34" s="3" t="s">
        <v>65</v>
      </c>
      <c r="J34" s="27">
        <v>5.4</v>
      </c>
      <c r="K34" s="70">
        <v>17.02</v>
      </c>
      <c r="L34" s="71">
        <f t="shared" si="4"/>
        <v>91.908000000000001</v>
      </c>
      <c r="M34" s="34" t="s">
        <v>109</v>
      </c>
      <c r="N34" s="3" t="s">
        <v>109</v>
      </c>
      <c r="O34" s="19" t="s">
        <v>389</v>
      </c>
      <c r="P34" s="3" t="s">
        <v>160</v>
      </c>
      <c r="Q34" s="9" t="s">
        <v>109</v>
      </c>
      <c r="R34" s="155" t="s">
        <v>109</v>
      </c>
      <c r="S34" s="3" t="s">
        <v>109</v>
      </c>
      <c r="T34" s="158" t="s">
        <v>109</v>
      </c>
      <c r="U34" s="155"/>
      <c r="V34" s="169"/>
      <c r="W34" s="11">
        <v>20016490</v>
      </c>
      <c r="X34" s="2" t="s">
        <v>110</v>
      </c>
      <c r="Y34" s="3">
        <v>1</v>
      </c>
      <c r="Z34" s="3">
        <v>1</v>
      </c>
      <c r="AA34" s="27">
        <f t="shared" si="2"/>
        <v>1</v>
      </c>
      <c r="AB34" s="33" t="s">
        <v>109</v>
      </c>
      <c r="AC34" s="2" t="s">
        <v>109</v>
      </c>
      <c r="AD34" s="2" t="s">
        <v>109</v>
      </c>
      <c r="AE34" s="27" t="s">
        <v>109</v>
      </c>
      <c r="AF34" s="107" t="s">
        <v>109</v>
      </c>
      <c r="AG34" s="112"/>
      <c r="AH34" s="99"/>
      <c r="AI34" s="27"/>
      <c r="AJ34" s="33" t="s">
        <v>109</v>
      </c>
      <c r="AK34" s="28" t="s">
        <v>109</v>
      </c>
      <c r="AL34" s="11"/>
    </row>
    <row r="35" spans="1:38" x14ac:dyDescent="0.25">
      <c r="A35" s="3">
        <v>1</v>
      </c>
      <c r="B35" s="3" t="s">
        <v>60</v>
      </c>
      <c r="C35" s="3" t="s">
        <v>61</v>
      </c>
      <c r="D35" s="3" t="s">
        <v>45</v>
      </c>
      <c r="E35" s="23" t="s">
        <v>288</v>
      </c>
      <c r="F35" s="34">
        <v>20016373</v>
      </c>
      <c r="G35" s="43" t="s">
        <v>111</v>
      </c>
      <c r="H35" s="3" t="s">
        <v>385</v>
      </c>
      <c r="I35" s="3" t="s">
        <v>66</v>
      </c>
      <c r="J35" s="27">
        <v>5.4</v>
      </c>
      <c r="K35" s="70">
        <v>17.02</v>
      </c>
      <c r="L35" s="71">
        <f t="shared" si="4"/>
        <v>91.908000000000001</v>
      </c>
      <c r="M35" s="34" t="s">
        <v>109</v>
      </c>
      <c r="N35" s="3" t="s">
        <v>109</v>
      </c>
      <c r="O35" s="19" t="s">
        <v>390</v>
      </c>
      <c r="P35" s="3" t="s">
        <v>161</v>
      </c>
      <c r="Q35" s="9" t="s">
        <v>109</v>
      </c>
      <c r="R35" s="155" t="s">
        <v>109</v>
      </c>
      <c r="S35" s="3" t="s">
        <v>109</v>
      </c>
      <c r="T35" s="158" t="s">
        <v>109</v>
      </c>
      <c r="U35" s="155"/>
      <c r="V35" s="169"/>
      <c r="W35" s="11">
        <v>20016490</v>
      </c>
      <c r="X35" s="2" t="s">
        <v>110</v>
      </c>
      <c r="Y35" s="3">
        <v>1</v>
      </c>
      <c r="Z35" s="3">
        <v>1</v>
      </c>
      <c r="AA35" s="27">
        <f t="shared" si="2"/>
        <v>1</v>
      </c>
      <c r="AB35" s="33" t="s">
        <v>109</v>
      </c>
      <c r="AC35" s="2" t="s">
        <v>109</v>
      </c>
      <c r="AD35" s="2" t="s">
        <v>109</v>
      </c>
      <c r="AE35" s="27" t="s">
        <v>109</v>
      </c>
      <c r="AF35" s="107" t="s">
        <v>109</v>
      </c>
      <c r="AG35" s="112"/>
      <c r="AH35" s="99"/>
      <c r="AI35" s="27"/>
      <c r="AJ35" s="33" t="s">
        <v>109</v>
      </c>
      <c r="AK35" s="28" t="s">
        <v>109</v>
      </c>
      <c r="AL35" s="11"/>
    </row>
    <row r="36" spans="1:38" x14ac:dyDescent="0.25">
      <c r="A36" s="3">
        <v>3</v>
      </c>
      <c r="B36" s="3" t="s">
        <v>199</v>
      </c>
      <c r="C36" s="3" t="s">
        <v>35</v>
      </c>
      <c r="D36" s="3" t="s">
        <v>188</v>
      </c>
      <c r="E36" s="23" t="s">
        <v>288</v>
      </c>
      <c r="F36" s="34">
        <v>20016373</v>
      </c>
      <c r="G36" s="43" t="s">
        <v>111</v>
      </c>
      <c r="H36" s="3" t="s">
        <v>465</v>
      </c>
      <c r="I36" s="3" t="s">
        <v>109</v>
      </c>
      <c r="J36" s="27">
        <v>5.4</v>
      </c>
      <c r="K36" s="70">
        <v>17.02</v>
      </c>
      <c r="L36" s="71">
        <f t="shared" si="4"/>
        <v>91.908000000000001</v>
      </c>
      <c r="M36" s="34">
        <v>30005613</v>
      </c>
      <c r="N36" s="2" t="s">
        <v>125</v>
      </c>
      <c r="O36" s="19" t="s">
        <v>461</v>
      </c>
      <c r="P36" s="3" t="s">
        <v>195</v>
      </c>
      <c r="Q36" s="150" t="s">
        <v>109</v>
      </c>
      <c r="R36" s="155" t="s">
        <v>109</v>
      </c>
      <c r="S36" s="2" t="s">
        <v>109</v>
      </c>
      <c r="T36" s="156" t="s">
        <v>109</v>
      </c>
      <c r="U36" s="157"/>
      <c r="V36" s="169"/>
      <c r="W36" s="11">
        <v>20016490</v>
      </c>
      <c r="X36" s="2" t="s">
        <v>110</v>
      </c>
      <c r="Y36" s="3">
        <v>2</v>
      </c>
      <c r="Z36" s="3">
        <v>1</v>
      </c>
      <c r="AA36" s="27">
        <f t="shared" si="2"/>
        <v>2</v>
      </c>
      <c r="AB36" s="33" t="s">
        <v>109</v>
      </c>
      <c r="AC36" s="3" t="s">
        <v>109</v>
      </c>
      <c r="AD36" s="2" t="s">
        <v>109</v>
      </c>
      <c r="AE36" s="27" t="s">
        <v>109</v>
      </c>
      <c r="AF36" s="107" t="s">
        <v>109</v>
      </c>
      <c r="AG36" s="2"/>
      <c r="AH36" s="95"/>
      <c r="AI36" s="27"/>
      <c r="AJ36" s="33" t="s">
        <v>109</v>
      </c>
      <c r="AK36" s="27" t="s">
        <v>109</v>
      </c>
      <c r="AL36" s="11"/>
    </row>
    <row r="37" spans="1:38" x14ac:dyDescent="0.25">
      <c r="A37" s="3">
        <v>3</v>
      </c>
      <c r="B37" s="3" t="s">
        <v>199</v>
      </c>
      <c r="C37" s="3" t="s">
        <v>35</v>
      </c>
      <c r="D37" s="3" t="s">
        <v>189</v>
      </c>
      <c r="E37" s="23" t="s">
        <v>288</v>
      </c>
      <c r="F37" s="34">
        <v>20016373</v>
      </c>
      <c r="G37" s="43" t="s">
        <v>111</v>
      </c>
      <c r="H37" s="3" t="s">
        <v>466</v>
      </c>
      <c r="I37" s="3" t="s">
        <v>109</v>
      </c>
      <c r="J37" s="27">
        <v>5.4</v>
      </c>
      <c r="K37" s="70">
        <v>17.02</v>
      </c>
      <c r="L37" s="71">
        <f t="shared" si="4"/>
        <v>91.908000000000001</v>
      </c>
      <c r="M37" s="34">
        <v>30005613</v>
      </c>
      <c r="N37" s="2" t="s">
        <v>125</v>
      </c>
      <c r="O37" s="19" t="s">
        <v>462</v>
      </c>
      <c r="P37" s="3" t="s">
        <v>196</v>
      </c>
      <c r="Q37" s="150" t="s">
        <v>109</v>
      </c>
      <c r="R37" s="155" t="s">
        <v>109</v>
      </c>
      <c r="S37" s="2" t="s">
        <v>109</v>
      </c>
      <c r="T37" s="156" t="s">
        <v>109</v>
      </c>
      <c r="U37" s="157"/>
      <c r="V37" s="169"/>
      <c r="W37" s="11">
        <v>20016490</v>
      </c>
      <c r="X37" s="2" t="s">
        <v>110</v>
      </c>
      <c r="Y37" s="3">
        <v>2</v>
      </c>
      <c r="Z37" s="3">
        <v>1</v>
      </c>
      <c r="AA37" s="27">
        <f t="shared" si="2"/>
        <v>2</v>
      </c>
      <c r="AB37" s="33" t="s">
        <v>109</v>
      </c>
      <c r="AC37" s="3" t="s">
        <v>109</v>
      </c>
      <c r="AD37" s="2" t="s">
        <v>109</v>
      </c>
      <c r="AE37" s="27" t="s">
        <v>109</v>
      </c>
      <c r="AF37" s="107" t="s">
        <v>109</v>
      </c>
      <c r="AG37" s="2"/>
      <c r="AH37" s="95"/>
      <c r="AI37" s="27"/>
      <c r="AJ37" s="33" t="s">
        <v>109</v>
      </c>
      <c r="AK37" s="27" t="s">
        <v>109</v>
      </c>
      <c r="AL37" s="11"/>
    </row>
    <row r="38" spans="1:38" x14ac:dyDescent="0.25">
      <c r="A38" s="3">
        <v>3</v>
      </c>
      <c r="B38" s="3" t="s">
        <v>199</v>
      </c>
      <c r="C38" s="3" t="s">
        <v>35</v>
      </c>
      <c r="D38" s="3" t="s">
        <v>190</v>
      </c>
      <c r="E38" s="23" t="s">
        <v>288</v>
      </c>
      <c r="F38" s="34">
        <v>20016373</v>
      </c>
      <c r="G38" s="43" t="s">
        <v>111</v>
      </c>
      <c r="H38" s="3" t="s">
        <v>467</v>
      </c>
      <c r="I38" s="3" t="s">
        <v>109</v>
      </c>
      <c r="J38" s="27">
        <v>5.4</v>
      </c>
      <c r="K38" s="70">
        <v>17.02</v>
      </c>
      <c r="L38" s="71">
        <f t="shared" si="4"/>
        <v>91.908000000000001</v>
      </c>
      <c r="M38" s="34">
        <v>30005613</v>
      </c>
      <c r="N38" s="2" t="s">
        <v>125</v>
      </c>
      <c r="O38" s="19" t="s">
        <v>463</v>
      </c>
      <c r="P38" s="3" t="s">
        <v>197</v>
      </c>
      <c r="Q38" s="150" t="s">
        <v>109</v>
      </c>
      <c r="R38" s="155" t="s">
        <v>109</v>
      </c>
      <c r="S38" s="2" t="s">
        <v>109</v>
      </c>
      <c r="T38" s="156" t="s">
        <v>109</v>
      </c>
      <c r="U38" s="157"/>
      <c r="V38" s="169"/>
      <c r="W38" s="11">
        <v>20016490</v>
      </c>
      <c r="X38" s="2" t="s">
        <v>110</v>
      </c>
      <c r="Y38" s="3">
        <v>2</v>
      </c>
      <c r="Z38" s="3">
        <v>1</v>
      </c>
      <c r="AA38" s="27">
        <f t="shared" si="2"/>
        <v>2</v>
      </c>
      <c r="AB38" s="33" t="s">
        <v>109</v>
      </c>
      <c r="AC38" s="3" t="s">
        <v>109</v>
      </c>
      <c r="AD38" s="2" t="s">
        <v>109</v>
      </c>
      <c r="AE38" s="27" t="s">
        <v>109</v>
      </c>
      <c r="AF38" s="107" t="s">
        <v>109</v>
      </c>
      <c r="AG38" s="2"/>
      <c r="AH38" s="95"/>
      <c r="AI38" s="27"/>
      <c r="AJ38" s="33" t="s">
        <v>109</v>
      </c>
      <c r="AK38" s="27" t="s">
        <v>109</v>
      </c>
      <c r="AL38" s="11"/>
    </row>
    <row r="39" spans="1:38" x14ac:dyDescent="0.25">
      <c r="A39" s="3">
        <v>3</v>
      </c>
      <c r="B39" s="3" t="s">
        <v>199</v>
      </c>
      <c r="C39" s="3" t="s">
        <v>35</v>
      </c>
      <c r="D39" s="3" t="s">
        <v>190</v>
      </c>
      <c r="E39" s="23" t="s">
        <v>288</v>
      </c>
      <c r="F39" s="34">
        <v>20016373</v>
      </c>
      <c r="G39" s="43" t="s">
        <v>111</v>
      </c>
      <c r="H39" s="3" t="s">
        <v>468</v>
      </c>
      <c r="I39" s="3" t="s">
        <v>109</v>
      </c>
      <c r="J39" s="27">
        <v>5.4</v>
      </c>
      <c r="K39" s="70">
        <v>17.02</v>
      </c>
      <c r="L39" s="71">
        <f t="shared" si="4"/>
        <v>91.908000000000001</v>
      </c>
      <c r="M39" s="34">
        <v>30005613</v>
      </c>
      <c r="N39" s="2" t="s">
        <v>125</v>
      </c>
      <c r="O39" s="19" t="s">
        <v>464</v>
      </c>
      <c r="P39" s="3" t="s">
        <v>198</v>
      </c>
      <c r="Q39" s="150" t="s">
        <v>109</v>
      </c>
      <c r="R39" s="155" t="s">
        <v>109</v>
      </c>
      <c r="S39" s="2" t="s">
        <v>109</v>
      </c>
      <c r="T39" s="156" t="s">
        <v>109</v>
      </c>
      <c r="U39" s="157"/>
      <c r="V39" s="169"/>
      <c r="W39" s="11">
        <v>20016490</v>
      </c>
      <c r="X39" s="2" t="s">
        <v>110</v>
      </c>
      <c r="Y39" s="3">
        <v>2</v>
      </c>
      <c r="Z39" s="3">
        <v>1</v>
      </c>
      <c r="AA39" s="27">
        <f t="shared" si="2"/>
        <v>2</v>
      </c>
      <c r="AB39" s="33" t="s">
        <v>109</v>
      </c>
      <c r="AC39" s="3" t="s">
        <v>109</v>
      </c>
      <c r="AD39" s="2" t="s">
        <v>109</v>
      </c>
      <c r="AE39" s="27" t="s">
        <v>109</v>
      </c>
      <c r="AF39" s="107" t="s">
        <v>109</v>
      </c>
      <c r="AG39" s="2"/>
      <c r="AH39" s="95"/>
      <c r="AI39" s="27"/>
      <c r="AJ39" s="33" t="s">
        <v>109</v>
      </c>
      <c r="AK39" s="27" t="s">
        <v>109</v>
      </c>
      <c r="AL39" s="11"/>
    </row>
    <row r="40" spans="1:38" x14ac:dyDescent="0.25">
      <c r="A40" s="3">
        <v>3</v>
      </c>
      <c r="B40" s="3" t="s">
        <v>201</v>
      </c>
      <c r="C40" s="3" t="s">
        <v>67</v>
      </c>
      <c r="D40" s="3" t="s">
        <v>318</v>
      </c>
      <c r="E40" s="23" t="s">
        <v>288</v>
      </c>
      <c r="F40" s="34">
        <v>20002899</v>
      </c>
      <c r="G40" s="44" t="s">
        <v>334</v>
      </c>
      <c r="H40" s="3" t="s">
        <v>469</v>
      </c>
      <c r="I40" s="3" t="s">
        <v>68</v>
      </c>
      <c r="J40" s="27">
        <v>15.4</v>
      </c>
      <c r="K40" s="70">
        <v>60.31</v>
      </c>
      <c r="L40" s="71">
        <f t="shared" si="4"/>
        <v>928.774</v>
      </c>
      <c r="M40" s="34">
        <v>30005613</v>
      </c>
      <c r="N40" s="2" t="s">
        <v>125</v>
      </c>
      <c r="O40" s="19" t="s">
        <v>470</v>
      </c>
      <c r="P40" s="2" t="s">
        <v>168</v>
      </c>
      <c r="Q40" s="9" t="s">
        <v>124</v>
      </c>
      <c r="R40" s="155" t="s">
        <v>109</v>
      </c>
      <c r="S40" s="2" t="s">
        <v>109</v>
      </c>
      <c r="T40" s="156" t="s">
        <v>109</v>
      </c>
      <c r="U40" s="157"/>
      <c r="V40" s="169"/>
      <c r="W40" s="11">
        <v>20016490</v>
      </c>
      <c r="X40" s="2" t="s">
        <v>110</v>
      </c>
      <c r="Y40" s="3">
        <v>4</v>
      </c>
      <c r="Z40" s="3">
        <v>2</v>
      </c>
      <c r="AA40" s="27">
        <f t="shared" si="2"/>
        <v>8</v>
      </c>
      <c r="AB40" s="75" t="s">
        <v>111</v>
      </c>
      <c r="AC40" s="3">
        <v>3</v>
      </c>
      <c r="AD40" s="2" t="s">
        <v>324</v>
      </c>
      <c r="AE40" s="27">
        <v>635</v>
      </c>
      <c r="AF40" s="106" t="s">
        <v>112</v>
      </c>
      <c r="AG40" s="3">
        <v>28</v>
      </c>
      <c r="AH40" s="106" t="s">
        <v>112</v>
      </c>
      <c r="AI40" s="27" t="s">
        <v>1270</v>
      </c>
      <c r="AJ40" s="34">
        <v>70</v>
      </c>
      <c r="AK40" s="29">
        <f>AJ40+AJ40*12%</f>
        <v>78.400000000000006</v>
      </c>
      <c r="AL40" s="10"/>
    </row>
    <row r="41" spans="1:38" x14ac:dyDescent="0.25">
      <c r="A41" s="3">
        <v>3</v>
      </c>
      <c r="B41" s="3" t="s">
        <v>200</v>
      </c>
      <c r="C41" s="3" t="s">
        <v>69</v>
      </c>
      <c r="D41" s="3" t="s">
        <v>318</v>
      </c>
      <c r="E41" s="23" t="s">
        <v>288</v>
      </c>
      <c r="F41" s="34">
        <v>20002899</v>
      </c>
      <c r="G41" s="44" t="s">
        <v>334</v>
      </c>
      <c r="H41" s="3" t="s">
        <v>471</v>
      </c>
      <c r="I41" s="3" t="s">
        <v>70</v>
      </c>
      <c r="J41" s="27">
        <v>64.900000000000006</v>
      </c>
      <c r="K41" s="70">
        <v>60.31</v>
      </c>
      <c r="L41" s="71">
        <f t="shared" si="4"/>
        <v>3914.1190000000006</v>
      </c>
      <c r="M41" s="34">
        <v>30005613</v>
      </c>
      <c r="N41" s="2" t="s">
        <v>125</v>
      </c>
      <c r="O41" s="19" t="s">
        <v>473</v>
      </c>
      <c r="P41" s="2" t="s">
        <v>169</v>
      </c>
      <c r="Q41" s="9" t="s">
        <v>176</v>
      </c>
      <c r="R41" s="155">
        <v>30093974</v>
      </c>
      <c r="S41" s="2" t="s">
        <v>128</v>
      </c>
      <c r="T41" s="156">
        <v>64</v>
      </c>
      <c r="U41" s="157">
        <v>15.31</v>
      </c>
      <c r="V41" s="169">
        <f t="shared" si="1"/>
        <v>979.84</v>
      </c>
      <c r="W41" s="11">
        <v>20016490</v>
      </c>
      <c r="X41" s="2" t="s">
        <v>110</v>
      </c>
      <c r="Y41" s="3">
        <v>5</v>
      </c>
      <c r="Z41" s="3">
        <v>2</v>
      </c>
      <c r="AA41" s="27">
        <f t="shared" si="2"/>
        <v>10</v>
      </c>
      <c r="AB41" s="33" t="s">
        <v>109</v>
      </c>
      <c r="AC41" s="3" t="s">
        <v>109</v>
      </c>
      <c r="AD41" s="2" t="s">
        <v>109</v>
      </c>
      <c r="AE41" s="27" t="s">
        <v>109</v>
      </c>
      <c r="AF41" s="106" t="s">
        <v>112</v>
      </c>
      <c r="AG41" s="3">
        <v>29</v>
      </c>
      <c r="AH41" s="106" t="s">
        <v>112</v>
      </c>
      <c r="AI41" s="27" t="s">
        <v>1270</v>
      </c>
      <c r="AJ41" s="34">
        <v>65</v>
      </c>
      <c r="AK41" s="29">
        <f>AJ41+AJ41*12%</f>
        <v>72.8</v>
      </c>
      <c r="AL41" s="10"/>
    </row>
    <row r="42" spans="1:38" x14ac:dyDescent="0.25">
      <c r="A42" s="3">
        <v>3</v>
      </c>
      <c r="B42" s="3" t="s">
        <v>200</v>
      </c>
      <c r="C42" s="3" t="s">
        <v>69</v>
      </c>
      <c r="D42" s="3" t="s">
        <v>318</v>
      </c>
      <c r="E42" s="23" t="s">
        <v>288</v>
      </c>
      <c r="F42" s="34">
        <v>20002899</v>
      </c>
      <c r="G42" s="44" t="s">
        <v>334</v>
      </c>
      <c r="H42" s="3" t="s">
        <v>472</v>
      </c>
      <c r="I42" s="3" t="s">
        <v>70</v>
      </c>
      <c r="J42" s="27">
        <v>64.900000000000006</v>
      </c>
      <c r="K42" s="70">
        <v>60.31</v>
      </c>
      <c r="L42" s="71">
        <f t="shared" si="4"/>
        <v>3914.1190000000006</v>
      </c>
      <c r="M42" s="34">
        <v>30005613</v>
      </c>
      <c r="N42" s="2" t="s">
        <v>125</v>
      </c>
      <c r="O42" s="19" t="s">
        <v>474</v>
      </c>
      <c r="P42" s="2" t="s">
        <v>169</v>
      </c>
      <c r="Q42" s="9" t="s">
        <v>176</v>
      </c>
      <c r="R42" s="155">
        <v>30093974</v>
      </c>
      <c r="S42" s="2" t="s">
        <v>128</v>
      </c>
      <c r="T42" s="156">
        <v>64</v>
      </c>
      <c r="U42" s="157">
        <v>15.31</v>
      </c>
      <c r="V42" s="169">
        <f t="shared" si="1"/>
        <v>979.84</v>
      </c>
      <c r="W42" s="11">
        <v>20016490</v>
      </c>
      <c r="X42" s="2" t="s">
        <v>110</v>
      </c>
      <c r="Y42" s="3">
        <v>5</v>
      </c>
      <c r="Z42" s="3">
        <v>2</v>
      </c>
      <c r="AA42" s="27">
        <f t="shared" si="2"/>
        <v>10</v>
      </c>
      <c r="AB42" s="33" t="s">
        <v>109</v>
      </c>
      <c r="AC42" s="3" t="s">
        <v>109</v>
      </c>
      <c r="AD42" s="2" t="s">
        <v>109</v>
      </c>
      <c r="AE42" s="27" t="s">
        <v>109</v>
      </c>
      <c r="AF42" s="106" t="s">
        <v>112</v>
      </c>
      <c r="AG42" s="3">
        <v>30</v>
      </c>
      <c r="AH42" s="106" t="s">
        <v>112</v>
      </c>
      <c r="AI42" s="27" t="s">
        <v>1270</v>
      </c>
      <c r="AJ42" s="34">
        <v>67</v>
      </c>
      <c r="AK42" s="29">
        <f>AJ42+AJ42*12%</f>
        <v>75.039999999999992</v>
      </c>
      <c r="AL42" s="10"/>
    </row>
    <row r="43" spans="1:38" x14ac:dyDescent="0.25">
      <c r="A43" s="3">
        <v>1</v>
      </c>
      <c r="B43" s="14" t="s">
        <v>177</v>
      </c>
      <c r="C43" s="3" t="s">
        <v>127</v>
      </c>
      <c r="D43" s="9" t="s">
        <v>318</v>
      </c>
      <c r="E43" s="23" t="s">
        <v>288</v>
      </c>
      <c r="F43" s="34">
        <v>20016042</v>
      </c>
      <c r="G43" s="44" t="s">
        <v>334</v>
      </c>
      <c r="H43" s="3" t="s">
        <v>392</v>
      </c>
      <c r="I43" s="3" t="s">
        <v>127</v>
      </c>
      <c r="J43" s="27">
        <v>72</v>
      </c>
      <c r="K43" s="70">
        <v>60.31</v>
      </c>
      <c r="L43" s="71">
        <f t="shared" ref="L43:L52" si="5">J43*K43</f>
        <v>4342.32</v>
      </c>
      <c r="M43" s="34">
        <v>30005613</v>
      </c>
      <c r="N43" s="2" t="s">
        <v>125</v>
      </c>
      <c r="O43" s="19" t="s">
        <v>391</v>
      </c>
      <c r="P43" s="3" t="s">
        <v>184</v>
      </c>
      <c r="Q43" s="9" t="s">
        <v>181</v>
      </c>
      <c r="R43" s="155" t="s">
        <v>109</v>
      </c>
      <c r="S43" s="3" t="s">
        <v>109</v>
      </c>
      <c r="T43" s="158" t="s">
        <v>109</v>
      </c>
      <c r="U43" s="155"/>
      <c r="V43" s="169"/>
      <c r="W43" s="11">
        <v>20016490</v>
      </c>
      <c r="X43" s="2" t="s">
        <v>110</v>
      </c>
      <c r="Y43" s="3">
        <v>1</v>
      </c>
      <c r="Z43" s="3">
        <v>1</v>
      </c>
      <c r="AA43" s="27">
        <f t="shared" si="2"/>
        <v>1</v>
      </c>
      <c r="AB43" s="33" t="s">
        <v>109</v>
      </c>
      <c r="AC43" s="2" t="s">
        <v>109</v>
      </c>
      <c r="AD43" s="2" t="s">
        <v>109</v>
      </c>
      <c r="AE43" s="27" t="s">
        <v>109</v>
      </c>
      <c r="AF43" s="105" t="s">
        <v>129</v>
      </c>
      <c r="AG43" s="114" t="s">
        <v>1254</v>
      </c>
      <c r="AH43" s="105" t="s">
        <v>129</v>
      </c>
      <c r="AI43" s="27" t="s">
        <v>1270</v>
      </c>
      <c r="AJ43" s="39">
        <v>69</v>
      </c>
      <c r="AK43" s="27">
        <f t="shared" ref="AK43:AK52" si="6">AJ43+AJ43*12%</f>
        <v>77.28</v>
      </c>
      <c r="AL43" s="11"/>
    </row>
    <row r="44" spans="1:38" x14ac:dyDescent="0.25">
      <c r="A44" s="3">
        <v>1</v>
      </c>
      <c r="B44" s="14" t="s">
        <v>177</v>
      </c>
      <c r="C44" s="3" t="s">
        <v>127</v>
      </c>
      <c r="D44" s="3" t="s">
        <v>39</v>
      </c>
      <c r="E44" s="23" t="s">
        <v>288</v>
      </c>
      <c r="F44" s="34">
        <v>20016373</v>
      </c>
      <c r="G44" s="43" t="s">
        <v>111</v>
      </c>
      <c r="H44" s="3" t="s">
        <v>397</v>
      </c>
      <c r="I44" s="3" t="s">
        <v>127</v>
      </c>
      <c r="J44" s="27">
        <v>7</v>
      </c>
      <c r="K44" s="70">
        <v>17.02</v>
      </c>
      <c r="L44" s="71">
        <f t="shared" si="4"/>
        <v>119.14</v>
      </c>
      <c r="M44" s="34" t="s">
        <v>109</v>
      </c>
      <c r="N44" s="3" t="s">
        <v>109</v>
      </c>
      <c r="O44" s="19" t="s">
        <v>393</v>
      </c>
      <c r="P44" s="3" t="s">
        <v>127</v>
      </c>
      <c r="Q44" s="9" t="s">
        <v>109</v>
      </c>
      <c r="R44" s="155" t="s">
        <v>109</v>
      </c>
      <c r="S44" s="3" t="s">
        <v>109</v>
      </c>
      <c r="T44" s="158" t="s">
        <v>109</v>
      </c>
      <c r="U44" s="155"/>
      <c r="V44" s="169"/>
      <c r="W44" s="11">
        <v>20016490</v>
      </c>
      <c r="X44" s="2" t="s">
        <v>110</v>
      </c>
      <c r="Y44" s="3">
        <v>4</v>
      </c>
      <c r="Z44" s="3">
        <v>2</v>
      </c>
      <c r="AA44" s="27">
        <f t="shared" si="2"/>
        <v>8</v>
      </c>
      <c r="AB44" s="33" t="s">
        <v>109</v>
      </c>
      <c r="AC44" s="2" t="s">
        <v>109</v>
      </c>
      <c r="AD44" s="2" t="s">
        <v>109</v>
      </c>
      <c r="AE44" s="27" t="s">
        <v>109</v>
      </c>
      <c r="AF44" s="107" t="s">
        <v>109</v>
      </c>
      <c r="AG44" s="112"/>
      <c r="AH44" s="99"/>
      <c r="AI44" s="27"/>
      <c r="AJ44" s="33" t="s">
        <v>109</v>
      </c>
      <c r="AK44" s="27" t="s">
        <v>109</v>
      </c>
      <c r="AL44" s="52"/>
    </row>
    <row r="45" spans="1:38" x14ac:dyDescent="0.25">
      <c r="A45" s="3">
        <v>1</v>
      </c>
      <c r="B45" s="14" t="s">
        <v>177</v>
      </c>
      <c r="C45" s="3" t="s">
        <v>127</v>
      </c>
      <c r="D45" s="3" t="s">
        <v>41</v>
      </c>
      <c r="E45" s="23" t="s">
        <v>288</v>
      </c>
      <c r="F45" s="34">
        <v>20016373</v>
      </c>
      <c r="G45" s="43" t="s">
        <v>111</v>
      </c>
      <c r="H45" s="3" t="s">
        <v>398</v>
      </c>
      <c r="I45" s="3" t="s">
        <v>127</v>
      </c>
      <c r="J45" s="27">
        <v>7</v>
      </c>
      <c r="K45" s="70">
        <v>17.02</v>
      </c>
      <c r="L45" s="71">
        <f t="shared" si="4"/>
        <v>119.14</v>
      </c>
      <c r="M45" s="34" t="s">
        <v>109</v>
      </c>
      <c r="N45" s="3" t="s">
        <v>109</v>
      </c>
      <c r="O45" s="19" t="s">
        <v>394</v>
      </c>
      <c r="P45" s="3" t="s">
        <v>127</v>
      </c>
      <c r="Q45" s="9" t="s">
        <v>109</v>
      </c>
      <c r="R45" s="155" t="s">
        <v>109</v>
      </c>
      <c r="S45" s="3" t="s">
        <v>109</v>
      </c>
      <c r="T45" s="158" t="s">
        <v>109</v>
      </c>
      <c r="U45" s="155"/>
      <c r="V45" s="169"/>
      <c r="W45" s="11">
        <v>20016490</v>
      </c>
      <c r="X45" s="2" t="s">
        <v>110</v>
      </c>
      <c r="Y45" s="3">
        <v>4</v>
      </c>
      <c r="Z45" s="3">
        <v>2</v>
      </c>
      <c r="AA45" s="27">
        <f t="shared" si="2"/>
        <v>8</v>
      </c>
      <c r="AB45" s="33" t="s">
        <v>109</v>
      </c>
      <c r="AC45" s="2" t="s">
        <v>109</v>
      </c>
      <c r="AD45" s="2" t="s">
        <v>109</v>
      </c>
      <c r="AE45" s="27" t="s">
        <v>109</v>
      </c>
      <c r="AF45" s="107" t="s">
        <v>109</v>
      </c>
      <c r="AG45" s="112"/>
      <c r="AH45" s="99"/>
      <c r="AI45" s="27"/>
      <c r="AJ45" s="33" t="s">
        <v>109</v>
      </c>
      <c r="AK45" s="27" t="s">
        <v>109</v>
      </c>
      <c r="AL45" s="52"/>
    </row>
    <row r="46" spans="1:38" x14ac:dyDescent="0.25">
      <c r="A46" s="3">
        <v>1</v>
      </c>
      <c r="B46" s="14" t="s">
        <v>177</v>
      </c>
      <c r="C46" s="3" t="s">
        <v>127</v>
      </c>
      <c r="D46" s="3" t="s">
        <v>43</v>
      </c>
      <c r="E46" s="23" t="s">
        <v>288</v>
      </c>
      <c r="F46" s="34">
        <v>20016373</v>
      </c>
      <c r="G46" s="43" t="s">
        <v>111</v>
      </c>
      <c r="H46" s="3" t="s">
        <v>399</v>
      </c>
      <c r="I46" s="3" t="s">
        <v>127</v>
      </c>
      <c r="J46" s="27">
        <v>7</v>
      </c>
      <c r="K46" s="70">
        <v>17.02</v>
      </c>
      <c r="L46" s="71">
        <f t="shared" si="4"/>
        <v>119.14</v>
      </c>
      <c r="M46" s="34" t="s">
        <v>109</v>
      </c>
      <c r="N46" s="3" t="s">
        <v>109</v>
      </c>
      <c r="O46" s="19" t="s">
        <v>395</v>
      </c>
      <c r="P46" s="3" t="s">
        <v>127</v>
      </c>
      <c r="Q46" s="9" t="s">
        <v>109</v>
      </c>
      <c r="R46" s="155" t="s">
        <v>109</v>
      </c>
      <c r="S46" s="3" t="s">
        <v>109</v>
      </c>
      <c r="T46" s="158" t="s">
        <v>109</v>
      </c>
      <c r="U46" s="155"/>
      <c r="V46" s="169"/>
      <c r="W46" s="11">
        <v>20016490</v>
      </c>
      <c r="X46" s="2" t="s">
        <v>110</v>
      </c>
      <c r="Y46" s="3">
        <v>4</v>
      </c>
      <c r="Z46" s="3">
        <v>2</v>
      </c>
      <c r="AA46" s="27">
        <f t="shared" si="2"/>
        <v>8</v>
      </c>
      <c r="AB46" s="33" t="s">
        <v>109</v>
      </c>
      <c r="AC46" s="2" t="s">
        <v>109</v>
      </c>
      <c r="AD46" s="2" t="s">
        <v>109</v>
      </c>
      <c r="AE46" s="27" t="s">
        <v>109</v>
      </c>
      <c r="AF46" s="107" t="s">
        <v>109</v>
      </c>
      <c r="AG46" s="112"/>
      <c r="AH46" s="99"/>
      <c r="AI46" s="27"/>
      <c r="AJ46" s="33" t="s">
        <v>109</v>
      </c>
      <c r="AK46" s="27" t="s">
        <v>109</v>
      </c>
      <c r="AL46" s="52"/>
    </row>
    <row r="47" spans="1:38" x14ac:dyDescent="0.25">
      <c r="A47" s="3">
        <v>1</v>
      </c>
      <c r="B47" s="14" t="s">
        <v>177</v>
      </c>
      <c r="C47" s="3" t="s">
        <v>127</v>
      </c>
      <c r="D47" s="3" t="s">
        <v>45</v>
      </c>
      <c r="E47" s="23" t="s">
        <v>288</v>
      </c>
      <c r="F47" s="34">
        <v>20016373</v>
      </c>
      <c r="G47" s="43" t="s">
        <v>111</v>
      </c>
      <c r="H47" s="3" t="s">
        <v>400</v>
      </c>
      <c r="I47" s="3" t="s">
        <v>127</v>
      </c>
      <c r="J47" s="27">
        <v>7</v>
      </c>
      <c r="K47" s="70">
        <v>17.02</v>
      </c>
      <c r="L47" s="71">
        <f t="shared" si="4"/>
        <v>119.14</v>
      </c>
      <c r="M47" s="34" t="s">
        <v>109</v>
      </c>
      <c r="N47" s="3" t="s">
        <v>109</v>
      </c>
      <c r="O47" s="19" t="s">
        <v>396</v>
      </c>
      <c r="P47" s="3" t="s">
        <v>127</v>
      </c>
      <c r="Q47" s="9" t="s">
        <v>109</v>
      </c>
      <c r="R47" s="155" t="s">
        <v>109</v>
      </c>
      <c r="S47" s="3" t="s">
        <v>109</v>
      </c>
      <c r="T47" s="158" t="s">
        <v>109</v>
      </c>
      <c r="U47" s="155"/>
      <c r="V47" s="169"/>
      <c r="W47" s="11">
        <v>20016490</v>
      </c>
      <c r="X47" s="2" t="s">
        <v>110</v>
      </c>
      <c r="Y47" s="3">
        <v>4</v>
      </c>
      <c r="Z47" s="3">
        <v>2</v>
      </c>
      <c r="AA47" s="27">
        <f t="shared" si="2"/>
        <v>8</v>
      </c>
      <c r="AB47" s="33" t="s">
        <v>109</v>
      </c>
      <c r="AC47" s="2" t="s">
        <v>109</v>
      </c>
      <c r="AD47" s="2" t="s">
        <v>109</v>
      </c>
      <c r="AE47" s="27" t="s">
        <v>109</v>
      </c>
      <c r="AF47" s="107" t="s">
        <v>109</v>
      </c>
      <c r="AG47" s="112"/>
      <c r="AH47" s="99"/>
      <c r="AI47" s="27"/>
      <c r="AJ47" s="33" t="s">
        <v>109</v>
      </c>
      <c r="AK47" s="27" t="s">
        <v>109</v>
      </c>
      <c r="AL47" s="52"/>
    </row>
    <row r="48" spans="1:38" x14ac:dyDescent="0.25">
      <c r="A48" s="3">
        <v>1</v>
      </c>
      <c r="B48" s="3" t="s">
        <v>71</v>
      </c>
      <c r="C48" s="3" t="s">
        <v>72</v>
      </c>
      <c r="D48" s="3" t="s">
        <v>318</v>
      </c>
      <c r="E48" s="23" t="s">
        <v>288</v>
      </c>
      <c r="F48" s="34">
        <v>20002899</v>
      </c>
      <c r="G48" s="44" t="s">
        <v>334</v>
      </c>
      <c r="H48" s="3" t="s">
        <v>401</v>
      </c>
      <c r="I48" s="3" t="s">
        <v>166</v>
      </c>
      <c r="J48" s="27">
        <v>58</v>
      </c>
      <c r="K48" s="70">
        <v>60.31</v>
      </c>
      <c r="L48" s="71">
        <f t="shared" si="5"/>
        <v>3497.98</v>
      </c>
      <c r="M48" s="34">
        <v>30005613</v>
      </c>
      <c r="N48" s="2" t="s">
        <v>125</v>
      </c>
      <c r="O48" s="19" t="s">
        <v>402</v>
      </c>
      <c r="P48" s="2" t="s">
        <v>167</v>
      </c>
      <c r="Q48" s="9" t="s">
        <v>176</v>
      </c>
      <c r="R48" s="155">
        <v>30093974</v>
      </c>
      <c r="S48" s="2" t="s">
        <v>128</v>
      </c>
      <c r="T48" s="159">
        <v>44</v>
      </c>
      <c r="U48" s="157">
        <v>15.31</v>
      </c>
      <c r="V48" s="169">
        <f t="shared" si="1"/>
        <v>673.64</v>
      </c>
      <c r="W48" s="11">
        <v>20016490</v>
      </c>
      <c r="X48" s="2" t="s">
        <v>110</v>
      </c>
      <c r="Y48" s="3">
        <v>4</v>
      </c>
      <c r="Z48" s="3">
        <v>2</v>
      </c>
      <c r="AA48" s="27">
        <f t="shared" si="2"/>
        <v>8</v>
      </c>
      <c r="AB48" s="75" t="s">
        <v>111</v>
      </c>
      <c r="AC48" s="2">
        <v>5</v>
      </c>
      <c r="AD48" s="2" t="s">
        <v>324</v>
      </c>
      <c r="AE48" s="28">
        <v>1450</v>
      </c>
      <c r="AF48" s="106" t="s">
        <v>112</v>
      </c>
      <c r="AG48" s="112" t="s">
        <v>1255</v>
      </c>
      <c r="AH48" s="106" t="s">
        <v>112</v>
      </c>
      <c r="AI48" s="27" t="s">
        <v>1270</v>
      </c>
      <c r="AJ48" s="39">
        <v>69</v>
      </c>
      <c r="AK48" s="27">
        <f t="shared" si="6"/>
        <v>77.28</v>
      </c>
      <c r="AL48" s="10"/>
    </row>
    <row r="49" spans="1:40" x14ac:dyDescent="0.25">
      <c r="A49" s="3">
        <v>1</v>
      </c>
      <c r="B49" s="3" t="s">
        <v>73</v>
      </c>
      <c r="C49" s="3" t="s">
        <v>74</v>
      </c>
      <c r="D49" s="3" t="s">
        <v>318</v>
      </c>
      <c r="E49" s="23" t="s">
        <v>288</v>
      </c>
      <c r="F49" s="34">
        <v>20002899</v>
      </c>
      <c r="G49" s="44" t="s">
        <v>334</v>
      </c>
      <c r="H49" s="3" t="s">
        <v>403</v>
      </c>
      <c r="I49" s="3" t="s">
        <v>75</v>
      </c>
      <c r="J49" s="27">
        <v>58</v>
      </c>
      <c r="K49" s="70">
        <v>60.31</v>
      </c>
      <c r="L49" s="71">
        <f t="shared" si="5"/>
        <v>3497.98</v>
      </c>
      <c r="M49" s="34">
        <v>30005613</v>
      </c>
      <c r="N49" s="2" t="s">
        <v>125</v>
      </c>
      <c r="O49" s="19" t="s">
        <v>404</v>
      </c>
      <c r="P49" s="2" t="s">
        <v>170</v>
      </c>
      <c r="Q49" s="9" t="s">
        <v>176</v>
      </c>
      <c r="R49" s="155">
        <v>30093974</v>
      </c>
      <c r="S49" s="2" t="s">
        <v>128</v>
      </c>
      <c r="T49" s="159">
        <v>44</v>
      </c>
      <c r="U49" s="157">
        <v>15.31</v>
      </c>
      <c r="V49" s="169">
        <f t="shared" si="1"/>
        <v>673.64</v>
      </c>
      <c r="W49" s="11">
        <v>20016490</v>
      </c>
      <c r="X49" s="2" t="s">
        <v>110</v>
      </c>
      <c r="Y49" s="3">
        <v>4</v>
      </c>
      <c r="Z49" s="3">
        <v>2</v>
      </c>
      <c r="AA49" s="27">
        <f t="shared" si="2"/>
        <v>8</v>
      </c>
      <c r="AB49" s="75" t="s">
        <v>111</v>
      </c>
      <c r="AC49" s="2">
        <v>5</v>
      </c>
      <c r="AD49" s="2" t="s">
        <v>324</v>
      </c>
      <c r="AE49" s="28">
        <v>1450</v>
      </c>
      <c r="AF49" s="106" t="s">
        <v>112</v>
      </c>
      <c r="AG49" s="112" t="s">
        <v>1256</v>
      </c>
      <c r="AH49" s="106" t="s">
        <v>112</v>
      </c>
      <c r="AI49" s="27" t="s">
        <v>1270</v>
      </c>
      <c r="AJ49" s="39">
        <v>65</v>
      </c>
      <c r="AK49" s="27">
        <f t="shared" si="6"/>
        <v>72.8</v>
      </c>
      <c r="AL49" s="10"/>
    </row>
    <row r="50" spans="1:40" x14ac:dyDescent="0.25">
      <c r="A50" s="3">
        <v>1</v>
      </c>
      <c r="B50" s="3" t="s">
        <v>76</v>
      </c>
      <c r="C50" s="3" t="s">
        <v>77</v>
      </c>
      <c r="D50" s="3" t="s">
        <v>318</v>
      </c>
      <c r="E50" s="23" t="s">
        <v>288</v>
      </c>
      <c r="F50" s="34">
        <v>20002899</v>
      </c>
      <c r="G50" s="44" t="s">
        <v>334</v>
      </c>
      <c r="H50" s="3" t="s">
        <v>405</v>
      </c>
      <c r="I50" s="3" t="s">
        <v>78</v>
      </c>
      <c r="J50" s="27">
        <v>58</v>
      </c>
      <c r="K50" s="70">
        <v>60.31</v>
      </c>
      <c r="L50" s="71">
        <f t="shared" si="5"/>
        <v>3497.98</v>
      </c>
      <c r="M50" s="34">
        <v>30005613</v>
      </c>
      <c r="N50" s="2" t="s">
        <v>125</v>
      </c>
      <c r="O50" s="19" t="s">
        <v>406</v>
      </c>
      <c r="P50" s="2" t="s">
        <v>171</v>
      </c>
      <c r="Q50" s="9" t="s">
        <v>176</v>
      </c>
      <c r="R50" s="155">
        <v>30093974</v>
      </c>
      <c r="S50" s="2" t="s">
        <v>128</v>
      </c>
      <c r="T50" s="159">
        <v>44</v>
      </c>
      <c r="U50" s="157">
        <v>15.31</v>
      </c>
      <c r="V50" s="169">
        <f t="shared" si="1"/>
        <v>673.64</v>
      </c>
      <c r="W50" s="11">
        <v>20016490</v>
      </c>
      <c r="X50" s="2" t="s">
        <v>110</v>
      </c>
      <c r="Y50" s="3">
        <v>4</v>
      </c>
      <c r="Z50" s="3">
        <v>2</v>
      </c>
      <c r="AA50" s="27">
        <f t="shared" si="2"/>
        <v>8</v>
      </c>
      <c r="AB50" s="75" t="s">
        <v>111</v>
      </c>
      <c r="AC50" s="2">
        <v>5</v>
      </c>
      <c r="AD50" s="2" t="s">
        <v>324</v>
      </c>
      <c r="AE50" s="28">
        <v>1450</v>
      </c>
      <c r="AF50" s="106" t="s">
        <v>112</v>
      </c>
      <c r="AG50" s="112" t="s">
        <v>1257</v>
      </c>
      <c r="AH50" s="106" t="s">
        <v>112</v>
      </c>
      <c r="AI50" s="27" t="s">
        <v>1270</v>
      </c>
      <c r="AJ50" s="39">
        <v>68</v>
      </c>
      <c r="AK50" s="27">
        <f t="shared" si="6"/>
        <v>76.16</v>
      </c>
      <c r="AL50" s="10"/>
    </row>
    <row r="51" spans="1:40" x14ac:dyDescent="0.25">
      <c r="A51" s="3">
        <v>1</v>
      </c>
      <c r="B51" s="3" t="s">
        <v>79</v>
      </c>
      <c r="C51" s="3" t="s">
        <v>80</v>
      </c>
      <c r="D51" s="3" t="s">
        <v>318</v>
      </c>
      <c r="E51" s="23" t="s">
        <v>288</v>
      </c>
      <c r="F51" s="34">
        <v>20002899</v>
      </c>
      <c r="G51" s="44" t="s">
        <v>334</v>
      </c>
      <c r="H51" s="3" t="s">
        <v>407</v>
      </c>
      <c r="I51" s="3" t="s">
        <v>81</v>
      </c>
      <c r="J51" s="27">
        <v>58</v>
      </c>
      <c r="K51" s="70">
        <v>60.31</v>
      </c>
      <c r="L51" s="71">
        <f t="shared" si="5"/>
        <v>3497.98</v>
      </c>
      <c r="M51" s="34">
        <v>30005613</v>
      </c>
      <c r="N51" s="2" t="s">
        <v>125</v>
      </c>
      <c r="O51" s="19" t="s">
        <v>408</v>
      </c>
      <c r="P51" s="2" t="s">
        <v>172</v>
      </c>
      <c r="Q51" s="9" t="s">
        <v>176</v>
      </c>
      <c r="R51" s="155">
        <v>30093974</v>
      </c>
      <c r="S51" s="2" t="s">
        <v>128</v>
      </c>
      <c r="T51" s="159">
        <v>44</v>
      </c>
      <c r="U51" s="157">
        <v>15.31</v>
      </c>
      <c r="V51" s="169">
        <f t="shared" si="1"/>
        <v>673.64</v>
      </c>
      <c r="W51" s="11">
        <v>20016490</v>
      </c>
      <c r="X51" s="2" t="s">
        <v>110</v>
      </c>
      <c r="Y51" s="3">
        <v>4</v>
      </c>
      <c r="Z51" s="3">
        <v>2</v>
      </c>
      <c r="AA51" s="27">
        <f t="shared" si="2"/>
        <v>8</v>
      </c>
      <c r="AB51" s="75" t="s">
        <v>111</v>
      </c>
      <c r="AC51" s="2">
        <v>5</v>
      </c>
      <c r="AD51" s="2" t="s">
        <v>324</v>
      </c>
      <c r="AE51" s="28">
        <v>1450</v>
      </c>
      <c r="AF51" s="106" t="s">
        <v>112</v>
      </c>
      <c r="AG51" s="112" t="s">
        <v>1258</v>
      </c>
      <c r="AH51" s="106" t="s">
        <v>112</v>
      </c>
      <c r="AI51" s="27" t="s">
        <v>1270</v>
      </c>
      <c r="AJ51" s="39">
        <v>64</v>
      </c>
      <c r="AK51" s="27">
        <f t="shared" si="6"/>
        <v>71.680000000000007</v>
      </c>
      <c r="AL51" s="10"/>
    </row>
    <row r="52" spans="1:40" x14ac:dyDescent="0.25">
      <c r="A52" s="3">
        <v>1</v>
      </c>
      <c r="B52" s="3" t="s">
        <v>82</v>
      </c>
      <c r="C52" s="3" t="s">
        <v>83</v>
      </c>
      <c r="D52" s="3" t="s">
        <v>318</v>
      </c>
      <c r="E52" s="23" t="s">
        <v>288</v>
      </c>
      <c r="F52" s="34">
        <v>20016042</v>
      </c>
      <c r="G52" s="44" t="s">
        <v>334</v>
      </c>
      <c r="H52" s="3" t="s">
        <v>409</v>
      </c>
      <c r="I52" s="3" t="s">
        <v>84</v>
      </c>
      <c r="J52" s="27">
        <v>58</v>
      </c>
      <c r="K52" s="70">
        <v>60.31</v>
      </c>
      <c r="L52" s="71">
        <f t="shared" si="5"/>
        <v>3497.98</v>
      </c>
      <c r="M52" s="34">
        <v>30005613</v>
      </c>
      <c r="N52" s="2" t="s">
        <v>125</v>
      </c>
      <c r="O52" s="19" t="s">
        <v>410</v>
      </c>
      <c r="P52" s="2" t="s">
        <v>173</v>
      </c>
      <c r="Q52" s="9" t="s">
        <v>176</v>
      </c>
      <c r="R52" s="155">
        <v>30093974</v>
      </c>
      <c r="S52" s="2" t="s">
        <v>128</v>
      </c>
      <c r="T52" s="159">
        <v>44</v>
      </c>
      <c r="U52" s="157">
        <v>15.31</v>
      </c>
      <c r="V52" s="169">
        <f t="shared" si="1"/>
        <v>673.64</v>
      </c>
      <c r="W52" s="11">
        <v>20016490</v>
      </c>
      <c r="X52" s="2" t="s">
        <v>110</v>
      </c>
      <c r="Y52" s="3">
        <v>4</v>
      </c>
      <c r="Z52" s="3">
        <v>2</v>
      </c>
      <c r="AA52" s="27">
        <f t="shared" si="2"/>
        <v>8</v>
      </c>
      <c r="AB52" s="75" t="s">
        <v>111</v>
      </c>
      <c r="AC52" s="2">
        <v>5</v>
      </c>
      <c r="AD52" s="2" t="s">
        <v>324</v>
      </c>
      <c r="AE52" s="28">
        <v>1450</v>
      </c>
      <c r="AF52" s="106" t="s">
        <v>112</v>
      </c>
      <c r="AG52" s="112" t="s">
        <v>1259</v>
      </c>
      <c r="AH52" s="106" t="s">
        <v>112</v>
      </c>
      <c r="AI52" s="27" t="s">
        <v>1270</v>
      </c>
      <c r="AJ52" s="39">
        <v>63</v>
      </c>
      <c r="AK52" s="27">
        <f t="shared" si="6"/>
        <v>70.56</v>
      </c>
      <c r="AL52" s="10"/>
    </row>
    <row r="53" spans="1:40" x14ac:dyDescent="0.25">
      <c r="A53" s="3">
        <v>1</v>
      </c>
      <c r="B53" s="3" t="s">
        <v>85</v>
      </c>
      <c r="C53" s="3" t="s">
        <v>86</v>
      </c>
      <c r="D53" s="3" t="s">
        <v>318</v>
      </c>
      <c r="E53" s="23" t="s">
        <v>288</v>
      </c>
      <c r="F53" s="34">
        <v>20002899</v>
      </c>
      <c r="G53" s="44" t="s">
        <v>334</v>
      </c>
      <c r="H53" s="3" t="s">
        <v>411</v>
      </c>
      <c r="I53" s="3" t="s">
        <v>87</v>
      </c>
      <c r="J53" s="27">
        <v>58</v>
      </c>
      <c r="K53" s="70">
        <v>60.31</v>
      </c>
      <c r="L53" s="71">
        <f t="shared" ref="L53:L113" si="7">J53*K53</f>
        <v>3497.98</v>
      </c>
      <c r="M53" s="34">
        <v>30005613</v>
      </c>
      <c r="N53" s="2" t="s">
        <v>125</v>
      </c>
      <c r="O53" s="19" t="s">
        <v>412</v>
      </c>
      <c r="P53" s="2" t="s">
        <v>174</v>
      </c>
      <c r="Q53" s="9" t="s">
        <v>176</v>
      </c>
      <c r="R53" s="155">
        <v>30093974</v>
      </c>
      <c r="S53" s="2" t="s">
        <v>128</v>
      </c>
      <c r="T53" s="159">
        <v>44</v>
      </c>
      <c r="U53" s="157">
        <v>15.31</v>
      </c>
      <c r="V53" s="169">
        <f t="shared" si="1"/>
        <v>673.64</v>
      </c>
      <c r="W53" s="11">
        <v>20016490</v>
      </c>
      <c r="X53" s="2" t="s">
        <v>110</v>
      </c>
      <c r="Y53" s="3">
        <v>4</v>
      </c>
      <c r="Z53" s="3">
        <v>2</v>
      </c>
      <c r="AA53" s="27">
        <f t="shared" si="2"/>
        <v>8</v>
      </c>
      <c r="AB53" s="75" t="s">
        <v>111</v>
      </c>
      <c r="AC53" s="2">
        <v>5</v>
      </c>
      <c r="AD53" s="2" t="s">
        <v>324</v>
      </c>
      <c r="AE53" s="28">
        <v>1450</v>
      </c>
      <c r="AF53" s="106" t="s">
        <v>112</v>
      </c>
      <c r="AG53" s="112" t="s">
        <v>1260</v>
      </c>
      <c r="AH53" s="106" t="s">
        <v>112</v>
      </c>
      <c r="AI53" s="27" t="s">
        <v>1270</v>
      </c>
      <c r="AJ53" s="39">
        <v>66</v>
      </c>
      <c r="AK53" s="27">
        <f t="shared" ref="AK53:AK59" si="8">AJ53+AJ53*12%</f>
        <v>73.92</v>
      </c>
      <c r="AL53" s="10"/>
    </row>
    <row r="54" spans="1:40" x14ac:dyDescent="0.25">
      <c r="A54" s="3">
        <v>1</v>
      </c>
      <c r="B54" s="3" t="s">
        <v>88</v>
      </c>
      <c r="C54" s="3" t="s">
        <v>89</v>
      </c>
      <c r="D54" s="3" t="s">
        <v>318</v>
      </c>
      <c r="E54" s="23" t="s">
        <v>288</v>
      </c>
      <c r="F54" s="34">
        <v>20016042</v>
      </c>
      <c r="G54" s="44" t="s">
        <v>334</v>
      </c>
      <c r="H54" s="3" t="s">
        <v>413</v>
      </c>
      <c r="I54" s="3" t="s">
        <v>90</v>
      </c>
      <c r="J54" s="27">
        <v>58</v>
      </c>
      <c r="K54" s="70">
        <v>60.31</v>
      </c>
      <c r="L54" s="71">
        <f t="shared" si="7"/>
        <v>3497.98</v>
      </c>
      <c r="M54" s="34">
        <v>30005613</v>
      </c>
      <c r="N54" s="2" t="s">
        <v>125</v>
      </c>
      <c r="O54" s="19" t="s">
        <v>414</v>
      </c>
      <c r="P54" s="2" t="s">
        <v>175</v>
      </c>
      <c r="Q54" s="9" t="s">
        <v>176</v>
      </c>
      <c r="R54" s="155">
        <v>30093974</v>
      </c>
      <c r="S54" s="2" t="s">
        <v>128</v>
      </c>
      <c r="T54" s="159">
        <v>44</v>
      </c>
      <c r="U54" s="157">
        <v>15.31</v>
      </c>
      <c r="V54" s="169">
        <f t="shared" si="1"/>
        <v>673.64</v>
      </c>
      <c r="W54" s="11">
        <v>20016490</v>
      </c>
      <c r="X54" s="2" t="s">
        <v>110</v>
      </c>
      <c r="Y54" s="3">
        <v>4</v>
      </c>
      <c r="Z54" s="3">
        <v>2</v>
      </c>
      <c r="AA54" s="27">
        <f t="shared" si="2"/>
        <v>8</v>
      </c>
      <c r="AB54" s="75" t="s">
        <v>111</v>
      </c>
      <c r="AC54" s="2">
        <v>5</v>
      </c>
      <c r="AD54" s="2" t="s">
        <v>324</v>
      </c>
      <c r="AE54" s="28">
        <v>1450</v>
      </c>
      <c r="AF54" s="106" t="s">
        <v>112</v>
      </c>
      <c r="AG54" s="112" t="s">
        <v>1261</v>
      </c>
      <c r="AH54" s="106" t="s">
        <v>112</v>
      </c>
      <c r="AI54" s="27" t="s">
        <v>1270</v>
      </c>
      <c r="AJ54" s="39">
        <v>69</v>
      </c>
      <c r="AK54" s="27">
        <f t="shared" si="8"/>
        <v>77.28</v>
      </c>
      <c r="AL54" s="10"/>
    </row>
    <row r="55" spans="1:40" x14ac:dyDescent="0.25">
      <c r="A55" s="3">
        <v>1</v>
      </c>
      <c r="B55" s="3" t="s">
        <v>91</v>
      </c>
      <c r="C55" s="3" t="s">
        <v>92</v>
      </c>
      <c r="D55" s="3" t="s">
        <v>318</v>
      </c>
      <c r="E55" s="23" t="s">
        <v>288</v>
      </c>
      <c r="F55" s="34">
        <v>20002899</v>
      </c>
      <c r="G55" s="44" t="s">
        <v>334</v>
      </c>
      <c r="H55" s="3" t="s">
        <v>415</v>
      </c>
      <c r="I55" s="3" t="s">
        <v>93</v>
      </c>
      <c r="J55" s="27">
        <v>58</v>
      </c>
      <c r="K55" s="70">
        <v>60.31</v>
      </c>
      <c r="L55" s="71">
        <f t="shared" si="7"/>
        <v>3497.98</v>
      </c>
      <c r="M55" s="34">
        <v>30005613</v>
      </c>
      <c r="N55" s="2" t="s">
        <v>125</v>
      </c>
      <c r="O55" s="19" t="s">
        <v>416</v>
      </c>
      <c r="P55" s="2" t="s">
        <v>162</v>
      </c>
      <c r="Q55" s="9" t="s">
        <v>176</v>
      </c>
      <c r="R55" s="155">
        <v>30093974</v>
      </c>
      <c r="S55" s="2" t="s">
        <v>128</v>
      </c>
      <c r="T55" s="159">
        <v>44</v>
      </c>
      <c r="U55" s="157">
        <v>15.31</v>
      </c>
      <c r="V55" s="169">
        <f t="shared" si="1"/>
        <v>673.64</v>
      </c>
      <c r="W55" s="11">
        <v>20016490</v>
      </c>
      <c r="X55" s="2" t="s">
        <v>110</v>
      </c>
      <c r="Y55" s="3">
        <v>4</v>
      </c>
      <c r="Z55" s="3">
        <v>2</v>
      </c>
      <c r="AA55" s="27">
        <f t="shared" si="2"/>
        <v>8</v>
      </c>
      <c r="AB55" s="75" t="s">
        <v>111</v>
      </c>
      <c r="AC55" s="2">
        <v>5</v>
      </c>
      <c r="AD55" s="2" t="s">
        <v>324</v>
      </c>
      <c r="AE55" s="28">
        <v>1450</v>
      </c>
      <c r="AF55" s="106" t="s">
        <v>112</v>
      </c>
      <c r="AG55" s="112" t="s">
        <v>1262</v>
      </c>
      <c r="AH55" s="106" t="s">
        <v>112</v>
      </c>
      <c r="AI55" s="27" t="s">
        <v>1270</v>
      </c>
      <c r="AJ55" s="39">
        <v>65</v>
      </c>
      <c r="AK55" s="27">
        <f t="shared" si="8"/>
        <v>72.8</v>
      </c>
      <c r="AL55" s="10"/>
      <c r="AN55" s="77"/>
    </row>
    <row r="56" spans="1:40" x14ac:dyDescent="0.25">
      <c r="A56" s="3">
        <v>1</v>
      </c>
      <c r="B56" s="3" t="s">
        <v>94</v>
      </c>
      <c r="C56" s="3" t="s">
        <v>95</v>
      </c>
      <c r="D56" s="15" t="s">
        <v>318</v>
      </c>
      <c r="E56" s="23" t="s">
        <v>288</v>
      </c>
      <c r="F56" s="34">
        <v>20016373</v>
      </c>
      <c r="G56" s="43" t="s">
        <v>111</v>
      </c>
      <c r="H56" s="3" t="s">
        <v>417</v>
      </c>
      <c r="I56" s="3" t="s">
        <v>96</v>
      </c>
      <c r="J56" s="27">
        <v>53</v>
      </c>
      <c r="K56" s="70">
        <v>17.02</v>
      </c>
      <c r="L56" s="71">
        <f t="shared" si="7"/>
        <v>902.06</v>
      </c>
      <c r="M56" s="34">
        <v>30005613</v>
      </c>
      <c r="N56" s="2" t="s">
        <v>125</v>
      </c>
      <c r="O56" s="19" t="s">
        <v>418</v>
      </c>
      <c r="P56" s="3" t="s">
        <v>163</v>
      </c>
      <c r="Q56" s="9" t="s">
        <v>176</v>
      </c>
      <c r="R56" s="155">
        <v>30093974</v>
      </c>
      <c r="S56" s="2" t="s">
        <v>128</v>
      </c>
      <c r="T56" s="156">
        <v>77</v>
      </c>
      <c r="U56" s="157">
        <v>15.31</v>
      </c>
      <c r="V56" s="169">
        <f t="shared" si="1"/>
        <v>1178.8700000000001</v>
      </c>
      <c r="W56" s="11">
        <v>20016490</v>
      </c>
      <c r="X56" s="2" t="s">
        <v>110</v>
      </c>
      <c r="Y56" s="3">
        <v>4</v>
      </c>
      <c r="Z56" s="3">
        <v>2</v>
      </c>
      <c r="AA56" s="27">
        <f t="shared" si="2"/>
        <v>8</v>
      </c>
      <c r="AB56" s="33" t="s">
        <v>109</v>
      </c>
      <c r="AC56" s="2" t="s">
        <v>109</v>
      </c>
      <c r="AD56" s="2" t="s">
        <v>109</v>
      </c>
      <c r="AE56" s="27" t="s">
        <v>109</v>
      </c>
      <c r="AF56" s="106" t="s">
        <v>112</v>
      </c>
      <c r="AG56" s="112" t="s">
        <v>1263</v>
      </c>
      <c r="AH56" s="106" t="s">
        <v>112</v>
      </c>
      <c r="AI56" s="27" t="s">
        <v>1270</v>
      </c>
      <c r="AJ56" s="39">
        <v>71</v>
      </c>
      <c r="AK56" s="27">
        <f t="shared" si="8"/>
        <v>79.52</v>
      </c>
      <c r="AL56" s="18"/>
    </row>
    <row r="57" spans="1:40" x14ac:dyDescent="0.25">
      <c r="A57" s="3">
        <v>1</v>
      </c>
      <c r="B57" s="3" t="s">
        <v>97</v>
      </c>
      <c r="C57" s="3" t="s">
        <v>98</v>
      </c>
      <c r="D57" s="3" t="s">
        <v>318</v>
      </c>
      <c r="E57" s="23" t="s">
        <v>288</v>
      </c>
      <c r="F57" s="34">
        <v>20002899</v>
      </c>
      <c r="G57" s="44" t="s">
        <v>334</v>
      </c>
      <c r="H57" s="3" t="s">
        <v>419</v>
      </c>
      <c r="I57" s="3" t="s">
        <v>99</v>
      </c>
      <c r="J57" s="27">
        <v>52</v>
      </c>
      <c r="K57" s="70">
        <v>60.31</v>
      </c>
      <c r="L57" s="71">
        <f t="shared" si="7"/>
        <v>3136.12</v>
      </c>
      <c r="M57" s="34">
        <v>30005613</v>
      </c>
      <c r="N57" s="2" t="s">
        <v>125</v>
      </c>
      <c r="O57" s="19" t="s">
        <v>420</v>
      </c>
      <c r="P57" s="3" t="s">
        <v>164</v>
      </c>
      <c r="Q57" s="9" t="s">
        <v>176</v>
      </c>
      <c r="R57" s="155">
        <v>30093974</v>
      </c>
      <c r="S57" s="2" t="s">
        <v>128</v>
      </c>
      <c r="T57" s="156">
        <v>52</v>
      </c>
      <c r="U57" s="157">
        <v>15.31</v>
      </c>
      <c r="V57" s="169">
        <f t="shared" si="1"/>
        <v>796.12</v>
      </c>
      <c r="W57" s="11">
        <v>20016490</v>
      </c>
      <c r="X57" s="2" t="s">
        <v>110</v>
      </c>
      <c r="Y57" s="3">
        <v>4</v>
      </c>
      <c r="Z57" s="3">
        <v>2</v>
      </c>
      <c r="AA57" s="27">
        <f t="shared" si="2"/>
        <v>8</v>
      </c>
      <c r="AB57" s="33" t="s">
        <v>109</v>
      </c>
      <c r="AC57" s="2" t="s">
        <v>109</v>
      </c>
      <c r="AD57" s="2" t="s">
        <v>109</v>
      </c>
      <c r="AE57" s="27" t="s">
        <v>109</v>
      </c>
      <c r="AF57" s="106" t="s">
        <v>112</v>
      </c>
      <c r="AG57" s="112" t="s">
        <v>1264</v>
      </c>
      <c r="AH57" s="106" t="s">
        <v>112</v>
      </c>
      <c r="AI57" s="27" t="s">
        <v>1270</v>
      </c>
      <c r="AJ57" s="39">
        <v>70</v>
      </c>
      <c r="AK57" s="27">
        <f t="shared" si="8"/>
        <v>78.400000000000006</v>
      </c>
      <c r="AL57" s="11"/>
    </row>
    <row r="58" spans="1:40" x14ac:dyDescent="0.25">
      <c r="A58" s="3">
        <v>1</v>
      </c>
      <c r="B58" s="3" t="s">
        <v>182</v>
      </c>
      <c r="C58" s="3" t="s">
        <v>178</v>
      </c>
      <c r="D58" s="3" t="s">
        <v>318</v>
      </c>
      <c r="E58" s="23" t="s">
        <v>288</v>
      </c>
      <c r="F58" s="34">
        <v>20002899</v>
      </c>
      <c r="G58" s="44" t="s">
        <v>334</v>
      </c>
      <c r="H58" s="3" t="s">
        <v>421</v>
      </c>
      <c r="I58" s="3" t="s">
        <v>178</v>
      </c>
      <c r="J58" s="27">
        <v>32</v>
      </c>
      <c r="K58" s="70">
        <v>60.31</v>
      </c>
      <c r="L58" s="71">
        <f t="shared" si="7"/>
        <v>1929.92</v>
      </c>
      <c r="M58" s="34">
        <v>30005613</v>
      </c>
      <c r="N58" s="2" t="s">
        <v>125</v>
      </c>
      <c r="O58" s="3" t="s">
        <v>423</v>
      </c>
      <c r="P58" s="3" t="s">
        <v>178</v>
      </c>
      <c r="Q58" s="9" t="s">
        <v>123</v>
      </c>
      <c r="R58" s="157" t="s">
        <v>109</v>
      </c>
      <c r="S58" s="2" t="s">
        <v>109</v>
      </c>
      <c r="T58" s="156" t="s">
        <v>109</v>
      </c>
      <c r="U58" s="157"/>
      <c r="V58" s="169"/>
      <c r="W58" s="11">
        <v>20016490</v>
      </c>
      <c r="X58" s="2" t="s">
        <v>110</v>
      </c>
      <c r="Y58" s="3">
        <v>4</v>
      </c>
      <c r="Z58" s="3">
        <v>2</v>
      </c>
      <c r="AA58" s="27">
        <f t="shared" si="2"/>
        <v>8</v>
      </c>
      <c r="AB58" s="75" t="s">
        <v>111</v>
      </c>
      <c r="AC58" s="2">
        <v>5</v>
      </c>
      <c r="AD58" s="2" t="s">
        <v>324</v>
      </c>
      <c r="AE58" s="27">
        <v>935</v>
      </c>
      <c r="AF58" s="106" t="s">
        <v>112</v>
      </c>
      <c r="AG58" s="112" t="s">
        <v>1265</v>
      </c>
      <c r="AH58" s="106" t="s">
        <v>112</v>
      </c>
      <c r="AI58" s="27" t="s">
        <v>1270</v>
      </c>
      <c r="AJ58" s="33">
        <v>67</v>
      </c>
      <c r="AK58" s="27">
        <f t="shared" si="8"/>
        <v>75.039999999999992</v>
      </c>
      <c r="AL58" s="11"/>
    </row>
    <row r="59" spans="1:40" x14ac:dyDescent="0.25">
      <c r="A59" s="3">
        <v>1</v>
      </c>
      <c r="B59" s="3" t="s">
        <v>183</v>
      </c>
      <c r="C59" s="3" t="s">
        <v>179</v>
      </c>
      <c r="D59" s="3" t="s">
        <v>318</v>
      </c>
      <c r="E59" s="23" t="s">
        <v>288</v>
      </c>
      <c r="F59" s="34">
        <v>20002899</v>
      </c>
      <c r="G59" s="44" t="s">
        <v>334</v>
      </c>
      <c r="H59" s="3" t="s">
        <v>422</v>
      </c>
      <c r="I59" s="3" t="s">
        <v>179</v>
      </c>
      <c r="J59" s="27">
        <v>32</v>
      </c>
      <c r="K59" s="70">
        <v>60.31</v>
      </c>
      <c r="L59" s="71">
        <f t="shared" si="7"/>
        <v>1929.92</v>
      </c>
      <c r="M59" s="34">
        <v>30005613</v>
      </c>
      <c r="N59" s="2" t="s">
        <v>125</v>
      </c>
      <c r="O59" s="3" t="s">
        <v>424</v>
      </c>
      <c r="P59" s="3" t="s">
        <v>179</v>
      </c>
      <c r="Q59" s="9" t="s">
        <v>123</v>
      </c>
      <c r="R59" s="157" t="s">
        <v>109</v>
      </c>
      <c r="S59" s="2" t="s">
        <v>109</v>
      </c>
      <c r="T59" s="156" t="s">
        <v>109</v>
      </c>
      <c r="U59" s="157"/>
      <c r="V59" s="169"/>
      <c r="W59" s="11">
        <v>20016490</v>
      </c>
      <c r="X59" s="2" t="s">
        <v>110</v>
      </c>
      <c r="Y59" s="3">
        <v>4</v>
      </c>
      <c r="Z59" s="3">
        <v>2</v>
      </c>
      <c r="AA59" s="27">
        <f t="shared" si="2"/>
        <v>8</v>
      </c>
      <c r="AB59" s="75" t="s">
        <v>111</v>
      </c>
      <c r="AC59" s="2">
        <v>5</v>
      </c>
      <c r="AD59" s="2" t="s">
        <v>324</v>
      </c>
      <c r="AE59" s="27">
        <v>935</v>
      </c>
      <c r="AF59" s="106" t="s">
        <v>112</v>
      </c>
      <c r="AG59" s="112" t="s">
        <v>1266</v>
      </c>
      <c r="AH59" s="106" t="s">
        <v>112</v>
      </c>
      <c r="AI59" s="27" t="s">
        <v>1270</v>
      </c>
      <c r="AJ59" s="33">
        <v>69</v>
      </c>
      <c r="AK59" s="27">
        <f t="shared" si="8"/>
        <v>77.28</v>
      </c>
      <c r="AL59" s="52"/>
    </row>
    <row r="60" spans="1:40" x14ac:dyDescent="0.25">
      <c r="A60" s="3">
        <v>3</v>
      </c>
      <c r="B60" s="3" t="s">
        <v>192</v>
      </c>
      <c r="C60" s="3" t="s">
        <v>191</v>
      </c>
      <c r="D60" s="3" t="s">
        <v>318</v>
      </c>
      <c r="E60" s="23" t="s">
        <v>288</v>
      </c>
      <c r="F60" s="34">
        <v>20016373</v>
      </c>
      <c r="G60" s="43" t="s">
        <v>111</v>
      </c>
      <c r="H60" s="3" t="s">
        <v>475</v>
      </c>
      <c r="I60" s="3" t="s">
        <v>193</v>
      </c>
      <c r="J60" s="27">
        <v>10</v>
      </c>
      <c r="K60" s="70">
        <v>17.02</v>
      </c>
      <c r="L60" s="71">
        <f t="shared" si="7"/>
        <v>170.2</v>
      </c>
      <c r="M60" s="34">
        <v>30005613</v>
      </c>
      <c r="N60" s="19" t="s">
        <v>125</v>
      </c>
      <c r="O60" s="19" t="s">
        <v>476</v>
      </c>
      <c r="P60" s="2" t="s">
        <v>194</v>
      </c>
      <c r="Q60" s="9" t="s">
        <v>109</v>
      </c>
      <c r="R60" s="157" t="s">
        <v>109</v>
      </c>
      <c r="S60" s="2" t="s">
        <v>109</v>
      </c>
      <c r="T60" s="156" t="s">
        <v>109</v>
      </c>
      <c r="U60" s="157"/>
      <c r="V60" s="169"/>
      <c r="W60" s="11">
        <v>20016490</v>
      </c>
      <c r="X60" s="2" t="s">
        <v>110</v>
      </c>
      <c r="Y60" s="3">
        <v>4</v>
      </c>
      <c r="Z60" s="3">
        <v>2</v>
      </c>
      <c r="AA60" s="27">
        <f t="shared" si="2"/>
        <v>8</v>
      </c>
      <c r="AB60" s="33" t="s">
        <v>109</v>
      </c>
      <c r="AC60" s="3" t="s">
        <v>109</v>
      </c>
      <c r="AD60" s="2" t="s">
        <v>109</v>
      </c>
      <c r="AE60" s="27" t="s">
        <v>109</v>
      </c>
      <c r="AF60" s="107" t="s">
        <v>109</v>
      </c>
      <c r="AG60" s="2"/>
      <c r="AH60" s="95"/>
      <c r="AI60" s="27"/>
      <c r="AJ60" s="33" t="s">
        <v>109</v>
      </c>
      <c r="AK60" s="27" t="s">
        <v>109</v>
      </c>
      <c r="AL60" s="24"/>
    </row>
    <row r="61" spans="1:40" ht="16.5" x14ac:dyDescent="0.25">
      <c r="A61" s="3">
        <v>3</v>
      </c>
      <c r="B61" s="21" t="s">
        <v>203</v>
      </c>
      <c r="C61" s="3" t="s">
        <v>202</v>
      </c>
      <c r="D61" s="3" t="s">
        <v>318</v>
      </c>
      <c r="E61" s="23" t="s">
        <v>288</v>
      </c>
      <c r="F61" s="34">
        <v>20002899</v>
      </c>
      <c r="G61" s="43" t="s">
        <v>111</v>
      </c>
      <c r="H61" s="21" t="s">
        <v>477</v>
      </c>
      <c r="I61" s="21" t="s">
        <v>202</v>
      </c>
      <c r="J61" s="27">
        <v>23</v>
      </c>
      <c r="K61" s="70">
        <v>60.31</v>
      </c>
      <c r="L61" s="71">
        <f t="shared" si="7"/>
        <v>1387.13</v>
      </c>
      <c r="M61" s="34" t="s">
        <v>109</v>
      </c>
      <c r="N61" s="3" t="s">
        <v>109</v>
      </c>
      <c r="O61" s="21" t="s">
        <v>478</v>
      </c>
      <c r="P61" s="21" t="s">
        <v>202</v>
      </c>
      <c r="Q61" s="9" t="s">
        <v>109</v>
      </c>
      <c r="R61" s="157" t="s">
        <v>109</v>
      </c>
      <c r="S61" s="2" t="s">
        <v>109</v>
      </c>
      <c r="T61" s="156" t="s">
        <v>109</v>
      </c>
      <c r="U61" s="157"/>
      <c r="V61" s="169"/>
      <c r="W61" s="11">
        <v>20016490</v>
      </c>
      <c r="X61" s="2" t="s">
        <v>110</v>
      </c>
      <c r="Y61" s="3">
        <v>4</v>
      </c>
      <c r="Z61" s="3">
        <v>2</v>
      </c>
      <c r="AA61" s="27">
        <f t="shared" si="2"/>
        <v>8</v>
      </c>
      <c r="AB61" s="37" t="s">
        <v>109</v>
      </c>
      <c r="AC61" s="22" t="s">
        <v>109</v>
      </c>
      <c r="AD61" s="22" t="s">
        <v>109</v>
      </c>
      <c r="AE61" s="30" t="s">
        <v>109</v>
      </c>
      <c r="AF61" s="105" t="s">
        <v>129</v>
      </c>
      <c r="AG61" s="2">
        <v>31</v>
      </c>
      <c r="AH61" s="105" t="s">
        <v>129</v>
      </c>
      <c r="AI61" s="27" t="s">
        <v>1270</v>
      </c>
      <c r="AJ61" s="37" t="s">
        <v>109</v>
      </c>
      <c r="AK61" s="30" t="s">
        <v>109</v>
      </c>
      <c r="AL61" s="24"/>
    </row>
    <row r="62" spans="1:40" ht="16.5" x14ac:dyDescent="0.25">
      <c r="A62" s="3">
        <v>3</v>
      </c>
      <c r="B62" s="21" t="s">
        <v>205</v>
      </c>
      <c r="C62" s="3" t="s">
        <v>204</v>
      </c>
      <c r="D62" s="21" t="s">
        <v>318</v>
      </c>
      <c r="E62" s="23" t="s">
        <v>288</v>
      </c>
      <c r="F62" s="34">
        <v>20002899</v>
      </c>
      <c r="G62" s="43" t="s">
        <v>111</v>
      </c>
      <c r="H62" s="21" t="s">
        <v>479</v>
      </c>
      <c r="I62" s="3" t="s">
        <v>204</v>
      </c>
      <c r="J62" s="38">
        <v>23</v>
      </c>
      <c r="K62" s="70">
        <v>60.31</v>
      </c>
      <c r="L62" s="71">
        <f t="shared" si="7"/>
        <v>1387.13</v>
      </c>
      <c r="M62" s="37" t="s">
        <v>109</v>
      </c>
      <c r="N62" s="22" t="s">
        <v>109</v>
      </c>
      <c r="O62" s="21" t="s">
        <v>480</v>
      </c>
      <c r="P62" s="3" t="s">
        <v>204</v>
      </c>
      <c r="Q62" s="146" t="s">
        <v>109</v>
      </c>
      <c r="R62" s="157" t="s">
        <v>109</v>
      </c>
      <c r="S62" s="2" t="s">
        <v>109</v>
      </c>
      <c r="T62" s="156" t="s">
        <v>109</v>
      </c>
      <c r="U62" s="157"/>
      <c r="V62" s="169"/>
      <c r="W62" s="11">
        <v>20016490</v>
      </c>
      <c r="X62" s="2" t="s">
        <v>110</v>
      </c>
      <c r="Y62" s="3">
        <v>10</v>
      </c>
      <c r="Z62" s="3">
        <v>2</v>
      </c>
      <c r="AA62" s="27">
        <f t="shared" si="2"/>
        <v>20</v>
      </c>
      <c r="AB62" s="75" t="s">
        <v>111</v>
      </c>
      <c r="AC62" s="3">
        <v>51</v>
      </c>
      <c r="AD62" s="2" t="s">
        <v>109</v>
      </c>
      <c r="AE62" s="27" t="s">
        <v>109</v>
      </c>
      <c r="AF62" s="105" t="s">
        <v>129</v>
      </c>
      <c r="AG62" s="3">
        <v>32</v>
      </c>
      <c r="AH62" s="105" t="s">
        <v>129</v>
      </c>
      <c r="AI62" s="27" t="s">
        <v>1270</v>
      </c>
      <c r="AJ62" s="37" t="s">
        <v>109</v>
      </c>
      <c r="AK62" s="30" t="s">
        <v>109</v>
      </c>
      <c r="AL62" s="24"/>
    </row>
    <row r="63" spans="1:40" x14ac:dyDescent="0.25">
      <c r="A63" s="3">
        <v>3</v>
      </c>
      <c r="B63" s="21" t="s">
        <v>207</v>
      </c>
      <c r="C63" s="3" t="s">
        <v>206</v>
      </c>
      <c r="D63" s="21" t="s">
        <v>318</v>
      </c>
      <c r="E63" s="23" t="s">
        <v>34</v>
      </c>
      <c r="F63" s="34">
        <v>20002899</v>
      </c>
      <c r="G63" s="43" t="s">
        <v>111</v>
      </c>
      <c r="H63" s="3" t="s">
        <v>481</v>
      </c>
      <c r="I63" s="3" t="s">
        <v>208</v>
      </c>
      <c r="J63" s="38">
        <v>10</v>
      </c>
      <c r="K63" s="70">
        <v>60.31</v>
      </c>
      <c r="L63" s="71">
        <f t="shared" si="7"/>
        <v>603.1</v>
      </c>
      <c r="M63" s="33" t="s">
        <v>109</v>
      </c>
      <c r="N63" s="2" t="s">
        <v>109</v>
      </c>
      <c r="O63" s="19" t="s">
        <v>482</v>
      </c>
      <c r="P63" s="3" t="s">
        <v>209</v>
      </c>
      <c r="Q63" s="144" t="s">
        <v>109</v>
      </c>
      <c r="R63" s="157" t="s">
        <v>109</v>
      </c>
      <c r="S63" s="2" t="s">
        <v>109</v>
      </c>
      <c r="T63" s="156" t="s">
        <v>109</v>
      </c>
      <c r="U63" s="157"/>
      <c r="V63" s="169"/>
      <c r="W63" s="11">
        <v>20016490</v>
      </c>
      <c r="X63" s="2" t="s">
        <v>110</v>
      </c>
      <c r="Y63" s="3">
        <v>4</v>
      </c>
      <c r="Z63" s="3">
        <v>2</v>
      </c>
      <c r="AA63" s="27">
        <f t="shared" si="2"/>
        <v>8</v>
      </c>
      <c r="AB63" s="33" t="s">
        <v>109</v>
      </c>
      <c r="AC63" s="3" t="s">
        <v>109</v>
      </c>
      <c r="AD63" s="2" t="s">
        <v>109</v>
      </c>
      <c r="AE63" s="27" t="s">
        <v>109</v>
      </c>
      <c r="AF63" s="107" t="s">
        <v>109</v>
      </c>
      <c r="AG63" s="2"/>
      <c r="AH63" s="95"/>
      <c r="AI63" s="27"/>
      <c r="AJ63" s="33" t="s">
        <v>109</v>
      </c>
      <c r="AK63" s="27" t="s">
        <v>109</v>
      </c>
      <c r="AL63" s="24"/>
    </row>
    <row r="64" spans="1:40" x14ac:dyDescent="0.25">
      <c r="A64" s="3">
        <v>2</v>
      </c>
      <c r="B64" s="21" t="s">
        <v>211</v>
      </c>
      <c r="C64" s="3" t="s">
        <v>210</v>
      </c>
      <c r="D64" s="3" t="s">
        <v>318</v>
      </c>
      <c r="E64" s="23" t="s">
        <v>288</v>
      </c>
      <c r="F64" s="34">
        <v>20002899</v>
      </c>
      <c r="G64" s="44" t="s">
        <v>334</v>
      </c>
      <c r="H64" s="3" t="s">
        <v>499</v>
      </c>
      <c r="I64" s="21" t="s">
        <v>212</v>
      </c>
      <c r="J64" s="38">
        <v>184</v>
      </c>
      <c r="K64" s="70">
        <v>60.31</v>
      </c>
      <c r="L64" s="71">
        <f t="shared" si="7"/>
        <v>11097.04</v>
      </c>
      <c r="M64" s="34">
        <v>30005613</v>
      </c>
      <c r="N64" s="2" t="s">
        <v>125</v>
      </c>
      <c r="O64" s="19" t="s">
        <v>501</v>
      </c>
      <c r="P64" s="3" t="s">
        <v>215</v>
      </c>
      <c r="Q64" s="150" t="s">
        <v>213</v>
      </c>
      <c r="R64" s="155">
        <v>30093974</v>
      </c>
      <c r="S64" s="2" t="s">
        <v>128</v>
      </c>
      <c r="T64" s="156">
        <v>93</v>
      </c>
      <c r="U64" s="157">
        <v>15.31</v>
      </c>
      <c r="V64" s="169">
        <f t="shared" si="1"/>
        <v>1423.8300000000002</v>
      </c>
      <c r="W64" s="11">
        <v>20016490</v>
      </c>
      <c r="X64" s="2" t="s">
        <v>110</v>
      </c>
      <c r="Y64" s="21">
        <v>9</v>
      </c>
      <c r="Z64" s="3">
        <v>2</v>
      </c>
      <c r="AA64" s="27">
        <f t="shared" si="2"/>
        <v>18</v>
      </c>
      <c r="AB64" s="33" t="s">
        <v>109</v>
      </c>
      <c r="AC64" s="3" t="s">
        <v>109</v>
      </c>
      <c r="AD64" s="2" t="s">
        <v>109</v>
      </c>
      <c r="AE64" s="27" t="s">
        <v>109</v>
      </c>
      <c r="AF64" s="106" t="s">
        <v>112</v>
      </c>
      <c r="AG64" s="3">
        <v>33</v>
      </c>
      <c r="AH64" s="106" t="s">
        <v>112</v>
      </c>
      <c r="AI64" s="27" t="s">
        <v>1270</v>
      </c>
      <c r="AJ64" s="34">
        <v>68</v>
      </c>
      <c r="AK64" s="29">
        <f t="shared" ref="AK64:AK69" si="9">AJ64+AJ64*12%</f>
        <v>76.16</v>
      </c>
      <c r="AL64" s="24"/>
    </row>
    <row r="65" spans="1:38" x14ac:dyDescent="0.25">
      <c r="A65" s="3">
        <v>2</v>
      </c>
      <c r="B65" s="21" t="s">
        <v>211</v>
      </c>
      <c r="C65" s="3" t="s">
        <v>210</v>
      </c>
      <c r="D65" s="3" t="s">
        <v>318</v>
      </c>
      <c r="E65" s="23" t="s">
        <v>288</v>
      </c>
      <c r="F65" s="34">
        <v>20002899</v>
      </c>
      <c r="G65" s="44" t="s">
        <v>334</v>
      </c>
      <c r="H65" s="3" t="s">
        <v>500</v>
      </c>
      <c r="I65" s="21" t="s">
        <v>212</v>
      </c>
      <c r="J65" s="38">
        <v>184</v>
      </c>
      <c r="K65" s="70">
        <v>60.31</v>
      </c>
      <c r="L65" s="71">
        <f t="shared" si="7"/>
        <v>11097.04</v>
      </c>
      <c r="M65" s="34">
        <v>30005613</v>
      </c>
      <c r="N65" s="2" t="s">
        <v>125</v>
      </c>
      <c r="O65" s="19" t="s">
        <v>502</v>
      </c>
      <c r="P65" s="3" t="s">
        <v>503</v>
      </c>
      <c r="Q65" s="150" t="s">
        <v>213</v>
      </c>
      <c r="R65" s="155">
        <v>30093974</v>
      </c>
      <c r="S65" s="2" t="s">
        <v>128</v>
      </c>
      <c r="T65" s="156">
        <v>93</v>
      </c>
      <c r="U65" s="157">
        <v>15.31</v>
      </c>
      <c r="V65" s="169">
        <f t="shared" si="1"/>
        <v>1423.8300000000002</v>
      </c>
      <c r="W65" s="11">
        <v>20016490</v>
      </c>
      <c r="X65" s="2" t="s">
        <v>110</v>
      </c>
      <c r="Y65" s="21">
        <v>9</v>
      </c>
      <c r="Z65" s="3">
        <v>2</v>
      </c>
      <c r="AA65" s="27">
        <f t="shared" si="2"/>
        <v>18</v>
      </c>
      <c r="AB65" s="33" t="s">
        <v>109</v>
      </c>
      <c r="AC65" s="3" t="s">
        <v>109</v>
      </c>
      <c r="AD65" s="2" t="s">
        <v>109</v>
      </c>
      <c r="AE65" s="27" t="s">
        <v>109</v>
      </c>
      <c r="AF65" s="106" t="s">
        <v>112</v>
      </c>
      <c r="AG65" s="3">
        <v>34</v>
      </c>
      <c r="AH65" s="106" t="s">
        <v>112</v>
      </c>
      <c r="AI65" s="27" t="s">
        <v>1270</v>
      </c>
      <c r="AJ65" s="34">
        <v>71</v>
      </c>
      <c r="AK65" s="29">
        <f t="shared" si="9"/>
        <v>79.52</v>
      </c>
      <c r="AL65" s="24"/>
    </row>
    <row r="66" spans="1:38" x14ac:dyDescent="0.25">
      <c r="A66" s="3">
        <v>2</v>
      </c>
      <c r="B66" s="21" t="s">
        <v>216</v>
      </c>
      <c r="C66" s="3" t="s">
        <v>214</v>
      </c>
      <c r="D66" s="21" t="s">
        <v>217</v>
      </c>
      <c r="E66" s="23" t="s">
        <v>288</v>
      </c>
      <c r="F66" s="34">
        <v>20002899</v>
      </c>
      <c r="G66" s="44" t="s">
        <v>334</v>
      </c>
      <c r="H66" s="3" t="s">
        <v>504</v>
      </c>
      <c r="I66" s="21" t="s">
        <v>219</v>
      </c>
      <c r="J66" s="38">
        <v>184</v>
      </c>
      <c r="K66" s="70">
        <v>60.31</v>
      </c>
      <c r="L66" s="71">
        <f t="shared" si="7"/>
        <v>11097.04</v>
      </c>
      <c r="M66" s="34">
        <v>30005613</v>
      </c>
      <c r="N66" s="2" t="s">
        <v>125</v>
      </c>
      <c r="O66" s="19" t="s">
        <v>506</v>
      </c>
      <c r="P66" s="21" t="s">
        <v>220</v>
      </c>
      <c r="Q66" s="150" t="s">
        <v>213</v>
      </c>
      <c r="R66" s="155">
        <v>30093974</v>
      </c>
      <c r="S66" s="2" t="s">
        <v>128</v>
      </c>
      <c r="T66" s="156">
        <v>105</v>
      </c>
      <c r="U66" s="157">
        <v>15.31</v>
      </c>
      <c r="V66" s="169">
        <f t="shared" si="1"/>
        <v>1607.55</v>
      </c>
      <c r="W66" s="11">
        <v>20016490</v>
      </c>
      <c r="X66" s="2" t="s">
        <v>110</v>
      </c>
      <c r="Y66" s="21">
        <v>9</v>
      </c>
      <c r="Z66" s="3">
        <v>2</v>
      </c>
      <c r="AA66" s="27">
        <f t="shared" si="2"/>
        <v>18</v>
      </c>
      <c r="AB66" s="33" t="s">
        <v>109</v>
      </c>
      <c r="AC66" s="3" t="s">
        <v>109</v>
      </c>
      <c r="AD66" s="2" t="s">
        <v>109</v>
      </c>
      <c r="AE66" s="27" t="s">
        <v>109</v>
      </c>
      <c r="AF66" s="106" t="s">
        <v>112</v>
      </c>
      <c r="AG66" s="3">
        <v>35</v>
      </c>
      <c r="AH66" s="106" t="s">
        <v>112</v>
      </c>
      <c r="AI66" s="27" t="s">
        <v>1270</v>
      </c>
      <c r="AJ66" s="34">
        <v>70</v>
      </c>
      <c r="AK66" s="29">
        <f t="shared" si="9"/>
        <v>78.400000000000006</v>
      </c>
      <c r="AL66" s="24"/>
    </row>
    <row r="67" spans="1:38" x14ac:dyDescent="0.25">
      <c r="A67" s="3">
        <v>2</v>
      </c>
      <c r="B67" s="21" t="s">
        <v>216</v>
      </c>
      <c r="C67" s="3" t="s">
        <v>214</v>
      </c>
      <c r="D67" s="21" t="s">
        <v>218</v>
      </c>
      <c r="E67" s="23" t="s">
        <v>288</v>
      </c>
      <c r="F67" s="34">
        <v>20002899</v>
      </c>
      <c r="G67" s="44" t="s">
        <v>334</v>
      </c>
      <c r="H67" s="3" t="s">
        <v>505</v>
      </c>
      <c r="I67" s="21" t="s">
        <v>219</v>
      </c>
      <c r="J67" s="38">
        <v>184</v>
      </c>
      <c r="K67" s="70">
        <v>60.31</v>
      </c>
      <c r="L67" s="71">
        <f t="shared" si="7"/>
        <v>11097.04</v>
      </c>
      <c r="M67" s="34">
        <v>30005613</v>
      </c>
      <c r="N67" s="2" t="s">
        <v>125</v>
      </c>
      <c r="O67" s="19" t="s">
        <v>507</v>
      </c>
      <c r="P67" s="21" t="s">
        <v>221</v>
      </c>
      <c r="Q67" s="150" t="s">
        <v>213</v>
      </c>
      <c r="R67" s="155">
        <v>30093974</v>
      </c>
      <c r="S67" s="2" t="s">
        <v>128</v>
      </c>
      <c r="T67" s="156">
        <v>105</v>
      </c>
      <c r="U67" s="157">
        <v>15.31</v>
      </c>
      <c r="V67" s="169">
        <f t="shared" si="1"/>
        <v>1607.55</v>
      </c>
      <c r="W67" s="11">
        <v>20016490</v>
      </c>
      <c r="X67" s="2" t="s">
        <v>110</v>
      </c>
      <c r="Y67" s="21">
        <v>9</v>
      </c>
      <c r="Z67" s="3">
        <v>2</v>
      </c>
      <c r="AA67" s="27">
        <f t="shared" si="2"/>
        <v>18</v>
      </c>
      <c r="AB67" s="33" t="s">
        <v>109</v>
      </c>
      <c r="AC67" s="3" t="s">
        <v>109</v>
      </c>
      <c r="AD67" s="2" t="s">
        <v>109</v>
      </c>
      <c r="AE67" s="27" t="s">
        <v>109</v>
      </c>
      <c r="AF67" s="106" t="s">
        <v>112</v>
      </c>
      <c r="AG67" s="3">
        <v>36</v>
      </c>
      <c r="AH67" s="106" t="s">
        <v>112</v>
      </c>
      <c r="AI67" s="27" t="s">
        <v>1270</v>
      </c>
      <c r="AJ67" s="34">
        <v>69</v>
      </c>
      <c r="AK67" s="29">
        <f t="shared" si="9"/>
        <v>77.28</v>
      </c>
      <c r="AL67" s="24"/>
    </row>
    <row r="68" spans="1:38" x14ac:dyDescent="0.25">
      <c r="A68" s="3">
        <v>2</v>
      </c>
      <c r="B68" s="21" t="s">
        <v>224</v>
      </c>
      <c r="C68" s="3" t="s">
        <v>222</v>
      </c>
      <c r="D68" s="21" t="s">
        <v>318</v>
      </c>
      <c r="E68" s="23" t="s">
        <v>288</v>
      </c>
      <c r="F68" s="34">
        <v>20002899</v>
      </c>
      <c r="G68" s="44" t="s">
        <v>334</v>
      </c>
      <c r="H68" s="3" t="s">
        <v>508</v>
      </c>
      <c r="I68" s="21" t="s">
        <v>225</v>
      </c>
      <c r="J68" s="38">
        <v>85</v>
      </c>
      <c r="K68" s="70">
        <v>60.31</v>
      </c>
      <c r="L68" s="71">
        <f t="shared" si="7"/>
        <v>5126.3500000000004</v>
      </c>
      <c r="M68" s="34">
        <v>30005613</v>
      </c>
      <c r="N68" s="2" t="s">
        <v>125</v>
      </c>
      <c r="O68" s="19" t="s">
        <v>509</v>
      </c>
      <c r="P68" s="21" t="s">
        <v>226</v>
      </c>
      <c r="Q68" s="150" t="s">
        <v>213</v>
      </c>
      <c r="R68" s="155">
        <v>30093974</v>
      </c>
      <c r="S68" s="2" t="s">
        <v>128</v>
      </c>
      <c r="T68" s="156">
        <v>93</v>
      </c>
      <c r="U68" s="157">
        <v>15.31</v>
      </c>
      <c r="V68" s="169">
        <f t="shared" si="1"/>
        <v>1423.8300000000002</v>
      </c>
      <c r="W68" s="11">
        <v>20016490</v>
      </c>
      <c r="X68" s="2" t="s">
        <v>110</v>
      </c>
      <c r="Y68" s="21">
        <v>6</v>
      </c>
      <c r="Z68" s="3">
        <v>2</v>
      </c>
      <c r="AA68" s="27">
        <f t="shared" si="2"/>
        <v>12</v>
      </c>
      <c r="AB68" s="33" t="s">
        <v>109</v>
      </c>
      <c r="AC68" s="3" t="s">
        <v>109</v>
      </c>
      <c r="AD68" s="2" t="s">
        <v>109</v>
      </c>
      <c r="AE68" s="27" t="s">
        <v>109</v>
      </c>
      <c r="AF68" s="106" t="s">
        <v>112</v>
      </c>
      <c r="AG68" s="3">
        <v>37</v>
      </c>
      <c r="AH68" s="106" t="s">
        <v>112</v>
      </c>
      <c r="AI68" s="27" t="s">
        <v>1270</v>
      </c>
      <c r="AJ68" s="34">
        <v>70</v>
      </c>
      <c r="AK68" s="29">
        <f t="shared" si="9"/>
        <v>78.400000000000006</v>
      </c>
      <c r="AL68" s="24"/>
    </row>
    <row r="69" spans="1:38" x14ac:dyDescent="0.25">
      <c r="A69" s="3">
        <v>2</v>
      </c>
      <c r="B69" s="21" t="s">
        <v>227</v>
      </c>
      <c r="C69" s="3" t="s">
        <v>223</v>
      </c>
      <c r="D69" s="21" t="s">
        <v>318</v>
      </c>
      <c r="E69" s="23" t="s">
        <v>288</v>
      </c>
      <c r="F69" s="34">
        <v>20002899</v>
      </c>
      <c r="G69" s="44" t="s">
        <v>334</v>
      </c>
      <c r="H69" s="3" t="s">
        <v>510</v>
      </c>
      <c r="I69" s="21" t="s">
        <v>228</v>
      </c>
      <c r="J69" s="38">
        <v>58</v>
      </c>
      <c r="K69" s="70">
        <v>60.31</v>
      </c>
      <c r="L69" s="71">
        <f t="shared" si="7"/>
        <v>3497.98</v>
      </c>
      <c r="M69" s="34">
        <v>30005613</v>
      </c>
      <c r="N69" s="2" t="s">
        <v>125</v>
      </c>
      <c r="O69" s="19" t="s">
        <v>511</v>
      </c>
      <c r="P69" s="21" t="s">
        <v>229</v>
      </c>
      <c r="Q69" s="150" t="s">
        <v>213</v>
      </c>
      <c r="R69" s="155">
        <v>30093974</v>
      </c>
      <c r="S69" s="2" t="s">
        <v>128</v>
      </c>
      <c r="T69" s="156">
        <v>64</v>
      </c>
      <c r="U69" s="157">
        <v>15.31</v>
      </c>
      <c r="V69" s="169">
        <f t="shared" ref="V69" si="10">T69*U69</f>
        <v>979.84</v>
      </c>
      <c r="W69" s="11">
        <v>20016490</v>
      </c>
      <c r="X69" s="2" t="s">
        <v>110</v>
      </c>
      <c r="Y69" s="21">
        <v>4</v>
      </c>
      <c r="Z69" s="3">
        <v>2</v>
      </c>
      <c r="AA69" s="27">
        <f>Z69*Y69</f>
        <v>8</v>
      </c>
      <c r="AB69" s="33" t="s">
        <v>109</v>
      </c>
      <c r="AC69" s="3" t="s">
        <v>109</v>
      </c>
      <c r="AD69" s="2" t="s">
        <v>109</v>
      </c>
      <c r="AE69" s="27" t="s">
        <v>109</v>
      </c>
      <c r="AF69" s="106" t="s">
        <v>112</v>
      </c>
      <c r="AG69" s="3">
        <v>38</v>
      </c>
      <c r="AH69" s="106" t="s">
        <v>112</v>
      </c>
      <c r="AI69" s="27" t="s">
        <v>1270</v>
      </c>
      <c r="AJ69" s="40">
        <v>67</v>
      </c>
      <c r="AK69" s="29">
        <f t="shared" si="9"/>
        <v>75.039999999999992</v>
      </c>
      <c r="AL69" s="24"/>
    </row>
    <row r="70" spans="1:38" ht="16.5" x14ac:dyDescent="0.25">
      <c r="A70" s="3">
        <v>2</v>
      </c>
      <c r="B70" s="21" t="s">
        <v>230</v>
      </c>
      <c r="C70" s="3" t="s">
        <v>231</v>
      </c>
      <c r="D70" s="21" t="s">
        <v>233</v>
      </c>
      <c r="E70" s="23" t="s">
        <v>288</v>
      </c>
      <c r="F70" s="34">
        <v>20016373</v>
      </c>
      <c r="G70" s="43" t="s">
        <v>111</v>
      </c>
      <c r="H70" s="3" t="s">
        <v>533</v>
      </c>
      <c r="I70" s="21" t="s">
        <v>232</v>
      </c>
      <c r="J70" s="38">
        <v>3</v>
      </c>
      <c r="K70" s="70">
        <v>17.02</v>
      </c>
      <c r="L70" s="71">
        <f t="shared" si="7"/>
        <v>51.06</v>
      </c>
      <c r="M70" s="37" t="s">
        <v>109</v>
      </c>
      <c r="N70" s="22" t="s">
        <v>109</v>
      </c>
      <c r="O70" s="3" t="s">
        <v>525</v>
      </c>
      <c r="P70" s="22" t="s">
        <v>517</v>
      </c>
      <c r="Q70" s="146" t="s">
        <v>109</v>
      </c>
      <c r="R70" s="160" t="s">
        <v>109</v>
      </c>
      <c r="S70" s="22" t="s">
        <v>109</v>
      </c>
      <c r="T70" s="161" t="s">
        <v>109</v>
      </c>
      <c r="U70" s="160"/>
      <c r="V70" s="169"/>
      <c r="W70" s="151" t="s">
        <v>109</v>
      </c>
      <c r="X70" s="22" t="s">
        <v>109</v>
      </c>
      <c r="Y70" s="22" t="s">
        <v>109</v>
      </c>
      <c r="Z70" s="22" t="s">
        <v>109</v>
      </c>
      <c r="AA70" s="30" t="s">
        <v>109</v>
      </c>
      <c r="AB70" s="33" t="s">
        <v>109</v>
      </c>
      <c r="AC70" s="3" t="s">
        <v>109</v>
      </c>
      <c r="AD70" s="2" t="s">
        <v>109</v>
      </c>
      <c r="AE70" s="27" t="s">
        <v>109</v>
      </c>
      <c r="AF70" s="107" t="s">
        <v>109</v>
      </c>
      <c r="AG70" s="2"/>
      <c r="AH70" s="95"/>
      <c r="AI70" s="27"/>
      <c r="AJ70" s="37" t="s">
        <v>109</v>
      </c>
      <c r="AK70" s="30" t="s">
        <v>109</v>
      </c>
      <c r="AL70" s="24"/>
    </row>
    <row r="71" spans="1:38" ht="16.5" x14ac:dyDescent="0.25">
      <c r="A71" s="3">
        <v>2</v>
      </c>
      <c r="B71" s="21" t="s">
        <v>230</v>
      </c>
      <c r="C71" s="3" t="s">
        <v>231</v>
      </c>
      <c r="D71" s="21" t="s">
        <v>234</v>
      </c>
      <c r="E71" s="23" t="s">
        <v>288</v>
      </c>
      <c r="F71" s="34">
        <v>20016373</v>
      </c>
      <c r="G71" s="43" t="s">
        <v>111</v>
      </c>
      <c r="H71" s="3" t="s">
        <v>533</v>
      </c>
      <c r="I71" s="21" t="s">
        <v>232</v>
      </c>
      <c r="J71" s="28">
        <v>33</v>
      </c>
      <c r="K71" s="70">
        <v>17.02</v>
      </c>
      <c r="L71" s="71">
        <f t="shared" si="7"/>
        <v>561.66</v>
      </c>
      <c r="M71" s="37" t="s">
        <v>109</v>
      </c>
      <c r="N71" s="22" t="s">
        <v>109</v>
      </c>
      <c r="O71" s="3" t="s">
        <v>525</v>
      </c>
      <c r="P71" s="22" t="s">
        <v>517</v>
      </c>
      <c r="Q71" s="146" t="s">
        <v>109</v>
      </c>
      <c r="R71" s="160" t="s">
        <v>109</v>
      </c>
      <c r="S71" s="22" t="s">
        <v>109</v>
      </c>
      <c r="T71" s="161" t="s">
        <v>109</v>
      </c>
      <c r="U71" s="160"/>
      <c r="V71" s="169"/>
      <c r="W71" s="151" t="s">
        <v>109</v>
      </c>
      <c r="X71" s="22" t="s">
        <v>109</v>
      </c>
      <c r="Y71" s="22" t="s">
        <v>109</v>
      </c>
      <c r="Z71" s="22" t="s">
        <v>109</v>
      </c>
      <c r="AA71" s="30" t="s">
        <v>109</v>
      </c>
      <c r="AB71" s="33" t="s">
        <v>109</v>
      </c>
      <c r="AC71" s="3" t="s">
        <v>109</v>
      </c>
      <c r="AD71" s="2" t="s">
        <v>109</v>
      </c>
      <c r="AE71" s="27" t="s">
        <v>109</v>
      </c>
      <c r="AF71" s="107" t="s">
        <v>109</v>
      </c>
      <c r="AG71" s="2">
        <v>39</v>
      </c>
      <c r="AH71" s="106" t="s">
        <v>112</v>
      </c>
      <c r="AI71" s="27" t="s">
        <v>1270</v>
      </c>
      <c r="AJ71" s="37" t="s">
        <v>109</v>
      </c>
      <c r="AK71" s="30" t="s">
        <v>109</v>
      </c>
      <c r="AL71" s="24"/>
    </row>
    <row r="72" spans="1:38" ht="16.5" x14ac:dyDescent="0.25">
      <c r="A72" s="3">
        <v>2</v>
      </c>
      <c r="B72" s="21" t="s">
        <v>230</v>
      </c>
      <c r="C72" s="3" t="s">
        <v>231</v>
      </c>
      <c r="D72" s="21" t="s">
        <v>235</v>
      </c>
      <c r="E72" s="23" t="s">
        <v>288</v>
      </c>
      <c r="F72" s="34">
        <v>20016373</v>
      </c>
      <c r="G72" s="43" t="s">
        <v>111</v>
      </c>
      <c r="H72" s="3" t="s">
        <v>534</v>
      </c>
      <c r="I72" s="21" t="s">
        <v>269</v>
      </c>
      <c r="J72" s="38">
        <v>3</v>
      </c>
      <c r="K72" s="70">
        <v>17.02</v>
      </c>
      <c r="L72" s="71">
        <f t="shared" si="7"/>
        <v>51.06</v>
      </c>
      <c r="M72" s="37" t="s">
        <v>109</v>
      </c>
      <c r="N72" s="22" t="s">
        <v>109</v>
      </c>
      <c r="O72" s="3" t="s">
        <v>526</v>
      </c>
      <c r="P72" s="22" t="s">
        <v>518</v>
      </c>
      <c r="Q72" s="146" t="s">
        <v>109</v>
      </c>
      <c r="R72" s="160" t="s">
        <v>109</v>
      </c>
      <c r="S72" s="22" t="s">
        <v>109</v>
      </c>
      <c r="T72" s="161" t="s">
        <v>109</v>
      </c>
      <c r="U72" s="160"/>
      <c r="V72" s="169"/>
      <c r="W72" s="151" t="s">
        <v>109</v>
      </c>
      <c r="X72" s="22" t="s">
        <v>109</v>
      </c>
      <c r="Y72" s="22" t="s">
        <v>109</v>
      </c>
      <c r="Z72" s="22" t="s">
        <v>109</v>
      </c>
      <c r="AA72" s="30" t="s">
        <v>109</v>
      </c>
      <c r="AB72" s="33" t="s">
        <v>109</v>
      </c>
      <c r="AC72" s="3" t="s">
        <v>109</v>
      </c>
      <c r="AD72" s="2" t="s">
        <v>109</v>
      </c>
      <c r="AE72" s="27" t="s">
        <v>109</v>
      </c>
      <c r="AF72" s="107" t="s">
        <v>109</v>
      </c>
      <c r="AG72" s="2"/>
      <c r="AH72" s="95"/>
      <c r="AI72" s="27"/>
      <c r="AJ72" s="37" t="s">
        <v>109</v>
      </c>
      <c r="AK72" s="30" t="s">
        <v>109</v>
      </c>
      <c r="AL72" s="24"/>
    </row>
    <row r="73" spans="1:38" ht="16.5" x14ac:dyDescent="0.25">
      <c r="A73" s="3">
        <v>2</v>
      </c>
      <c r="B73" s="21" t="s">
        <v>230</v>
      </c>
      <c r="C73" s="3" t="s">
        <v>231</v>
      </c>
      <c r="D73" s="21" t="s">
        <v>236</v>
      </c>
      <c r="E73" s="23" t="s">
        <v>288</v>
      </c>
      <c r="F73" s="34">
        <v>20016373</v>
      </c>
      <c r="G73" s="43" t="s">
        <v>111</v>
      </c>
      <c r="H73" s="3" t="s">
        <v>534</v>
      </c>
      <c r="I73" s="21" t="s">
        <v>269</v>
      </c>
      <c r="J73" s="28">
        <v>33</v>
      </c>
      <c r="K73" s="70">
        <v>17.02</v>
      </c>
      <c r="L73" s="71">
        <f t="shared" si="7"/>
        <v>561.66</v>
      </c>
      <c r="M73" s="37" t="s">
        <v>109</v>
      </c>
      <c r="N73" s="22" t="s">
        <v>109</v>
      </c>
      <c r="O73" s="3" t="s">
        <v>526</v>
      </c>
      <c r="P73" s="22" t="s">
        <v>518</v>
      </c>
      <c r="Q73" s="146" t="s">
        <v>109</v>
      </c>
      <c r="R73" s="160" t="s">
        <v>109</v>
      </c>
      <c r="S73" s="22" t="s">
        <v>109</v>
      </c>
      <c r="T73" s="161" t="s">
        <v>109</v>
      </c>
      <c r="U73" s="160"/>
      <c r="V73" s="169"/>
      <c r="W73" s="151" t="s">
        <v>109</v>
      </c>
      <c r="X73" s="22" t="s">
        <v>109</v>
      </c>
      <c r="Y73" s="22" t="s">
        <v>109</v>
      </c>
      <c r="Z73" s="22" t="s">
        <v>109</v>
      </c>
      <c r="AA73" s="30" t="s">
        <v>109</v>
      </c>
      <c r="AB73" s="33" t="s">
        <v>109</v>
      </c>
      <c r="AC73" s="3" t="s">
        <v>109</v>
      </c>
      <c r="AD73" s="2" t="s">
        <v>109</v>
      </c>
      <c r="AE73" s="27" t="s">
        <v>109</v>
      </c>
      <c r="AF73" s="107" t="s">
        <v>109</v>
      </c>
      <c r="AG73" s="2">
        <v>40</v>
      </c>
      <c r="AH73" s="106" t="s">
        <v>112</v>
      </c>
      <c r="AI73" s="27" t="s">
        <v>1270</v>
      </c>
      <c r="AJ73" s="37" t="s">
        <v>109</v>
      </c>
      <c r="AK73" s="30" t="s">
        <v>109</v>
      </c>
      <c r="AL73" s="24"/>
    </row>
    <row r="74" spans="1:38" ht="16.5" x14ac:dyDescent="0.25">
      <c r="A74" s="3">
        <v>2</v>
      </c>
      <c r="B74" s="21" t="s">
        <v>230</v>
      </c>
      <c r="C74" s="3" t="s">
        <v>231</v>
      </c>
      <c r="D74" s="21" t="s">
        <v>237</v>
      </c>
      <c r="E74" s="23" t="s">
        <v>288</v>
      </c>
      <c r="F74" s="34">
        <v>20016373</v>
      </c>
      <c r="G74" s="43" t="s">
        <v>111</v>
      </c>
      <c r="H74" s="3" t="s">
        <v>535</v>
      </c>
      <c r="I74" s="21" t="s">
        <v>270</v>
      </c>
      <c r="J74" s="38">
        <v>3</v>
      </c>
      <c r="K74" s="70">
        <v>17.02</v>
      </c>
      <c r="L74" s="71">
        <f t="shared" si="7"/>
        <v>51.06</v>
      </c>
      <c r="M74" s="37" t="s">
        <v>109</v>
      </c>
      <c r="N74" s="22" t="s">
        <v>109</v>
      </c>
      <c r="O74" s="3" t="s">
        <v>527</v>
      </c>
      <c r="P74" s="22" t="s">
        <v>519</v>
      </c>
      <c r="Q74" s="146" t="s">
        <v>109</v>
      </c>
      <c r="R74" s="160" t="s">
        <v>109</v>
      </c>
      <c r="S74" s="22" t="s">
        <v>109</v>
      </c>
      <c r="T74" s="161" t="s">
        <v>109</v>
      </c>
      <c r="U74" s="160"/>
      <c r="V74" s="169"/>
      <c r="W74" s="151" t="s">
        <v>109</v>
      </c>
      <c r="X74" s="22" t="s">
        <v>109</v>
      </c>
      <c r="Y74" s="22" t="s">
        <v>109</v>
      </c>
      <c r="Z74" s="22" t="s">
        <v>109</v>
      </c>
      <c r="AA74" s="30" t="s">
        <v>109</v>
      </c>
      <c r="AB74" s="33" t="s">
        <v>109</v>
      </c>
      <c r="AC74" s="3" t="s">
        <v>109</v>
      </c>
      <c r="AD74" s="2" t="s">
        <v>109</v>
      </c>
      <c r="AE74" s="27" t="s">
        <v>109</v>
      </c>
      <c r="AF74" s="107" t="s">
        <v>109</v>
      </c>
      <c r="AG74" s="2"/>
      <c r="AH74" s="95"/>
      <c r="AI74" s="27"/>
      <c r="AJ74" s="37" t="s">
        <v>109</v>
      </c>
      <c r="AK74" s="30" t="s">
        <v>109</v>
      </c>
      <c r="AL74" s="24"/>
    </row>
    <row r="75" spans="1:38" ht="16.5" x14ac:dyDescent="0.25">
      <c r="A75" s="3">
        <v>2</v>
      </c>
      <c r="B75" s="21" t="s">
        <v>230</v>
      </c>
      <c r="C75" s="3" t="s">
        <v>231</v>
      </c>
      <c r="D75" s="21" t="s">
        <v>238</v>
      </c>
      <c r="E75" s="23" t="s">
        <v>288</v>
      </c>
      <c r="F75" s="34">
        <v>20016373</v>
      </c>
      <c r="G75" s="43" t="s">
        <v>111</v>
      </c>
      <c r="H75" s="3" t="s">
        <v>535</v>
      </c>
      <c r="I75" s="21" t="s">
        <v>270</v>
      </c>
      <c r="J75" s="28">
        <v>33</v>
      </c>
      <c r="K75" s="70">
        <v>17.02</v>
      </c>
      <c r="L75" s="71">
        <f t="shared" si="7"/>
        <v>561.66</v>
      </c>
      <c r="M75" s="37" t="s">
        <v>109</v>
      </c>
      <c r="N75" s="22" t="s">
        <v>109</v>
      </c>
      <c r="O75" s="3" t="s">
        <v>527</v>
      </c>
      <c r="P75" s="22" t="s">
        <v>519</v>
      </c>
      <c r="Q75" s="146" t="s">
        <v>109</v>
      </c>
      <c r="R75" s="160" t="s">
        <v>109</v>
      </c>
      <c r="S75" s="22" t="s">
        <v>109</v>
      </c>
      <c r="T75" s="161" t="s">
        <v>109</v>
      </c>
      <c r="U75" s="160"/>
      <c r="V75" s="169"/>
      <c r="W75" s="151" t="s">
        <v>109</v>
      </c>
      <c r="X75" s="22">
        <v>41</v>
      </c>
      <c r="Y75" s="22" t="s">
        <v>109</v>
      </c>
      <c r="Z75" s="22" t="s">
        <v>109</v>
      </c>
      <c r="AA75" s="30" t="s">
        <v>109</v>
      </c>
      <c r="AB75" s="33" t="s">
        <v>109</v>
      </c>
      <c r="AC75" s="3" t="s">
        <v>109</v>
      </c>
      <c r="AD75" s="2" t="s">
        <v>109</v>
      </c>
      <c r="AE75" s="27" t="s">
        <v>109</v>
      </c>
      <c r="AF75" s="107" t="s">
        <v>109</v>
      </c>
      <c r="AG75" s="2">
        <v>41</v>
      </c>
      <c r="AH75" s="106" t="s">
        <v>112</v>
      </c>
      <c r="AI75" s="27" t="s">
        <v>1270</v>
      </c>
      <c r="AJ75" s="37" t="s">
        <v>109</v>
      </c>
      <c r="AK75" s="30" t="s">
        <v>109</v>
      </c>
      <c r="AL75" s="24"/>
    </row>
    <row r="76" spans="1:38" ht="16.5" x14ac:dyDescent="0.25">
      <c r="A76" s="3">
        <v>2</v>
      </c>
      <c r="B76" s="21" t="s">
        <v>230</v>
      </c>
      <c r="C76" s="3" t="s">
        <v>231</v>
      </c>
      <c r="D76" s="21" t="s">
        <v>239</v>
      </c>
      <c r="E76" s="23" t="s">
        <v>288</v>
      </c>
      <c r="F76" s="34">
        <v>20016373</v>
      </c>
      <c r="G76" s="43" t="s">
        <v>111</v>
      </c>
      <c r="H76" s="3" t="s">
        <v>536</v>
      </c>
      <c r="I76" s="21" t="s">
        <v>271</v>
      </c>
      <c r="J76" s="38">
        <v>3</v>
      </c>
      <c r="K76" s="70">
        <v>17.02</v>
      </c>
      <c r="L76" s="71">
        <f t="shared" si="7"/>
        <v>51.06</v>
      </c>
      <c r="M76" s="37" t="s">
        <v>109</v>
      </c>
      <c r="N76" s="22" t="s">
        <v>109</v>
      </c>
      <c r="O76" s="3" t="s">
        <v>528</v>
      </c>
      <c r="P76" s="22" t="s">
        <v>520</v>
      </c>
      <c r="Q76" s="146" t="s">
        <v>109</v>
      </c>
      <c r="R76" s="160" t="s">
        <v>109</v>
      </c>
      <c r="S76" s="22" t="s">
        <v>109</v>
      </c>
      <c r="T76" s="161" t="s">
        <v>109</v>
      </c>
      <c r="U76" s="160"/>
      <c r="V76" s="169"/>
      <c r="W76" s="151" t="s">
        <v>109</v>
      </c>
      <c r="X76" s="22" t="s">
        <v>109</v>
      </c>
      <c r="Y76" s="22" t="s">
        <v>109</v>
      </c>
      <c r="Z76" s="22" t="s">
        <v>109</v>
      </c>
      <c r="AA76" s="30" t="s">
        <v>109</v>
      </c>
      <c r="AB76" s="33" t="s">
        <v>109</v>
      </c>
      <c r="AC76" s="3" t="s">
        <v>109</v>
      </c>
      <c r="AD76" s="2" t="s">
        <v>109</v>
      </c>
      <c r="AE76" s="27" t="s">
        <v>109</v>
      </c>
      <c r="AF76" s="107" t="s">
        <v>109</v>
      </c>
      <c r="AG76" s="2"/>
      <c r="AH76" s="95"/>
      <c r="AI76" s="27"/>
      <c r="AJ76" s="37" t="s">
        <v>109</v>
      </c>
      <c r="AK76" s="30" t="s">
        <v>109</v>
      </c>
      <c r="AL76" s="24"/>
    </row>
    <row r="77" spans="1:38" ht="16.5" x14ac:dyDescent="0.25">
      <c r="A77" s="3">
        <v>2</v>
      </c>
      <c r="B77" s="21" t="s">
        <v>230</v>
      </c>
      <c r="C77" s="3" t="s">
        <v>231</v>
      </c>
      <c r="D77" s="21" t="s">
        <v>240</v>
      </c>
      <c r="E77" s="23" t="s">
        <v>288</v>
      </c>
      <c r="F77" s="34">
        <v>20016373</v>
      </c>
      <c r="G77" s="43" t="s">
        <v>111</v>
      </c>
      <c r="H77" s="3" t="s">
        <v>536</v>
      </c>
      <c r="I77" s="21" t="s">
        <v>271</v>
      </c>
      <c r="J77" s="28">
        <v>33</v>
      </c>
      <c r="K77" s="70">
        <v>17.02</v>
      </c>
      <c r="L77" s="71">
        <f t="shared" si="7"/>
        <v>561.66</v>
      </c>
      <c r="M77" s="37" t="s">
        <v>109</v>
      </c>
      <c r="N77" s="22" t="s">
        <v>109</v>
      </c>
      <c r="O77" s="3" t="s">
        <v>528</v>
      </c>
      <c r="P77" s="22" t="s">
        <v>520</v>
      </c>
      <c r="Q77" s="146" t="s">
        <v>109</v>
      </c>
      <c r="R77" s="160" t="s">
        <v>109</v>
      </c>
      <c r="S77" s="22" t="s">
        <v>109</v>
      </c>
      <c r="T77" s="161" t="s">
        <v>109</v>
      </c>
      <c r="U77" s="160"/>
      <c r="V77" s="169"/>
      <c r="W77" s="151" t="s">
        <v>109</v>
      </c>
      <c r="X77" s="22" t="s">
        <v>109</v>
      </c>
      <c r="Y77" s="22" t="s">
        <v>109</v>
      </c>
      <c r="Z77" s="22" t="s">
        <v>109</v>
      </c>
      <c r="AA77" s="30" t="s">
        <v>109</v>
      </c>
      <c r="AB77" s="33" t="s">
        <v>109</v>
      </c>
      <c r="AC77" s="3" t="s">
        <v>109</v>
      </c>
      <c r="AD77" s="2" t="s">
        <v>109</v>
      </c>
      <c r="AE77" s="27" t="s">
        <v>109</v>
      </c>
      <c r="AF77" s="107" t="s">
        <v>109</v>
      </c>
      <c r="AG77" s="2">
        <v>42</v>
      </c>
      <c r="AH77" s="106" t="s">
        <v>112</v>
      </c>
      <c r="AI77" s="27" t="s">
        <v>1270</v>
      </c>
      <c r="AJ77" s="37" t="s">
        <v>109</v>
      </c>
      <c r="AK77" s="30" t="s">
        <v>109</v>
      </c>
      <c r="AL77" s="24"/>
    </row>
    <row r="78" spans="1:38" ht="16.5" x14ac:dyDescent="0.25">
      <c r="A78" s="3">
        <v>2</v>
      </c>
      <c r="B78" s="21" t="s">
        <v>230</v>
      </c>
      <c r="C78" s="3" t="s">
        <v>231</v>
      </c>
      <c r="D78" s="21" t="s">
        <v>241</v>
      </c>
      <c r="E78" s="23" t="s">
        <v>288</v>
      </c>
      <c r="F78" s="34">
        <v>20016373</v>
      </c>
      <c r="G78" s="43" t="s">
        <v>111</v>
      </c>
      <c r="H78" s="3" t="s">
        <v>537</v>
      </c>
      <c r="I78" s="21" t="s">
        <v>272</v>
      </c>
      <c r="J78" s="38">
        <v>3</v>
      </c>
      <c r="K78" s="70">
        <v>17.02</v>
      </c>
      <c r="L78" s="71">
        <f t="shared" si="7"/>
        <v>51.06</v>
      </c>
      <c r="M78" s="37" t="s">
        <v>109</v>
      </c>
      <c r="N78" s="22" t="s">
        <v>109</v>
      </c>
      <c r="O78" s="3" t="s">
        <v>529</v>
      </c>
      <c r="P78" s="22" t="s">
        <v>521</v>
      </c>
      <c r="Q78" s="146" t="s">
        <v>109</v>
      </c>
      <c r="R78" s="160" t="s">
        <v>109</v>
      </c>
      <c r="S78" s="22" t="s">
        <v>109</v>
      </c>
      <c r="T78" s="161" t="s">
        <v>109</v>
      </c>
      <c r="U78" s="160"/>
      <c r="V78" s="169"/>
      <c r="W78" s="151" t="s">
        <v>109</v>
      </c>
      <c r="X78" s="22" t="s">
        <v>109</v>
      </c>
      <c r="Y78" s="22" t="s">
        <v>109</v>
      </c>
      <c r="Z78" s="22" t="s">
        <v>109</v>
      </c>
      <c r="AA78" s="30" t="s">
        <v>109</v>
      </c>
      <c r="AB78" s="33" t="s">
        <v>109</v>
      </c>
      <c r="AC78" s="3" t="s">
        <v>109</v>
      </c>
      <c r="AD78" s="2" t="s">
        <v>109</v>
      </c>
      <c r="AE78" s="27" t="s">
        <v>109</v>
      </c>
      <c r="AF78" s="107" t="s">
        <v>109</v>
      </c>
      <c r="AG78" s="2"/>
      <c r="AH78" s="95"/>
      <c r="AI78" s="27"/>
      <c r="AJ78" s="37" t="s">
        <v>109</v>
      </c>
      <c r="AK78" s="30" t="s">
        <v>109</v>
      </c>
      <c r="AL78" s="24"/>
    </row>
    <row r="79" spans="1:38" ht="16.5" x14ac:dyDescent="0.25">
      <c r="A79" s="3">
        <v>2</v>
      </c>
      <c r="B79" s="21" t="s">
        <v>230</v>
      </c>
      <c r="C79" s="3" t="s">
        <v>231</v>
      </c>
      <c r="D79" s="21" t="s">
        <v>242</v>
      </c>
      <c r="E79" s="23" t="s">
        <v>288</v>
      </c>
      <c r="F79" s="34">
        <v>20016373</v>
      </c>
      <c r="G79" s="43" t="s">
        <v>111</v>
      </c>
      <c r="H79" s="3" t="s">
        <v>537</v>
      </c>
      <c r="I79" s="21" t="s">
        <v>272</v>
      </c>
      <c r="J79" s="28">
        <v>33</v>
      </c>
      <c r="K79" s="70">
        <v>17.02</v>
      </c>
      <c r="L79" s="71">
        <f t="shared" si="7"/>
        <v>561.66</v>
      </c>
      <c r="M79" s="37" t="s">
        <v>109</v>
      </c>
      <c r="N79" s="22" t="s">
        <v>109</v>
      </c>
      <c r="O79" s="3" t="s">
        <v>529</v>
      </c>
      <c r="P79" s="22" t="s">
        <v>521</v>
      </c>
      <c r="Q79" s="146" t="s">
        <v>109</v>
      </c>
      <c r="R79" s="160" t="s">
        <v>109</v>
      </c>
      <c r="S79" s="22" t="s">
        <v>109</v>
      </c>
      <c r="T79" s="161" t="s">
        <v>109</v>
      </c>
      <c r="U79" s="160"/>
      <c r="V79" s="169"/>
      <c r="W79" s="151" t="s">
        <v>109</v>
      </c>
      <c r="X79" s="22" t="s">
        <v>109</v>
      </c>
      <c r="Y79" s="22" t="s">
        <v>109</v>
      </c>
      <c r="Z79" s="22" t="s">
        <v>109</v>
      </c>
      <c r="AA79" s="30" t="s">
        <v>109</v>
      </c>
      <c r="AB79" s="33" t="s">
        <v>109</v>
      </c>
      <c r="AC79" s="3" t="s">
        <v>109</v>
      </c>
      <c r="AD79" s="2" t="s">
        <v>109</v>
      </c>
      <c r="AE79" s="27" t="s">
        <v>109</v>
      </c>
      <c r="AF79" s="107" t="s">
        <v>109</v>
      </c>
      <c r="AG79" s="2">
        <v>43</v>
      </c>
      <c r="AH79" s="106" t="s">
        <v>112</v>
      </c>
      <c r="AI79" s="27" t="s">
        <v>1270</v>
      </c>
      <c r="AJ79" s="37" t="s">
        <v>109</v>
      </c>
      <c r="AK79" s="30" t="s">
        <v>109</v>
      </c>
      <c r="AL79" s="24"/>
    </row>
    <row r="80" spans="1:38" ht="16.5" x14ac:dyDescent="0.25">
      <c r="A80" s="3">
        <v>2</v>
      </c>
      <c r="B80" s="21" t="s">
        <v>230</v>
      </c>
      <c r="C80" s="3" t="s">
        <v>231</v>
      </c>
      <c r="D80" s="21" t="s">
        <v>243</v>
      </c>
      <c r="E80" s="23" t="s">
        <v>288</v>
      </c>
      <c r="F80" s="34">
        <v>20016373</v>
      </c>
      <c r="G80" s="43" t="s">
        <v>111</v>
      </c>
      <c r="H80" s="3" t="s">
        <v>538</v>
      </c>
      <c r="I80" s="21" t="s">
        <v>273</v>
      </c>
      <c r="J80" s="38">
        <v>3</v>
      </c>
      <c r="K80" s="70">
        <v>17.02</v>
      </c>
      <c r="L80" s="71">
        <f t="shared" si="7"/>
        <v>51.06</v>
      </c>
      <c r="M80" s="37" t="s">
        <v>109</v>
      </c>
      <c r="N80" s="22" t="s">
        <v>109</v>
      </c>
      <c r="O80" s="3" t="s">
        <v>530</v>
      </c>
      <c r="P80" s="22" t="s">
        <v>522</v>
      </c>
      <c r="Q80" s="146" t="s">
        <v>109</v>
      </c>
      <c r="R80" s="160" t="s">
        <v>109</v>
      </c>
      <c r="S80" s="22" t="s">
        <v>109</v>
      </c>
      <c r="T80" s="161" t="s">
        <v>109</v>
      </c>
      <c r="U80" s="160"/>
      <c r="V80" s="169"/>
      <c r="W80" s="151" t="s">
        <v>109</v>
      </c>
      <c r="X80" s="22" t="s">
        <v>109</v>
      </c>
      <c r="Y80" s="22" t="s">
        <v>109</v>
      </c>
      <c r="Z80" s="22" t="s">
        <v>109</v>
      </c>
      <c r="AA80" s="30" t="s">
        <v>109</v>
      </c>
      <c r="AB80" s="33" t="s">
        <v>109</v>
      </c>
      <c r="AC80" s="3" t="s">
        <v>109</v>
      </c>
      <c r="AD80" s="2" t="s">
        <v>109</v>
      </c>
      <c r="AE80" s="27" t="s">
        <v>109</v>
      </c>
      <c r="AF80" s="107" t="s">
        <v>109</v>
      </c>
      <c r="AG80" s="2"/>
      <c r="AH80" s="95"/>
      <c r="AI80" s="27"/>
      <c r="AJ80" s="37" t="s">
        <v>109</v>
      </c>
      <c r="AK80" s="30" t="s">
        <v>109</v>
      </c>
      <c r="AL80" s="24"/>
    </row>
    <row r="81" spans="1:38" ht="16.5" x14ac:dyDescent="0.25">
      <c r="A81" s="3">
        <v>2</v>
      </c>
      <c r="B81" s="21" t="s">
        <v>230</v>
      </c>
      <c r="C81" s="3" t="s">
        <v>231</v>
      </c>
      <c r="D81" s="21" t="s">
        <v>244</v>
      </c>
      <c r="E81" s="23" t="s">
        <v>288</v>
      </c>
      <c r="F81" s="34">
        <v>20016373</v>
      </c>
      <c r="G81" s="43" t="s">
        <v>111</v>
      </c>
      <c r="H81" s="3" t="s">
        <v>538</v>
      </c>
      <c r="I81" s="21" t="s">
        <v>273</v>
      </c>
      <c r="J81" s="28">
        <v>33</v>
      </c>
      <c r="K81" s="70">
        <v>17.02</v>
      </c>
      <c r="L81" s="71">
        <f t="shared" si="7"/>
        <v>561.66</v>
      </c>
      <c r="M81" s="37" t="s">
        <v>109</v>
      </c>
      <c r="N81" s="22" t="s">
        <v>109</v>
      </c>
      <c r="O81" s="3" t="s">
        <v>530</v>
      </c>
      <c r="P81" s="22" t="s">
        <v>522</v>
      </c>
      <c r="Q81" s="146" t="s">
        <v>109</v>
      </c>
      <c r="R81" s="160" t="s">
        <v>109</v>
      </c>
      <c r="S81" s="22" t="s">
        <v>109</v>
      </c>
      <c r="T81" s="161" t="s">
        <v>109</v>
      </c>
      <c r="U81" s="160"/>
      <c r="V81" s="169"/>
      <c r="W81" s="151" t="s">
        <v>109</v>
      </c>
      <c r="X81" s="22" t="s">
        <v>109</v>
      </c>
      <c r="Y81" s="22" t="s">
        <v>109</v>
      </c>
      <c r="Z81" s="22" t="s">
        <v>109</v>
      </c>
      <c r="AA81" s="30" t="s">
        <v>109</v>
      </c>
      <c r="AB81" s="33" t="s">
        <v>109</v>
      </c>
      <c r="AC81" s="3" t="s">
        <v>109</v>
      </c>
      <c r="AD81" s="2" t="s">
        <v>109</v>
      </c>
      <c r="AE81" s="27" t="s">
        <v>109</v>
      </c>
      <c r="AF81" s="107" t="s">
        <v>109</v>
      </c>
      <c r="AG81" s="2">
        <v>44</v>
      </c>
      <c r="AH81" s="106" t="s">
        <v>112</v>
      </c>
      <c r="AI81" s="27" t="s">
        <v>1270</v>
      </c>
      <c r="AJ81" s="37" t="s">
        <v>109</v>
      </c>
      <c r="AK81" s="30" t="s">
        <v>109</v>
      </c>
      <c r="AL81" s="24"/>
    </row>
    <row r="82" spans="1:38" ht="16.5" x14ac:dyDescent="0.25">
      <c r="A82" s="3">
        <v>2</v>
      </c>
      <c r="B82" s="21" t="s">
        <v>230</v>
      </c>
      <c r="C82" s="3" t="s">
        <v>231</v>
      </c>
      <c r="D82" s="21" t="s">
        <v>245</v>
      </c>
      <c r="E82" s="23" t="s">
        <v>288</v>
      </c>
      <c r="F82" s="34">
        <v>20016373</v>
      </c>
      <c r="G82" s="43" t="s">
        <v>111</v>
      </c>
      <c r="H82" s="3" t="s">
        <v>539</v>
      </c>
      <c r="I82" s="21" t="s">
        <v>274</v>
      </c>
      <c r="J82" s="38">
        <v>3</v>
      </c>
      <c r="K82" s="70">
        <v>17.02</v>
      </c>
      <c r="L82" s="71">
        <f t="shared" si="7"/>
        <v>51.06</v>
      </c>
      <c r="M82" s="37" t="s">
        <v>109</v>
      </c>
      <c r="N82" s="22" t="s">
        <v>109</v>
      </c>
      <c r="O82" s="3" t="s">
        <v>531</v>
      </c>
      <c r="P82" s="22" t="s">
        <v>523</v>
      </c>
      <c r="Q82" s="146" t="s">
        <v>109</v>
      </c>
      <c r="R82" s="160" t="s">
        <v>109</v>
      </c>
      <c r="S82" s="22" t="s">
        <v>109</v>
      </c>
      <c r="T82" s="161" t="s">
        <v>109</v>
      </c>
      <c r="U82" s="160"/>
      <c r="V82" s="169"/>
      <c r="W82" s="151" t="s">
        <v>109</v>
      </c>
      <c r="X82" s="22" t="s">
        <v>109</v>
      </c>
      <c r="Y82" s="22" t="s">
        <v>109</v>
      </c>
      <c r="Z82" s="22" t="s">
        <v>109</v>
      </c>
      <c r="AA82" s="30" t="s">
        <v>109</v>
      </c>
      <c r="AB82" s="33" t="s">
        <v>109</v>
      </c>
      <c r="AC82" s="3" t="s">
        <v>109</v>
      </c>
      <c r="AD82" s="2" t="s">
        <v>109</v>
      </c>
      <c r="AE82" s="27" t="s">
        <v>109</v>
      </c>
      <c r="AF82" s="107" t="s">
        <v>109</v>
      </c>
      <c r="AG82" s="2"/>
      <c r="AH82" s="95"/>
      <c r="AI82" s="27"/>
      <c r="AJ82" s="37" t="s">
        <v>109</v>
      </c>
      <c r="AK82" s="30" t="s">
        <v>109</v>
      </c>
      <c r="AL82" s="24"/>
    </row>
    <row r="83" spans="1:38" ht="16.5" x14ac:dyDescent="0.25">
      <c r="A83" s="3">
        <v>2</v>
      </c>
      <c r="B83" s="21" t="s">
        <v>230</v>
      </c>
      <c r="C83" s="3" t="s">
        <v>231</v>
      </c>
      <c r="D83" s="21" t="s">
        <v>246</v>
      </c>
      <c r="E83" s="23" t="s">
        <v>288</v>
      </c>
      <c r="F83" s="34">
        <v>20016373</v>
      </c>
      <c r="G83" s="43" t="s">
        <v>111</v>
      </c>
      <c r="H83" s="3" t="s">
        <v>539</v>
      </c>
      <c r="I83" s="21" t="s">
        <v>274</v>
      </c>
      <c r="J83" s="28">
        <v>33</v>
      </c>
      <c r="K83" s="70">
        <v>17.02</v>
      </c>
      <c r="L83" s="71">
        <f t="shared" si="7"/>
        <v>561.66</v>
      </c>
      <c r="M83" s="37" t="s">
        <v>109</v>
      </c>
      <c r="N83" s="22" t="s">
        <v>109</v>
      </c>
      <c r="O83" s="3" t="s">
        <v>531</v>
      </c>
      <c r="P83" s="22" t="s">
        <v>523</v>
      </c>
      <c r="Q83" s="146" t="s">
        <v>109</v>
      </c>
      <c r="R83" s="160" t="s">
        <v>109</v>
      </c>
      <c r="S83" s="22" t="s">
        <v>109</v>
      </c>
      <c r="T83" s="161" t="s">
        <v>109</v>
      </c>
      <c r="U83" s="160"/>
      <c r="V83" s="169"/>
      <c r="W83" s="151" t="s">
        <v>109</v>
      </c>
      <c r="X83" s="22" t="s">
        <v>109</v>
      </c>
      <c r="Y83" s="22" t="s">
        <v>109</v>
      </c>
      <c r="Z83" s="22" t="s">
        <v>109</v>
      </c>
      <c r="AA83" s="30" t="s">
        <v>109</v>
      </c>
      <c r="AB83" s="33" t="s">
        <v>109</v>
      </c>
      <c r="AC83" s="3" t="s">
        <v>109</v>
      </c>
      <c r="AD83" s="2" t="s">
        <v>109</v>
      </c>
      <c r="AE83" s="27" t="s">
        <v>109</v>
      </c>
      <c r="AF83" s="107" t="s">
        <v>109</v>
      </c>
      <c r="AG83" s="2">
        <v>45</v>
      </c>
      <c r="AH83" s="106" t="s">
        <v>112</v>
      </c>
      <c r="AI83" s="27" t="s">
        <v>1270</v>
      </c>
      <c r="AJ83" s="37" t="s">
        <v>109</v>
      </c>
      <c r="AK83" s="30" t="s">
        <v>109</v>
      </c>
      <c r="AL83" s="24"/>
    </row>
    <row r="84" spans="1:38" ht="16.5" x14ac:dyDescent="0.25">
      <c r="A84" s="3">
        <v>2</v>
      </c>
      <c r="B84" s="21" t="s">
        <v>230</v>
      </c>
      <c r="C84" s="3" t="s">
        <v>231</v>
      </c>
      <c r="D84" s="21" t="s">
        <v>247</v>
      </c>
      <c r="E84" s="23" t="s">
        <v>288</v>
      </c>
      <c r="F84" s="34">
        <v>20016373</v>
      </c>
      <c r="G84" s="43" t="s">
        <v>111</v>
      </c>
      <c r="H84" s="3" t="s">
        <v>540</v>
      </c>
      <c r="I84" s="21" t="s">
        <v>275</v>
      </c>
      <c r="J84" s="38">
        <v>3</v>
      </c>
      <c r="K84" s="70">
        <v>17.02</v>
      </c>
      <c r="L84" s="71">
        <f t="shared" si="7"/>
        <v>51.06</v>
      </c>
      <c r="M84" s="37" t="s">
        <v>109</v>
      </c>
      <c r="N84" s="22" t="s">
        <v>109</v>
      </c>
      <c r="O84" s="3" t="s">
        <v>532</v>
      </c>
      <c r="P84" s="22" t="s">
        <v>524</v>
      </c>
      <c r="Q84" s="146" t="s">
        <v>109</v>
      </c>
      <c r="R84" s="160" t="s">
        <v>109</v>
      </c>
      <c r="S84" s="22" t="s">
        <v>109</v>
      </c>
      <c r="T84" s="161" t="s">
        <v>109</v>
      </c>
      <c r="U84" s="160"/>
      <c r="V84" s="169"/>
      <c r="W84" s="151" t="s">
        <v>109</v>
      </c>
      <c r="X84" s="22" t="s">
        <v>109</v>
      </c>
      <c r="Y84" s="22" t="s">
        <v>109</v>
      </c>
      <c r="Z84" s="22" t="s">
        <v>109</v>
      </c>
      <c r="AA84" s="30" t="s">
        <v>109</v>
      </c>
      <c r="AB84" s="33" t="s">
        <v>109</v>
      </c>
      <c r="AC84" s="3" t="s">
        <v>109</v>
      </c>
      <c r="AD84" s="2" t="s">
        <v>109</v>
      </c>
      <c r="AE84" s="27" t="s">
        <v>109</v>
      </c>
      <c r="AF84" s="107" t="s">
        <v>109</v>
      </c>
      <c r="AG84" s="2"/>
      <c r="AH84" s="95"/>
      <c r="AI84" s="27"/>
      <c r="AJ84" s="37" t="s">
        <v>109</v>
      </c>
      <c r="AK84" s="30" t="s">
        <v>109</v>
      </c>
      <c r="AL84" s="24"/>
    </row>
    <row r="85" spans="1:38" ht="16.5" x14ac:dyDescent="0.25">
      <c r="A85" s="3">
        <v>2</v>
      </c>
      <c r="B85" s="21" t="s">
        <v>230</v>
      </c>
      <c r="C85" s="3" t="s">
        <v>231</v>
      </c>
      <c r="D85" s="21" t="s">
        <v>248</v>
      </c>
      <c r="E85" s="23" t="s">
        <v>288</v>
      </c>
      <c r="F85" s="34">
        <v>20016373</v>
      </c>
      <c r="G85" s="43" t="s">
        <v>111</v>
      </c>
      <c r="H85" s="3" t="s">
        <v>540</v>
      </c>
      <c r="I85" s="21" t="s">
        <v>275</v>
      </c>
      <c r="J85" s="28">
        <v>33</v>
      </c>
      <c r="K85" s="70">
        <v>17.02</v>
      </c>
      <c r="L85" s="71">
        <f t="shared" si="7"/>
        <v>561.66</v>
      </c>
      <c r="M85" s="37" t="s">
        <v>109</v>
      </c>
      <c r="N85" s="22" t="s">
        <v>109</v>
      </c>
      <c r="O85" s="3" t="s">
        <v>532</v>
      </c>
      <c r="P85" s="22" t="s">
        <v>524</v>
      </c>
      <c r="Q85" s="146" t="s">
        <v>109</v>
      </c>
      <c r="R85" s="160" t="s">
        <v>109</v>
      </c>
      <c r="S85" s="22" t="s">
        <v>109</v>
      </c>
      <c r="T85" s="161" t="s">
        <v>109</v>
      </c>
      <c r="U85" s="160"/>
      <c r="V85" s="169"/>
      <c r="W85" s="151" t="s">
        <v>109</v>
      </c>
      <c r="X85" s="22" t="s">
        <v>109</v>
      </c>
      <c r="Y85" s="22" t="s">
        <v>109</v>
      </c>
      <c r="Z85" s="22" t="s">
        <v>109</v>
      </c>
      <c r="AA85" s="30" t="s">
        <v>109</v>
      </c>
      <c r="AB85" s="33" t="s">
        <v>109</v>
      </c>
      <c r="AC85" s="3" t="s">
        <v>109</v>
      </c>
      <c r="AD85" s="2" t="s">
        <v>109</v>
      </c>
      <c r="AE85" s="27" t="s">
        <v>109</v>
      </c>
      <c r="AF85" s="107" t="s">
        <v>109</v>
      </c>
      <c r="AG85" s="2">
        <v>46</v>
      </c>
      <c r="AH85" s="106" t="s">
        <v>112</v>
      </c>
      <c r="AI85" s="27" t="s">
        <v>1270</v>
      </c>
      <c r="AJ85" s="37" t="s">
        <v>109</v>
      </c>
      <c r="AK85" s="30" t="s">
        <v>109</v>
      </c>
      <c r="AL85" s="24"/>
    </row>
    <row r="86" spans="1:38" ht="16.5" x14ac:dyDescent="0.25">
      <c r="A86" s="3">
        <v>2</v>
      </c>
      <c r="B86" s="21" t="s">
        <v>230</v>
      </c>
      <c r="C86" s="3" t="s">
        <v>231</v>
      </c>
      <c r="D86" s="21" t="s">
        <v>249</v>
      </c>
      <c r="E86" s="23" t="s">
        <v>288</v>
      </c>
      <c r="F86" s="34">
        <v>20016373</v>
      </c>
      <c r="G86" s="43" t="s">
        <v>111</v>
      </c>
      <c r="H86" s="3" t="s">
        <v>541</v>
      </c>
      <c r="I86" s="21" t="s">
        <v>276</v>
      </c>
      <c r="J86" s="38">
        <v>3</v>
      </c>
      <c r="K86" s="70">
        <v>17.02</v>
      </c>
      <c r="L86" s="71">
        <f t="shared" si="7"/>
        <v>51.06</v>
      </c>
      <c r="M86" s="37" t="s">
        <v>109</v>
      </c>
      <c r="N86" s="22" t="s">
        <v>109</v>
      </c>
      <c r="O86" s="3" t="s">
        <v>561</v>
      </c>
      <c r="P86" s="22" t="s">
        <v>551</v>
      </c>
      <c r="Q86" s="146" t="s">
        <v>109</v>
      </c>
      <c r="R86" s="160" t="s">
        <v>109</v>
      </c>
      <c r="S86" s="22" t="s">
        <v>109</v>
      </c>
      <c r="T86" s="161" t="s">
        <v>109</v>
      </c>
      <c r="U86" s="160"/>
      <c r="V86" s="169"/>
      <c r="W86" s="151" t="s">
        <v>109</v>
      </c>
      <c r="X86" s="22" t="s">
        <v>109</v>
      </c>
      <c r="Y86" s="22" t="s">
        <v>109</v>
      </c>
      <c r="Z86" s="22" t="s">
        <v>109</v>
      </c>
      <c r="AA86" s="30" t="s">
        <v>109</v>
      </c>
      <c r="AB86" s="33" t="s">
        <v>109</v>
      </c>
      <c r="AC86" s="3" t="s">
        <v>109</v>
      </c>
      <c r="AD86" s="2" t="s">
        <v>109</v>
      </c>
      <c r="AE86" s="27" t="s">
        <v>109</v>
      </c>
      <c r="AF86" s="107" t="s">
        <v>109</v>
      </c>
      <c r="AG86" s="2"/>
      <c r="AH86" s="95"/>
      <c r="AI86" s="27"/>
      <c r="AJ86" s="37" t="s">
        <v>109</v>
      </c>
      <c r="AK86" s="30" t="s">
        <v>109</v>
      </c>
      <c r="AL86" s="24"/>
    </row>
    <row r="87" spans="1:38" ht="16.5" x14ac:dyDescent="0.25">
      <c r="A87" s="3">
        <v>2</v>
      </c>
      <c r="B87" s="21" t="s">
        <v>230</v>
      </c>
      <c r="C87" s="3" t="s">
        <v>231</v>
      </c>
      <c r="D87" s="21" t="s">
        <v>250</v>
      </c>
      <c r="E87" s="23" t="s">
        <v>288</v>
      </c>
      <c r="F87" s="34">
        <v>20016373</v>
      </c>
      <c r="G87" s="43" t="s">
        <v>111</v>
      </c>
      <c r="H87" s="3" t="s">
        <v>541</v>
      </c>
      <c r="I87" s="21" t="s">
        <v>276</v>
      </c>
      <c r="J87" s="28">
        <v>33</v>
      </c>
      <c r="K87" s="70">
        <v>17.02</v>
      </c>
      <c r="L87" s="71">
        <f t="shared" si="7"/>
        <v>561.66</v>
      </c>
      <c r="M87" s="37" t="s">
        <v>109</v>
      </c>
      <c r="N87" s="22" t="s">
        <v>109</v>
      </c>
      <c r="O87" s="3" t="s">
        <v>561</v>
      </c>
      <c r="P87" s="22" t="s">
        <v>551</v>
      </c>
      <c r="Q87" s="146" t="s">
        <v>109</v>
      </c>
      <c r="R87" s="160" t="s">
        <v>109</v>
      </c>
      <c r="S87" s="22" t="s">
        <v>109</v>
      </c>
      <c r="T87" s="161" t="s">
        <v>109</v>
      </c>
      <c r="U87" s="160"/>
      <c r="V87" s="169"/>
      <c r="W87" s="151" t="s">
        <v>109</v>
      </c>
      <c r="X87" s="22" t="s">
        <v>109</v>
      </c>
      <c r="Y87" s="22" t="s">
        <v>109</v>
      </c>
      <c r="Z87" s="22" t="s">
        <v>109</v>
      </c>
      <c r="AA87" s="30" t="s">
        <v>109</v>
      </c>
      <c r="AB87" s="33" t="s">
        <v>109</v>
      </c>
      <c r="AC87" s="3" t="s">
        <v>109</v>
      </c>
      <c r="AD87" s="2" t="s">
        <v>109</v>
      </c>
      <c r="AE87" s="27" t="s">
        <v>109</v>
      </c>
      <c r="AF87" s="107" t="s">
        <v>109</v>
      </c>
      <c r="AG87" s="2">
        <v>47</v>
      </c>
      <c r="AH87" s="106" t="s">
        <v>112</v>
      </c>
      <c r="AI87" s="27" t="s">
        <v>1270</v>
      </c>
      <c r="AJ87" s="37" t="s">
        <v>109</v>
      </c>
      <c r="AK87" s="30" t="s">
        <v>109</v>
      </c>
      <c r="AL87" s="24"/>
    </row>
    <row r="88" spans="1:38" ht="16.5" x14ac:dyDescent="0.25">
      <c r="A88" s="3">
        <v>2</v>
      </c>
      <c r="B88" s="21" t="s">
        <v>230</v>
      </c>
      <c r="C88" s="3" t="s">
        <v>231</v>
      </c>
      <c r="D88" s="21" t="s">
        <v>251</v>
      </c>
      <c r="E88" s="23" t="s">
        <v>288</v>
      </c>
      <c r="F88" s="34">
        <v>20016373</v>
      </c>
      <c r="G88" s="43" t="s">
        <v>111</v>
      </c>
      <c r="H88" s="3" t="s">
        <v>542</v>
      </c>
      <c r="I88" s="21" t="s">
        <v>277</v>
      </c>
      <c r="J88" s="38">
        <v>3</v>
      </c>
      <c r="K88" s="70">
        <v>17.02</v>
      </c>
      <c r="L88" s="71">
        <f t="shared" si="7"/>
        <v>51.06</v>
      </c>
      <c r="M88" s="37" t="s">
        <v>109</v>
      </c>
      <c r="N88" s="22" t="s">
        <v>109</v>
      </c>
      <c r="O88" s="3" t="s">
        <v>562</v>
      </c>
      <c r="P88" s="22" t="s">
        <v>552</v>
      </c>
      <c r="Q88" s="146" t="s">
        <v>109</v>
      </c>
      <c r="R88" s="160" t="s">
        <v>109</v>
      </c>
      <c r="S88" s="22" t="s">
        <v>109</v>
      </c>
      <c r="T88" s="161" t="s">
        <v>109</v>
      </c>
      <c r="U88" s="160"/>
      <c r="V88" s="169"/>
      <c r="W88" s="151" t="s">
        <v>109</v>
      </c>
      <c r="X88" s="22" t="s">
        <v>109</v>
      </c>
      <c r="Y88" s="22" t="s">
        <v>109</v>
      </c>
      <c r="Z88" s="22" t="s">
        <v>109</v>
      </c>
      <c r="AA88" s="30" t="s">
        <v>109</v>
      </c>
      <c r="AB88" s="33" t="s">
        <v>109</v>
      </c>
      <c r="AC88" s="3" t="s">
        <v>109</v>
      </c>
      <c r="AD88" s="2" t="s">
        <v>109</v>
      </c>
      <c r="AE88" s="27" t="s">
        <v>109</v>
      </c>
      <c r="AF88" s="107" t="s">
        <v>109</v>
      </c>
      <c r="AG88" s="2"/>
      <c r="AH88" s="95"/>
      <c r="AI88" s="27"/>
      <c r="AJ88" s="37" t="s">
        <v>109</v>
      </c>
      <c r="AK88" s="30" t="s">
        <v>109</v>
      </c>
      <c r="AL88" s="24"/>
    </row>
    <row r="89" spans="1:38" ht="16.5" x14ac:dyDescent="0.25">
      <c r="A89" s="3">
        <v>2</v>
      </c>
      <c r="B89" s="21" t="s">
        <v>230</v>
      </c>
      <c r="C89" s="3" t="s">
        <v>231</v>
      </c>
      <c r="D89" s="21" t="s">
        <v>252</v>
      </c>
      <c r="E89" s="23" t="s">
        <v>288</v>
      </c>
      <c r="F89" s="34">
        <v>20016373</v>
      </c>
      <c r="G89" s="43" t="s">
        <v>111</v>
      </c>
      <c r="H89" s="3" t="s">
        <v>542</v>
      </c>
      <c r="I89" s="21" t="s">
        <v>277</v>
      </c>
      <c r="J89" s="28">
        <v>33</v>
      </c>
      <c r="K89" s="70">
        <v>17.02</v>
      </c>
      <c r="L89" s="71">
        <f t="shared" si="7"/>
        <v>561.66</v>
      </c>
      <c r="M89" s="37" t="s">
        <v>109</v>
      </c>
      <c r="N89" s="22" t="s">
        <v>109</v>
      </c>
      <c r="O89" s="3" t="s">
        <v>562</v>
      </c>
      <c r="P89" s="22" t="s">
        <v>552</v>
      </c>
      <c r="Q89" s="146" t="s">
        <v>109</v>
      </c>
      <c r="R89" s="160" t="s">
        <v>109</v>
      </c>
      <c r="S89" s="22" t="s">
        <v>109</v>
      </c>
      <c r="T89" s="161" t="s">
        <v>109</v>
      </c>
      <c r="U89" s="160"/>
      <c r="V89" s="169"/>
      <c r="W89" s="151" t="s">
        <v>109</v>
      </c>
      <c r="X89" s="22" t="s">
        <v>109</v>
      </c>
      <c r="Y89" s="22" t="s">
        <v>109</v>
      </c>
      <c r="Z89" s="22" t="s">
        <v>109</v>
      </c>
      <c r="AA89" s="30" t="s">
        <v>109</v>
      </c>
      <c r="AB89" s="33" t="s">
        <v>109</v>
      </c>
      <c r="AC89" s="3" t="s">
        <v>109</v>
      </c>
      <c r="AD89" s="2" t="s">
        <v>109</v>
      </c>
      <c r="AE89" s="27" t="s">
        <v>109</v>
      </c>
      <c r="AF89" s="107" t="s">
        <v>109</v>
      </c>
      <c r="AG89" s="2">
        <v>48</v>
      </c>
      <c r="AH89" s="106" t="s">
        <v>112</v>
      </c>
      <c r="AI89" s="27" t="s">
        <v>1270</v>
      </c>
      <c r="AJ89" s="37" t="s">
        <v>109</v>
      </c>
      <c r="AK89" s="30" t="s">
        <v>109</v>
      </c>
      <c r="AL89" s="24"/>
    </row>
    <row r="90" spans="1:38" ht="16.5" x14ac:dyDescent="0.25">
      <c r="A90" s="3">
        <v>2</v>
      </c>
      <c r="B90" s="21" t="s">
        <v>230</v>
      </c>
      <c r="C90" s="3" t="s">
        <v>231</v>
      </c>
      <c r="D90" s="21" t="s">
        <v>253</v>
      </c>
      <c r="E90" s="23" t="s">
        <v>288</v>
      </c>
      <c r="F90" s="34">
        <v>20016373</v>
      </c>
      <c r="G90" s="43" t="s">
        <v>111</v>
      </c>
      <c r="H90" s="3" t="s">
        <v>543</v>
      </c>
      <c r="I90" s="21" t="s">
        <v>278</v>
      </c>
      <c r="J90" s="38">
        <v>3</v>
      </c>
      <c r="K90" s="70">
        <v>17.02</v>
      </c>
      <c r="L90" s="71">
        <f t="shared" si="7"/>
        <v>51.06</v>
      </c>
      <c r="M90" s="37" t="s">
        <v>109</v>
      </c>
      <c r="N90" s="22" t="s">
        <v>109</v>
      </c>
      <c r="O90" s="3" t="s">
        <v>563</v>
      </c>
      <c r="P90" s="22" t="s">
        <v>553</v>
      </c>
      <c r="Q90" s="146" t="s">
        <v>109</v>
      </c>
      <c r="R90" s="160" t="s">
        <v>109</v>
      </c>
      <c r="S90" s="22" t="s">
        <v>109</v>
      </c>
      <c r="T90" s="161" t="s">
        <v>109</v>
      </c>
      <c r="U90" s="160"/>
      <c r="V90" s="169"/>
      <c r="W90" s="151" t="s">
        <v>109</v>
      </c>
      <c r="X90" s="22" t="s">
        <v>109</v>
      </c>
      <c r="Y90" s="22" t="s">
        <v>109</v>
      </c>
      <c r="Z90" s="22" t="s">
        <v>109</v>
      </c>
      <c r="AA90" s="30" t="s">
        <v>109</v>
      </c>
      <c r="AB90" s="33" t="s">
        <v>109</v>
      </c>
      <c r="AC90" s="3" t="s">
        <v>109</v>
      </c>
      <c r="AD90" s="2" t="s">
        <v>109</v>
      </c>
      <c r="AE90" s="27" t="s">
        <v>109</v>
      </c>
      <c r="AF90" s="107" t="s">
        <v>109</v>
      </c>
      <c r="AG90" s="2"/>
      <c r="AH90" s="95"/>
      <c r="AI90" s="27"/>
      <c r="AJ90" s="37" t="s">
        <v>109</v>
      </c>
      <c r="AK90" s="30" t="s">
        <v>109</v>
      </c>
      <c r="AL90" s="24"/>
    </row>
    <row r="91" spans="1:38" ht="16.5" x14ac:dyDescent="0.25">
      <c r="A91" s="3">
        <v>2</v>
      </c>
      <c r="B91" s="21" t="s">
        <v>230</v>
      </c>
      <c r="C91" s="3" t="s">
        <v>231</v>
      </c>
      <c r="D91" s="21" t="s">
        <v>255</v>
      </c>
      <c r="E91" s="23" t="s">
        <v>288</v>
      </c>
      <c r="F91" s="34">
        <v>20016373</v>
      </c>
      <c r="G91" s="43" t="s">
        <v>111</v>
      </c>
      <c r="H91" s="3" t="s">
        <v>543</v>
      </c>
      <c r="I91" s="21" t="s">
        <v>278</v>
      </c>
      <c r="J91" s="28">
        <v>33</v>
      </c>
      <c r="K91" s="70">
        <v>17.02</v>
      </c>
      <c r="L91" s="71">
        <f t="shared" si="7"/>
        <v>561.66</v>
      </c>
      <c r="M91" s="37" t="s">
        <v>109</v>
      </c>
      <c r="N91" s="22" t="s">
        <v>109</v>
      </c>
      <c r="O91" s="3" t="s">
        <v>563</v>
      </c>
      <c r="P91" s="22" t="s">
        <v>553</v>
      </c>
      <c r="Q91" s="146" t="s">
        <v>109</v>
      </c>
      <c r="R91" s="160" t="s">
        <v>109</v>
      </c>
      <c r="S91" s="22" t="s">
        <v>109</v>
      </c>
      <c r="T91" s="161" t="s">
        <v>109</v>
      </c>
      <c r="U91" s="160"/>
      <c r="V91" s="169"/>
      <c r="W91" s="151" t="s">
        <v>109</v>
      </c>
      <c r="X91" s="22" t="s">
        <v>109</v>
      </c>
      <c r="Y91" s="22" t="s">
        <v>109</v>
      </c>
      <c r="Z91" s="22" t="s">
        <v>109</v>
      </c>
      <c r="AA91" s="30" t="s">
        <v>109</v>
      </c>
      <c r="AB91" s="33" t="s">
        <v>109</v>
      </c>
      <c r="AC91" s="3" t="s">
        <v>109</v>
      </c>
      <c r="AD91" s="2" t="s">
        <v>109</v>
      </c>
      <c r="AE91" s="27" t="s">
        <v>109</v>
      </c>
      <c r="AF91" s="107" t="s">
        <v>109</v>
      </c>
      <c r="AG91" s="2">
        <v>49</v>
      </c>
      <c r="AH91" s="106" t="s">
        <v>112</v>
      </c>
      <c r="AI91" s="27" t="s">
        <v>1270</v>
      </c>
      <c r="AJ91" s="37" t="s">
        <v>109</v>
      </c>
      <c r="AK91" s="30" t="s">
        <v>109</v>
      </c>
      <c r="AL91" s="24"/>
    </row>
    <row r="92" spans="1:38" ht="16.5" x14ac:dyDescent="0.25">
      <c r="A92" s="3">
        <v>2</v>
      </c>
      <c r="B92" s="21" t="s">
        <v>230</v>
      </c>
      <c r="C92" s="3" t="s">
        <v>231</v>
      </c>
      <c r="D92" s="21" t="s">
        <v>256</v>
      </c>
      <c r="E92" s="23" t="s">
        <v>288</v>
      </c>
      <c r="F92" s="34">
        <v>20016373</v>
      </c>
      <c r="G92" s="43" t="s">
        <v>111</v>
      </c>
      <c r="H92" s="3" t="s">
        <v>544</v>
      </c>
      <c r="I92" s="21" t="s">
        <v>279</v>
      </c>
      <c r="J92" s="38">
        <v>3</v>
      </c>
      <c r="K92" s="70">
        <v>17.02</v>
      </c>
      <c r="L92" s="71">
        <f t="shared" si="7"/>
        <v>51.06</v>
      </c>
      <c r="M92" s="37" t="s">
        <v>109</v>
      </c>
      <c r="N92" s="22" t="s">
        <v>109</v>
      </c>
      <c r="O92" s="3" t="s">
        <v>564</v>
      </c>
      <c r="P92" s="22" t="s">
        <v>554</v>
      </c>
      <c r="Q92" s="146" t="s">
        <v>109</v>
      </c>
      <c r="R92" s="160" t="s">
        <v>109</v>
      </c>
      <c r="S92" s="22" t="s">
        <v>109</v>
      </c>
      <c r="T92" s="161" t="s">
        <v>109</v>
      </c>
      <c r="U92" s="160"/>
      <c r="V92" s="169"/>
      <c r="W92" s="151" t="s">
        <v>109</v>
      </c>
      <c r="X92" s="22" t="s">
        <v>109</v>
      </c>
      <c r="Y92" s="22" t="s">
        <v>109</v>
      </c>
      <c r="Z92" s="22" t="s">
        <v>109</v>
      </c>
      <c r="AA92" s="30" t="s">
        <v>109</v>
      </c>
      <c r="AB92" s="33" t="s">
        <v>109</v>
      </c>
      <c r="AC92" s="3" t="s">
        <v>109</v>
      </c>
      <c r="AD92" s="2" t="s">
        <v>109</v>
      </c>
      <c r="AE92" s="27" t="s">
        <v>109</v>
      </c>
      <c r="AF92" s="107" t="s">
        <v>109</v>
      </c>
      <c r="AG92" s="2"/>
      <c r="AH92" s="95"/>
      <c r="AI92" s="27"/>
      <c r="AJ92" s="37" t="s">
        <v>109</v>
      </c>
      <c r="AK92" s="30" t="s">
        <v>109</v>
      </c>
      <c r="AL92" s="24"/>
    </row>
    <row r="93" spans="1:38" ht="16.5" x14ac:dyDescent="0.25">
      <c r="A93" s="3">
        <v>2</v>
      </c>
      <c r="B93" s="21" t="s">
        <v>230</v>
      </c>
      <c r="C93" s="3" t="s">
        <v>231</v>
      </c>
      <c r="D93" s="21" t="s">
        <v>254</v>
      </c>
      <c r="E93" s="23" t="s">
        <v>288</v>
      </c>
      <c r="F93" s="34">
        <v>20016373</v>
      </c>
      <c r="G93" s="43" t="s">
        <v>111</v>
      </c>
      <c r="H93" s="3" t="s">
        <v>544</v>
      </c>
      <c r="I93" s="21" t="s">
        <v>279</v>
      </c>
      <c r="J93" s="28">
        <v>33</v>
      </c>
      <c r="K93" s="70">
        <v>17.02</v>
      </c>
      <c r="L93" s="71">
        <f t="shared" si="7"/>
        <v>561.66</v>
      </c>
      <c r="M93" s="37" t="s">
        <v>109</v>
      </c>
      <c r="N93" s="22" t="s">
        <v>109</v>
      </c>
      <c r="O93" s="3" t="s">
        <v>564</v>
      </c>
      <c r="P93" s="22" t="s">
        <v>554</v>
      </c>
      <c r="Q93" s="146" t="s">
        <v>109</v>
      </c>
      <c r="R93" s="160" t="s">
        <v>109</v>
      </c>
      <c r="S93" s="22" t="s">
        <v>109</v>
      </c>
      <c r="T93" s="161" t="s">
        <v>109</v>
      </c>
      <c r="U93" s="160"/>
      <c r="V93" s="169"/>
      <c r="W93" s="151" t="s">
        <v>109</v>
      </c>
      <c r="X93" s="22" t="s">
        <v>109</v>
      </c>
      <c r="Y93" s="22" t="s">
        <v>109</v>
      </c>
      <c r="Z93" s="22" t="s">
        <v>109</v>
      </c>
      <c r="AA93" s="30" t="s">
        <v>109</v>
      </c>
      <c r="AB93" s="33" t="s">
        <v>109</v>
      </c>
      <c r="AC93" s="3" t="s">
        <v>109</v>
      </c>
      <c r="AD93" s="2" t="s">
        <v>109</v>
      </c>
      <c r="AE93" s="27" t="s">
        <v>109</v>
      </c>
      <c r="AF93" s="107" t="s">
        <v>109</v>
      </c>
      <c r="AG93" s="2">
        <v>50</v>
      </c>
      <c r="AH93" s="106" t="s">
        <v>112</v>
      </c>
      <c r="AI93" s="27" t="s">
        <v>1270</v>
      </c>
      <c r="AJ93" s="37" t="s">
        <v>109</v>
      </c>
      <c r="AK93" s="30" t="s">
        <v>109</v>
      </c>
      <c r="AL93" s="24"/>
    </row>
    <row r="94" spans="1:38" ht="16.5" x14ac:dyDescent="0.25">
      <c r="A94" s="3">
        <v>2</v>
      </c>
      <c r="B94" s="21" t="s">
        <v>230</v>
      </c>
      <c r="C94" s="3" t="s">
        <v>231</v>
      </c>
      <c r="D94" s="21" t="s">
        <v>257</v>
      </c>
      <c r="E94" s="23" t="s">
        <v>288</v>
      </c>
      <c r="F94" s="34">
        <v>20016373</v>
      </c>
      <c r="G94" s="43" t="s">
        <v>111</v>
      </c>
      <c r="H94" s="3" t="s">
        <v>545</v>
      </c>
      <c r="I94" s="21" t="s">
        <v>280</v>
      </c>
      <c r="J94" s="38">
        <v>3</v>
      </c>
      <c r="K94" s="70">
        <v>17.02</v>
      </c>
      <c r="L94" s="71">
        <f t="shared" si="7"/>
        <v>51.06</v>
      </c>
      <c r="M94" s="37" t="s">
        <v>109</v>
      </c>
      <c r="N94" s="22" t="s">
        <v>109</v>
      </c>
      <c r="O94" s="3" t="s">
        <v>565</v>
      </c>
      <c r="P94" s="22" t="s">
        <v>555</v>
      </c>
      <c r="Q94" s="146" t="s">
        <v>109</v>
      </c>
      <c r="R94" s="160" t="s">
        <v>109</v>
      </c>
      <c r="S94" s="22" t="s">
        <v>109</v>
      </c>
      <c r="T94" s="161" t="s">
        <v>109</v>
      </c>
      <c r="U94" s="160"/>
      <c r="V94" s="169"/>
      <c r="W94" s="151" t="s">
        <v>109</v>
      </c>
      <c r="X94" s="22" t="s">
        <v>109</v>
      </c>
      <c r="Y94" s="22" t="s">
        <v>109</v>
      </c>
      <c r="Z94" s="22" t="s">
        <v>109</v>
      </c>
      <c r="AA94" s="30" t="s">
        <v>109</v>
      </c>
      <c r="AB94" s="33" t="s">
        <v>109</v>
      </c>
      <c r="AC94" s="3" t="s">
        <v>109</v>
      </c>
      <c r="AD94" s="2" t="s">
        <v>109</v>
      </c>
      <c r="AE94" s="27" t="s">
        <v>109</v>
      </c>
      <c r="AF94" s="107" t="s">
        <v>109</v>
      </c>
      <c r="AG94" s="2"/>
      <c r="AH94" s="95"/>
      <c r="AI94" s="27"/>
      <c r="AJ94" s="37" t="s">
        <v>109</v>
      </c>
      <c r="AK94" s="30" t="s">
        <v>109</v>
      </c>
      <c r="AL94" s="24"/>
    </row>
    <row r="95" spans="1:38" ht="16.5" x14ac:dyDescent="0.25">
      <c r="A95" s="3">
        <v>2</v>
      </c>
      <c r="B95" s="21" t="s">
        <v>230</v>
      </c>
      <c r="C95" s="3" t="s">
        <v>231</v>
      </c>
      <c r="D95" s="21" t="s">
        <v>258</v>
      </c>
      <c r="E95" s="23" t="s">
        <v>288</v>
      </c>
      <c r="F95" s="34">
        <v>20016373</v>
      </c>
      <c r="G95" s="43" t="s">
        <v>111</v>
      </c>
      <c r="H95" s="3" t="s">
        <v>545</v>
      </c>
      <c r="I95" s="21" t="s">
        <v>280</v>
      </c>
      <c r="J95" s="28">
        <v>33</v>
      </c>
      <c r="K95" s="70">
        <v>17.02</v>
      </c>
      <c r="L95" s="71">
        <f t="shared" si="7"/>
        <v>561.66</v>
      </c>
      <c r="M95" s="37" t="s">
        <v>109</v>
      </c>
      <c r="N95" s="22" t="s">
        <v>109</v>
      </c>
      <c r="O95" s="3" t="s">
        <v>565</v>
      </c>
      <c r="P95" s="22" t="s">
        <v>555</v>
      </c>
      <c r="Q95" s="146" t="s">
        <v>109</v>
      </c>
      <c r="R95" s="160" t="s">
        <v>109</v>
      </c>
      <c r="S95" s="22" t="s">
        <v>109</v>
      </c>
      <c r="T95" s="161" t="s">
        <v>109</v>
      </c>
      <c r="U95" s="160"/>
      <c r="V95" s="169"/>
      <c r="W95" s="151" t="s">
        <v>109</v>
      </c>
      <c r="X95" s="22" t="s">
        <v>109</v>
      </c>
      <c r="Y95" s="22" t="s">
        <v>109</v>
      </c>
      <c r="Z95" s="22" t="s">
        <v>109</v>
      </c>
      <c r="AA95" s="30" t="s">
        <v>109</v>
      </c>
      <c r="AB95" s="33" t="s">
        <v>109</v>
      </c>
      <c r="AC95" s="3" t="s">
        <v>109</v>
      </c>
      <c r="AD95" s="2" t="s">
        <v>109</v>
      </c>
      <c r="AE95" s="27" t="s">
        <v>109</v>
      </c>
      <c r="AF95" s="107" t="s">
        <v>109</v>
      </c>
      <c r="AG95" s="2">
        <v>51</v>
      </c>
      <c r="AH95" s="106" t="s">
        <v>112</v>
      </c>
      <c r="AI95" s="27" t="s">
        <v>1270</v>
      </c>
      <c r="AJ95" s="37" t="s">
        <v>109</v>
      </c>
      <c r="AK95" s="30" t="s">
        <v>109</v>
      </c>
      <c r="AL95" s="24"/>
    </row>
    <row r="96" spans="1:38" ht="16.5" x14ac:dyDescent="0.25">
      <c r="A96" s="3">
        <v>2</v>
      </c>
      <c r="B96" s="21" t="s">
        <v>230</v>
      </c>
      <c r="C96" s="3" t="s">
        <v>231</v>
      </c>
      <c r="D96" s="21" t="s">
        <v>259</v>
      </c>
      <c r="E96" s="23" t="s">
        <v>288</v>
      </c>
      <c r="F96" s="34">
        <v>20016373</v>
      </c>
      <c r="G96" s="43" t="s">
        <v>111</v>
      </c>
      <c r="H96" s="3" t="s">
        <v>546</v>
      </c>
      <c r="I96" s="21" t="s">
        <v>281</v>
      </c>
      <c r="J96" s="38">
        <v>3</v>
      </c>
      <c r="K96" s="70">
        <v>17.02</v>
      </c>
      <c r="L96" s="71">
        <f t="shared" si="7"/>
        <v>51.06</v>
      </c>
      <c r="M96" s="37" t="s">
        <v>109</v>
      </c>
      <c r="N96" s="22" t="s">
        <v>109</v>
      </c>
      <c r="O96" s="3" t="s">
        <v>566</v>
      </c>
      <c r="P96" s="22" t="s">
        <v>556</v>
      </c>
      <c r="Q96" s="146" t="s">
        <v>109</v>
      </c>
      <c r="R96" s="160" t="s">
        <v>109</v>
      </c>
      <c r="S96" s="22" t="s">
        <v>109</v>
      </c>
      <c r="T96" s="161" t="s">
        <v>109</v>
      </c>
      <c r="U96" s="160"/>
      <c r="V96" s="169"/>
      <c r="W96" s="151" t="s">
        <v>109</v>
      </c>
      <c r="X96" s="22" t="s">
        <v>109</v>
      </c>
      <c r="Y96" s="22" t="s">
        <v>109</v>
      </c>
      <c r="Z96" s="22" t="s">
        <v>109</v>
      </c>
      <c r="AA96" s="30" t="s">
        <v>109</v>
      </c>
      <c r="AB96" s="33" t="s">
        <v>109</v>
      </c>
      <c r="AC96" s="3" t="s">
        <v>109</v>
      </c>
      <c r="AD96" s="2" t="s">
        <v>109</v>
      </c>
      <c r="AE96" s="27" t="s">
        <v>109</v>
      </c>
      <c r="AF96" s="107" t="s">
        <v>109</v>
      </c>
      <c r="AG96" s="2"/>
      <c r="AH96" s="95"/>
      <c r="AI96" s="27"/>
      <c r="AJ96" s="37" t="s">
        <v>109</v>
      </c>
      <c r="AK96" s="30" t="s">
        <v>109</v>
      </c>
      <c r="AL96" s="24"/>
    </row>
    <row r="97" spans="1:38" ht="16.5" x14ac:dyDescent="0.25">
      <c r="A97" s="3">
        <v>2</v>
      </c>
      <c r="B97" s="21" t="s">
        <v>230</v>
      </c>
      <c r="C97" s="3" t="s">
        <v>231</v>
      </c>
      <c r="D97" s="21" t="s">
        <v>260</v>
      </c>
      <c r="E97" s="23" t="s">
        <v>288</v>
      </c>
      <c r="F97" s="34">
        <v>20016373</v>
      </c>
      <c r="G97" s="43" t="s">
        <v>111</v>
      </c>
      <c r="H97" s="3" t="s">
        <v>546</v>
      </c>
      <c r="I97" s="21" t="s">
        <v>281</v>
      </c>
      <c r="J97" s="28">
        <v>33</v>
      </c>
      <c r="K97" s="70">
        <v>17.02</v>
      </c>
      <c r="L97" s="71">
        <f t="shared" si="7"/>
        <v>561.66</v>
      </c>
      <c r="M97" s="37" t="s">
        <v>109</v>
      </c>
      <c r="N97" s="22" t="s">
        <v>109</v>
      </c>
      <c r="O97" s="3" t="s">
        <v>566</v>
      </c>
      <c r="P97" s="22" t="s">
        <v>556</v>
      </c>
      <c r="Q97" s="146" t="s">
        <v>109</v>
      </c>
      <c r="R97" s="160" t="s">
        <v>109</v>
      </c>
      <c r="S97" s="22" t="s">
        <v>109</v>
      </c>
      <c r="T97" s="161" t="s">
        <v>109</v>
      </c>
      <c r="U97" s="160"/>
      <c r="V97" s="169"/>
      <c r="W97" s="151" t="s">
        <v>109</v>
      </c>
      <c r="X97" s="22" t="s">
        <v>109</v>
      </c>
      <c r="Y97" s="22" t="s">
        <v>109</v>
      </c>
      <c r="Z97" s="22" t="s">
        <v>109</v>
      </c>
      <c r="AA97" s="30" t="s">
        <v>109</v>
      </c>
      <c r="AB97" s="33" t="s">
        <v>109</v>
      </c>
      <c r="AC97" s="3" t="s">
        <v>109</v>
      </c>
      <c r="AD97" s="2" t="s">
        <v>109</v>
      </c>
      <c r="AE97" s="27" t="s">
        <v>109</v>
      </c>
      <c r="AF97" s="107" t="s">
        <v>109</v>
      </c>
      <c r="AG97" s="2">
        <v>52</v>
      </c>
      <c r="AH97" s="106" t="s">
        <v>112</v>
      </c>
      <c r="AI97" s="27" t="s">
        <v>1270</v>
      </c>
      <c r="AJ97" s="37" t="s">
        <v>109</v>
      </c>
      <c r="AK97" s="30" t="s">
        <v>109</v>
      </c>
      <c r="AL97" s="24"/>
    </row>
    <row r="98" spans="1:38" ht="16.5" x14ac:dyDescent="0.25">
      <c r="A98" s="3">
        <v>2</v>
      </c>
      <c r="B98" s="21" t="s">
        <v>230</v>
      </c>
      <c r="C98" s="3" t="s">
        <v>231</v>
      </c>
      <c r="D98" s="21" t="s">
        <v>261</v>
      </c>
      <c r="E98" s="23" t="s">
        <v>288</v>
      </c>
      <c r="F98" s="34">
        <v>20016373</v>
      </c>
      <c r="G98" s="43" t="s">
        <v>111</v>
      </c>
      <c r="H98" s="3" t="s">
        <v>547</v>
      </c>
      <c r="I98" s="21" t="s">
        <v>282</v>
      </c>
      <c r="J98" s="38">
        <v>3</v>
      </c>
      <c r="K98" s="70">
        <v>17.02</v>
      </c>
      <c r="L98" s="71">
        <f t="shared" si="7"/>
        <v>51.06</v>
      </c>
      <c r="M98" s="37" t="s">
        <v>109</v>
      </c>
      <c r="N98" s="22" t="s">
        <v>109</v>
      </c>
      <c r="O98" s="3" t="s">
        <v>567</v>
      </c>
      <c r="P98" s="22" t="s">
        <v>557</v>
      </c>
      <c r="Q98" s="146" t="s">
        <v>109</v>
      </c>
      <c r="R98" s="160" t="s">
        <v>109</v>
      </c>
      <c r="S98" s="22" t="s">
        <v>109</v>
      </c>
      <c r="T98" s="161" t="s">
        <v>109</v>
      </c>
      <c r="U98" s="160"/>
      <c r="V98" s="169"/>
      <c r="W98" s="151" t="s">
        <v>109</v>
      </c>
      <c r="X98" s="22" t="s">
        <v>109</v>
      </c>
      <c r="Y98" s="22" t="s">
        <v>109</v>
      </c>
      <c r="Z98" s="22" t="s">
        <v>109</v>
      </c>
      <c r="AA98" s="30" t="s">
        <v>109</v>
      </c>
      <c r="AB98" s="33" t="s">
        <v>109</v>
      </c>
      <c r="AC98" s="3" t="s">
        <v>109</v>
      </c>
      <c r="AD98" s="2" t="s">
        <v>109</v>
      </c>
      <c r="AE98" s="27" t="s">
        <v>109</v>
      </c>
      <c r="AF98" s="107" t="s">
        <v>109</v>
      </c>
      <c r="AG98" s="2"/>
      <c r="AH98" s="95"/>
      <c r="AI98" s="27"/>
      <c r="AJ98" s="37" t="s">
        <v>109</v>
      </c>
      <c r="AK98" s="30" t="s">
        <v>109</v>
      </c>
      <c r="AL98" s="24"/>
    </row>
    <row r="99" spans="1:38" ht="16.5" x14ac:dyDescent="0.25">
      <c r="A99" s="3">
        <v>2</v>
      </c>
      <c r="B99" s="21" t="s">
        <v>230</v>
      </c>
      <c r="C99" s="3" t="s">
        <v>231</v>
      </c>
      <c r="D99" s="21" t="s">
        <v>262</v>
      </c>
      <c r="E99" s="23" t="s">
        <v>288</v>
      </c>
      <c r="F99" s="34">
        <v>20016373</v>
      </c>
      <c r="G99" s="43" t="s">
        <v>111</v>
      </c>
      <c r="H99" s="3" t="s">
        <v>547</v>
      </c>
      <c r="I99" s="21" t="s">
        <v>282</v>
      </c>
      <c r="J99" s="28">
        <v>33</v>
      </c>
      <c r="K99" s="70">
        <v>17.02</v>
      </c>
      <c r="L99" s="71">
        <f t="shared" si="7"/>
        <v>561.66</v>
      </c>
      <c r="M99" s="37" t="s">
        <v>109</v>
      </c>
      <c r="N99" s="22" t="s">
        <v>109</v>
      </c>
      <c r="O99" s="3" t="s">
        <v>567</v>
      </c>
      <c r="P99" s="22" t="s">
        <v>557</v>
      </c>
      <c r="Q99" s="146" t="s">
        <v>109</v>
      </c>
      <c r="R99" s="160" t="s">
        <v>109</v>
      </c>
      <c r="S99" s="22" t="s">
        <v>109</v>
      </c>
      <c r="T99" s="161" t="s">
        <v>109</v>
      </c>
      <c r="U99" s="160"/>
      <c r="V99" s="169"/>
      <c r="W99" s="151" t="s">
        <v>109</v>
      </c>
      <c r="X99" s="22" t="s">
        <v>109</v>
      </c>
      <c r="Y99" s="22" t="s">
        <v>109</v>
      </c>
      <c r="Z99" s="22" t="s">
        <v>109</v>
      </c>
      <c r="AA99" s="30" t="s">
        <v>109</v>
      </c>
      <c r="AB99" s="33" t="s">
        <v>109</v>
      </c>
      <c r="AC99" s="3" t="s">
        <v>109</v>
      </c>
      <c r="AD99" s="2" t="s">
        <v>109</v>
      </c>
      <c r="AE99" s="27" t="s">
        <v>109</v>
      </c>
      <c r="AF99" s="107" t="s">
        <v>109</v>
      </c>
      <c r="AG99" s="2">
        <v>53</v>
      </c>
      <c r="AH99" s="106" t="s">
        <v>112</v>
      </c>
      <c r="AI99" s="27" t="s">
        <v>1270</v>
      </c>
      <c r="AJ99" s="37" t="s">
        <v>109</v>
      </c>
      <c r="AK99" s="30" t="s">
        <v>109</v>
      </c>
      <c r="AL99" s="24"/>
    </row>
    <row r="100" spans="1:38" ht="16.5" x14ac:dyDescent="0.25">
      <c r="A100" s="3">
        <v>2</v>
      </c>
      <c r="B100" s="21" t="s">
        <v>230</v>
      </c>
      <c r="C100" s="3" t="s">
        <v>231</v>
      </c>
      <c r="D100" s="21" t="s">
        <v>263</v>
      </c>
      <c r="E100" s="23" t="s">
        <v>288</v>
      </c>
      <c r="F100" s="34">
        <v>20016373</v>
      </c>
      <c r="G100" s="43" t="s">
        <v>111</v>
      </c>
      <c r="H100" s="3" t="s">
        <v>548</v>
      </c>
      <c r="I100" s="21" t="s">
        <v>283</v>
      </c>
      <c r="J100" s="38">
        <v>3</v>
      </c>
      <c r="K100" s="70">
        <v>17.02</v>
      </c>
      <c r="L100" s="71">
        <f t="shared" si="7"/>
        <v>51.06</v>
      </c>
      <c r="M100" s="37" t="s">
        <v>109</v>
      </c>
      <c r="N100" s="22" t="s">
        <v>109</v>
      </c>
      <c r="O100" s="3" t="s">
        <v>568</v>
      </c>
      <c r="P100" s="22" t="s">
        <v>558</v>
      </c>
      <c r="Q100" s="146" t="s">
        <v>109</v>
      </c>
      <c r="R100" s="160" t="s">
        <v>109</v>
      </c>
      <c r="S100" s="22" t="s">
        <v>109</v>
      </c>
      <c r="T100" s="161" t="s">
        <v>109</v>
      </c>
      <c r="U100" s="160"/>
      <c r="V100" s="169"/>
      <c r="W100" s="151" t="s">
        <v>109</v>
      </c>
      <c r="X100" s="22" t="s">
        <v>109</v>
      </c>
      <c r="Y100" s="22" t="s">
        <v>109</v>
      </c>
      <c r="Z100" s="22" t="s">
        <v>109</v>
      </c>
      <c r="AA100" s="30" t="s">
        <v>109</v>
      </c>
      <c r="AB100" s="33" t="s">
        <v>109</v>
      </c>
      <c r="AC100" s="3" t="s">
        <v>109</v>
      </c>
      <c r="AD100" s="2" t="s">
        <v>109</v>
      </c>
      <c r="AE100" s="27" t="s">
        <v>109</v>
      </c>
      <c r="AF100" s="107" t="s">
        <v>109</v>
      </c>
      <c r="AG100" s="2"/>
      <c r="AH100" s="95"/>
      <c r="AI100" s="27"/>
      <c r="AJ100" s="37" t="s">
        <v>109</v>
      </c>
      <c r="AK100" s="30" t="s">
        <v>109</v>
      </c>
      <c r="AL100" s="24"/>
    </row>
    <row r="101" spans="1:38" ht="16.5" x14ac:dyDescent="0.25">
      <c r="A101" s="3">
        <v>2</v>
      </c>
      <c r="B101" s="21" t="s">
        <v>230</v>
      </c>
      <c r="C101" s="3" t="s">
        <v>231</v>
      </c>
      <c r="D101" s="21" t="s">
        <v>264</v>
      </c>
      <c r="E101" s="23" t="s">
        <v>288</v>
      </c>
      <c r="F101" s="34">
        <v>20016373</v>
      </c>
      <c r="G101" s="43" t="s">
        <v>111</v>
      </c>
      <c r="H101" s="3" t="s">
        <v>548</v>
      </c>
      <c r="I101" s="21" t="s">
        <v>283</v>
      </c>
      <c r="J101" s="28">
        <v>33</v>
      </c>
      <c r="K101" s="70">
        <v>17.02</v>
      </c>
      <c r="L101" s="71">
        <f t="shared" si="7"/>
        <v>561.66</v>
      </c>
      <c r="M101" s="37" t="s">
        <v>109</v>
      </c>
      <c r="N101" s="22" t="s">
        <v>109</v>
      </c>
      <c r="O101" s="3" t="s">
        <v>568</v>
      </c>
      <c r="P101" s="22" t="s">
        <v>558</v>
      </c>
      <c r="Q101" s="146" t="s">
        <v>109</v>
      </c>
      <c r="R101" s="160" t="s">
        <v>109</v>
      </c>
      <c r="S101" s="22" t="s">
        <v>109</v>
      </c>
      <c r="T101" s="161" t="s">
        <v>109</v>
      </c>
      <c r="U101" s="160"/>
      <c r="V101" s="169"/>
      <c r="W101" s="151" t="s">
        <v>109</v>
      </c>
      <c r="X101" s="22" t="s">
        <v>109</v>
      </c>
      <c r="Y101" s="22" t="s">
        <v>109</v>
      </c>
      <c r="Z101" s="22" t="s">
        <v>109</v>
      </c>
      <c r="AA101" s="30" t="s">
        <v>109</v>
      </c>
      <c r="AB101" s="33" t="s">
        <v>109</v>
      </c>
      <c r="AC101" s="3" t="s">
        <v>109</v>
      </c>
      <c r="AD101" s="2" t="s">
        <v>109</v>
      </c>
      <c r="AE101" s="27" t="s">
        <v>109</v>
      </c>
      <c r="AF101" s="107" t="s">
        <v>109</v>
      </c>
      <c r="AG101" s="2">
        <v>54</v>
      </c>
      <c r="AH101" s="106" t="s">
        <v>112</v>
      </c>
      <c r="AI101" s="27" t="s">
        <v>1270</v>
      </c>
      <c r="AJ101" s="37" t="s">
        <v>109</v>
      </c>
      <c r="AK101" s="30" t="s">
        <v>109</v>
      </c>
      <c r="AL101" s="24"/>
    </row>
    <row r="102" spans="1:38" ht="16.5" x14ac:dyDescent="0.25">
      <c r="A102" s="3">
        <v>2</v>
      </c>
      <c r="B102" s="21" t="s">
        <v>230</v>
      </c>
      <c r="C102" s="3" t="s">
        <v>231</v>
      </c>
      <c r="D102" s="21" t="s">
        <v>265</v>
      </c>
      <c r="E102" s="23" t="s">
        <v>288</v>
      </c>
      <c r="F102" s="34">
        <v>20016373</v>
      </c>
      <c r="G102" s="43" t="s">
        <v>111</v>
      </c>
      <c r="H102" s="3" t="s">
        <v>549</v>
      </c>
      <c r="I102" s="21" t="s">
        <v>284</v>
      </c>
      <c r="J102" s="38">
        <v>3</v>
      </c>
      <c r="K102" s="70">
        <v>17.02</v>
      </c>
      <c r="L102" s="71">
        <f t="shared" si="7"/>
        <v>51.06</v>
      </c>
      <c r="M102" s="37" t="s">
        <v>109</v>
      </c>
      <c r="N102" s="22" t="s">
        <v>109</v>
      </c>
      <c r="O102" s="3" t="s">
        <v>569</v>
      </c>
      <c r="P102" s="22" t="s">
        <v>559</v>
      </c>
      <c r="Q102" s="146" t="s">
        <v>109</v>
      </c>
      <c r="R102" s="160" t="s">
        <v>109</v>
      </c>
      <c r="S102" s="22" t="s">
        <v>109</v>
      </c>
      <c r="T102" s="161" t="s">
        <v>109</v>
      </c>
      <c r="U102" s="160"/>
      <c r="V102" s="169"/>
      <c r="W102" s="151" t="s">
        <v>109</v>
      </c>
      <c r="X102" s="22" t="s">
        <v>109</v>
      </c>
      <c r="Y102" s="22" t="s">
        <v>109</v>
      </c>
      <c r="Z102" s="22" t="s">
        <v>109</v>
      </c>
      <c r="AA102" s="30" t="s">
        <v>109</v>
      </c>
      <c r="AB102" s="33" t="s">
        <v>109</v>
      </c>
      <c r="AC102" s="3" t="s">
        <v>109</v>
      </c>
      <c r="AD102" s="2" t="s">
        <v>109</v>
      </c>
      <c r="AE102" s="27" t="s">
        <v>109</v>
      </c>
      <c r="AF102" s="107" t="s">
        <v>109</v>
      </c>
      <c r="AG102" s="2"/>
      <c r="AH102" s="95"/>
      <c r="AI102" s="27"/>
      <c r="AJ102" s="37" t="s">
        <v>109</v>
      </c>
      <c r="AK102" s="30" t="s">
        <v>109</v>
      </c>
      <c r="AL102" s="24"/>
    </row>
    <row r="103" spans="1:38" ht="16.5" x14ac:dyDescent="0.25">
      <c r="A103" s="3">
        <v>2</v>
      </c>
      <c r="B103" s="21" t="s">
        <v>230</v>
      </c>
      <c r="C103" s="3" t="s">
        <v>231</v>
      </c>
      <c r="D103" s="21" t="s">
        <v>266</v>
      </c>
      <c r="E103" s="23" t="s">
        <v>288</v>
      </c>
      <c r="F103" s="34">
        <v>20016373</v>
      </c>
      <c r="G103" s="43" t="s">
        <v>111</v>
      </c>
      <c r="H103" s="3" t="s">
        <v>549</v>
      </c>
      <c r="I103" s="21" t="s">
        <v>284</v>
      </c>
      <c r="J103" s="28">
        <v>33</v>
      </c>
      <c r="K103" s="70">
        <v>17.02</v>
      </c>
      <c r="L103" s="71">
        <f t="shared" si="7"/>
        <v>561.66</v>
      </c>
      <c r="M103" s="37" t="s">
        <v>109</v>
      </c>
      <c r="N103" s="22" t="s">
        <v>109</v>
      </c>
      <c r="O103" s="3" t="s">
        <v>569</v>
      </c>
      <c r="P103" s="22" t="s">
        <v>559</v>
      </c>
      <c r="Q103" s="146" t="s">
        <v>109</v>
      </c>
      <c r="R103" s="160" t="s">
        <v>109</v>
      </c>
      <c r="S103" s="22" t="s">
        <v>109</v>
      </c>
      <c r="T103" s="161" t="s">
        <v>109</v>
      </c>
      <c r="U103" s="160"/>
      <c r="V103" s="169"/>
      <c r="W103" s="151" t="s">
        <v>109</v>
      </c>
      <c r="X103" s="22" t="s">
        <v>109</v>
      </c>
      <c r="Y103" s="22" t="s">
        <v>109</v>
      </c>
      <c r="Z103" s="22" t="s">
        <v>109</v>
      </c>
      <c r="AA103" s="30" t="s">
        <v>109</v>
      </c>
      <c r="AB103" s="33" t="s">
        <v>109</v>
      </c>
      <c r="AC103" s="3" t="s">
        <v>109</v>
      </c>
      <c r="AD103" s="2" t="s">
        <v>109</v>
      </c>
      <c r="AE103" s="27" t="s">
        <v>109</v>
      </c>
      <c r="AF103" s="107" t="s">
        <v>109</v>
      </c>
      <c r="AG103" s="2">
        <v>55</v>
      </c>
      <c r="AH103" s="106" t="s">
        <v>112</v>
      </c>
      <c r="AI103" s="27" t="s">
        <v>1270</v>
      </c>
      <c r="AJ103" s="37" t="s">
        <v>109</v>
      </c>
      <c r="AK103" s="30" t="s">
        <v>109</v>
      </c>
      <c r="AL103" s="24"/>
    </row>
    <row r="104" spans="1:38" ht="16.5" x14ac:dyDescent="0.25">
      <c r="A104" s="3">
        <v>2</v>
      </c>
      <c r="B104" s="21" t="s">
        <v>230</v>
      </c>
      <c r="C104" s="3" t="s">
        <v>231</v>
      </c>
      <c r="D104" s="21" t="s">
        <v>267</v>
      </c>
      <c r="E104" s="23" t="s">
        <v>288</v>
      </c>
      <c r="F104" s="34">
        <v>20016373</v>
      </c>
      <c r="G104" s="43" t="s">
        <v>111</v>
      </c>
      <c r="H104" s="3" t="s">
        <v>550</v>
      </c>
      <c r="I104" s="21" t="s">
        <v>285</v>
      </c>
      <c r="J104" s="38">
        <v>3</v>
      </c>
      <c r="K104" s="70">
        <v>17.02</v>
      </c>
      <c r="L104" s="71">
        <f t="shared" si="7"/>
        <v>51.06</v>
      </c>
      <c r="M104" s="37" t="s">
        <v>109</v>
      </c>
      <c r="N104" s="22" t="s">
        <v>109</v>
      </c>
      <c r="O104" s="3" t="s">
        <v>570</v>
      </c>
      <c r="P104" s="22" t="s">
        <v>560</v>
      </c>
      <c r="Q104" s="146" t="s">
        <v>109</v>
      </c>
      <c r="R104" s="160" t="s">
        <v>109</v>
      </c>
      <c r="S104" s="22" t="s">
        <v>109</v>
      </c>
      <c r="T104" s="161" t="s">
        <v>109</v>
      </c>
      <c r="U104" s="160"/>
      <c r="V104" s="169"/>
      <c r="W104" s="151" t="s">
        <v>109</v>
      </c>
      <c r="X104" s="22" t="s">
        <v>109</v>
      </c>
      <c r="Y104" s="22" t="s">
        <v>109</v>
      </c>
      <c r="Z104" s="22" t="s">
        <v>109</v>
      </c>
      <c r="AA104" s="30" t="s">
        <v>109</v>
      </c>
      <c r="AB104" s="33" t="s">
        <v>109</v>
      </c>
      <c r="AC104" s="3" t="s">
        <v>109</v>
      </c>
      <c r="AD104" s="2" t="s">
        <v>109</v>
      </c>
      <c r="AE104" s="27" t="s">
        <v>109</v>
      </c>
      <c r="AF104" s="107" t="s">
        <v>109</v>
      </c>
      <c r="AG104" s="2"/>
      <c r="AH104" s="95"/>
      <c r="AI104" s="27"/>
      <c r="AJ104" s="37" t="s">
        <v>109</v>
      </c>
      <c r="AK104" s="30" t="s">
        <v>109</v>
      </c>
      <c r="AL104" s="24"/>
    </row>
    <row r="105" spans="1:38" ht="16.5" x14ac:dyDescent="0.25">
      <c r="A105" s="3">
        <v>2</v>
      </c>
      <c r="B105" s="21" t="s">
        <v>230</v>
      </c>
      <c r="C105" s="3" t="s">
        <v>231</v>
      </c>
      <c r="D105" s="21" t="s">
        <v>268</v>
      </c>
      <c r="E105" s="23" t="s">
        <v>288</v>
      </c>
      <c r="F105" s="34">
        <v>20016373</v>
      </c>
      <c r="G105" s="43" t="s">
        <v>111</v>
      </c>
      <c r="H105" s="3" t="s">
        <v>550</v>
      </c>
      <c r="I105" s="21" t="s">
        <v>285</v>
      </c>
      <c r="J105" s="28">
        <v>33</v>
      </c>
      <c r="K105" s="70">
        <v>17.02</v>
      </c>
      <c r="L105" s="71">
        <f t="shared" si="7"/>
        <v>561.66</v>
      </c>
      <c r="M105" s="37" t="s">
        <v>109</v>
      </c>
      <c r="N105" s="22" t="s">
        <v>109</v>
      </c>
      <c r="O105" s="3" t="s">
        <v>570</v>
      </c>
      <c r="P105" s="22" t="s">
        <v>560</v>
      </c>
      <c r="Q105" s="146" t="s">
        <v>109</v>
      </c>
      <c r="R105" s="160" t="s">
        <v>109</v>
      </c>
      <c r="S105" s="22" t="s">
        <v>109</v>
      </c>
      <c r="T105" s="161" t="s">
        <v>109</v>
      </c>
      <c r="U105" s="160"/>
      <c r="V105" s="169"/>
      <c r="W105" s="151" t="s">
        <v>109</v>
      </c>
      <c r="X105" s="22" t="s">
        <v>109</v>
      </c>
      <c r="Y105" s="22" t="s">
        <v>109</v>
      </c>
      <c r="Z105" s="22" t="s">
        <v>109</v>
      </c>
      <c r="AA105" s="30" t="s">
        <v>109</v>
      </c>
      <c r="AB105" s="33" t="s">
        <v>109</v>
      </c>
      <c r="AC105" s="3" t="s">
        <v>109</v>
      </c>
      <c r="AD105" s="2" t="s">
        <v>109</v>
      </c>
      <c r="AE105" s="27" t="s">
        <v>109</v>
      </c>
      <c r="AF105" s="107" t="s">
        <v>109</v>
      </c>
      <c r="AG105" s="2">
        <v>56</v>
      </c>
      <c r="AH105" s="106" t="s">
        <v>112</v>
      </c>
      <c r="AI105" s="27" t="s">
        <v>1270</v>
      </c>
      <c r="AJ105" s="37" t="s">
        <v>109</v>
      </c>
      <c r="AK105" s="30" t="s">
        <v>109</v>
      </c>
      <c r="AL105" s="24"/>
    </row>
    <row r="106" spans="1:38" ht="16.5" x14ac:dyDescent="0.25">
      <c r="A106" s="3">
        <v>2</v>
      </c>
      <c r="B106" s="21" t="s">
        <v>230</v>
      </c>
      <c r="C106" s="3" t="s">
        <v>231</v>
      </c>
      <c r="D106" s="21" t="s">
        <v>515</v>
      </c>
      <c r="E106" s="23" t="s">
        <v>34</v>
      </c>
      <c r="F106" s="34">
        <v>20016373</v>
      </c>
      <c r="G106" s="43" t="s">
        <v>111</v>
      </c>
      <c r="H106" s="21" t="s">
        <v>590</v>
      </c>
      <c r="I106" s="21" t="s">
        <v>588</v>
      </c>
      <c r="J106" s="28">
        <v>30</v>
      </c>
      <c r="K106" s="70">
        <v>17.02</v>
      </c>
      <c r="L106" s="71">
        <f t="shared" si="7"/>
        <v>510.59999999999997</v>
      </c>
      <c r="M106" s="34">
        <v>30005613</v>
      </c>
      <c r="N106" s="56" t="s">
        <v>125</v>
      </c>
      <c r="O106" s="3" t="s">
        <v>583</v>
      </c>
      <c r="P106" s="22" t="s">
        <v>582</v>
      </c>
      <c r="Q106" s="146" t="s">
        <v>124</v>
      </c>
      <c r="R106" s="160" t="s">
        <v>109</v>
      </c>
      <c r="S106" s="22" t="s">
        <v>109</v>
      </c>
      <c r="T106" s="161" t="s">
        <v>109</v>
      </c>
      <c r="U106" s="160"/>
      <c r="V106" s="169"/>
      <c r="W106" s="11">
        <v>20016490</v>
      </c>
      <c r="X106" s="2" t="s">
        <v>110</v>
      </c>
      <c r="Y106" s="22">
        <v>2</v>
      </c>
      <c r="Z106" s="22">
        <v>2</v>
      </c>
      <c r="AA106" s="30">
        <f>Y106*Z106</f>
        <v>4</v>
      </c>
      <c r="AB106" s="33" t="s">
        <v>109</v>
      </c>
      <c r="AC106" s="2" t="s">
        <v>109</v>
      </c>
      <c r="AD106" s="2" t="s">
        <v>109</v>
      </c>
      <c r="AE106" s="27" t="s">
        <v>109</v>
      </c>
      <c r="AF106" s="106" t="s">
        <v>112</v>
      </c>
      <c r="AG106" s="2">
        <v>57</v>
      </c>
      <c r="AH106" s="106" t="s">
        <v>112</v>
      </c>
      <c r="AI106" s="27" t="s">
        <v>1270</v>
      </c>
      <c r="AJ106" s="34">
        <v>55</v>
      </c>
      <c r="AK106" s="30">
        <f>AJ106+AJ106*12%</f>
        <v>61.6</v>
      </c>
      <c r="AL106" s="24"/>
    </row>
    <row r="107" spans="1:38" ht="16.5" x14ac:dyDescent="0.25">
      <c r="A107" s="3">
        <v>2</v>
      </c>
      <c r="B107" s="21" t="s">
        <v>230</v>
      </c>
      <c r="C107" s="3" t="s">
        <v>231</v>
      </c>
      <c r="D107" s="21" t="s">
        <v>516</v>
      </c>
      <c r="E107" s="23" t="s">
        <v>34</v>
      </c>
      <c r="F107" s="34">
        <v>20016373</v>
      </c>
      <c r="G107" s="43" t="s">
        <v>111</v>
      </c>
      <c r="H107" s="21" t="s">
        <v>591</v>
      </c>
      <c r="I107" s="21" t="s">
        <v>589</v>
      </c>
      <c r="J107" s="28">
        <v>30</v>
      </c>
      <c r="K107" s="70">
        <v>17.02</v>
      </c>
      <c r="L107" s="71">
        <f t="shared" si="7"/>
        <v>510.59999999999997</v>
      </c>
      <c r="M107" s="34">
        <v>30005613</v>
      </c>
      <c r="N107" s="56" t="s">
        <v>125</v>
      </c>
      <c r="O107" s="3" t="s">
        <v>595</v>
      </c>
      <c r="P107" s="22" t="s">
        <v>594</v>
      </c>
      <c r="Q107" s="146" t="s">
        <v>124</v>
      </c>
      <c r="R107" s="160" t="s">
        <v>109</v>
      </c>
      <c r="S107" s="22" t="s">
        <v>109</v>
      </c>
      <c r="T107" s="161" t="s">
        <v>109</v>
      </c>
      <c r="U107" s="160"/>
      <c r="V107" s="169"/>
      <c r="W107" s="11">
        <v>20016490</v>
      </c>
      <c r="X107" s="2" t="s">
        <v>110</v>
      </c>
      <c r="Y107" s="22">
        <v>2</v>
      </c>
      <c r="Z107" s="22">
        <v>2</v>
      </c>
      <c r="AA107" s="30">
        <f>Y107*Z107</f>
        <v>4</v>
      </c>
      <c r="AB107" s="33" t="s">
        <v>109</v>
      </c>
      <c r="AC107" s="2" t="s">
        <v>109</v>
      </c>
      <c r="AD107" s="2" t="s">
        <v>109</v>
      </c>
      <c r="AE107" s="27" t="s">
        <v>109</v>
      </c>
      <c r="AF107" s="106" t="s">
        <v>112</v>
      </c>
      <c r="AG107" s="2">
        <v>58</v>
      </c>
      <c r="AH107" s="106" t="s">
        <v>112</v>
      </c>
      <c r="AI107" s="27" t="s">
        <v>1270</v>
      </c>
      <c r="AJ107" s="34">
        <v>57</v>
      </c>
      <c r="AK107" s="30">
        <f>AJ107+AJ107*12%</f>
        <v>63.84</v>
      </c>
      <c r="AL107" s="24"/>
    </row>
    <row r="108" spans="1:38" ht="16.5" x14ac:dyDescent="0.25">
      <c r="A108" s="3">
        <v>2</v>
      </c>
      <c r="B108" s="21" t="s">
        <v>230</v>
      </c>
      <c r="C108" s="3" t="s">
        <v>231</v>
      </c>
      <c r="D108" s="21" t="s">
        <v>286</v>
      </c>
      <c r="E108" s="23" t="s">
        <v>8</v>
      </c>
      <c r="F108" s="34">
        <v>20016373</v>
      </c>
      <c r="G108" s="43" t="s">
        <v>111</v>
      </c>
      <c r="H108" s="21" t="s">
        <v>593</v>
      </c>
      <c r="I108" s="21" t="s">
        <v>592</v>
      </c>
      <c r="J108" s="28">
        <v>21</v>
      </c>
      <c r="K108" s="70">
        <v>17.02</v>
      </c>
      <c r="L108" s="71">
        <f t="shared" si="7"/>
        <v>357.42</v>
      </c>
      <c r="M108" s="34" t="s">
        <v>109</v>
      </c>
      <c r="N108" s="3" t="s">
        <v>109</v>
      </c>
      <c r="O108" s="3" t="s">
        <v>577</v>
      </c>
      <c r="P108" s="3" t="s">
        <v>287</v>
      </c>
      <c r="Q108" s="146" t="s">
        <v>109</v>
      </c>
      <c r="R108" s="160" t="s">
        <v>109</v>
      </c>
      <c r="S108" s="22" t="s">
        <v>109</v>
      </c>
      <c r="T108" s="161" t="s">
        <v>109</v>
      </c>
      <c r="U108" s="160"/>
      <c r="V108" s="169"/>
      <c r="W108" s="151" t="s">
        <v>109</v>
      </c>
      <c r="X108" s="22" t="s">
        <v>109</v>
      </c>
      <c r="Y108" s="22" t="s">
        <v>109</v>
      </c>
      <c r="Z108" s="22" t="s">
        <v>109</v>
      </c>
      <c r="AA108" s="30" t="s">
        <v>109</v>
      </c>
      <c r="AB108" s="33" t="s">
        <v>109</v>
      </c>
      <c r="AC108" s="3" t="s">
        <v>109</v>
      </c>
      <c r="AD108" s="2" t="s">
        <v>109</v>
      </c>
      <c r="AE108" s="27" t="s">
        <v>109</v>
      </c>
      <c r="AF108" s="107" t="s">
        <v>109</v>
      </c>
      <c r="AG108" s="2">
        <v>59</v>
      </c>
      <c r="AH108" s="105" t="s">
        <v>129</v>
      </c>
      <c r="AI108" s="27" t="s">
        <v>1270</v>
      </c>
      <c r="AJ108" s="34" t="s">
        <v>109</v>
      </c>
      <c r="AK108" s="30" t="s">
        <v>109</v>
      </c>
      <c r="AL108" s="24"/>
    </row>
    <row r="109" spans="1:38" ht="16.5" x14ac:dyDescent="0.25">
      <c r="A109" s="3">
        <v>2</v>
      </c>
      <c r="B109" s="21" t="s">
        <v>230</v>
      </c>
      <c r="C109" s="3" t="s">
        <v>231</v>
      </c>
      <c r="D109" s="21" t="s">
        <v>289</v>
      </c>
      <c r="E109" s="23" t="s">
        <v>288</v>
      </c>
      <c r="F109" s="34">
        <v>20016373</v>
      </c>
      <c r="G109" s="43" t="s">
        <v>111</v>
      </c>
      <c r="H109" s="3" t="s">
        <v>575</v>
      </c>
      <c r="I109" s="21" t="s">
        <v>571</v>
      </c>
      <c r="J109" s="28">
        <v>40</v>
      </c>
      <c r="K109" s="70">
        <v>17.02</v>
      </c>
      <c r="L109" s="71">
        <f t="shared" si="7"/>
        <v>680.8</v>
      </c>
      <c r="M109" s="34" t="s">
        <v>109</v>
      </c>
      <c r="N109" s="3" t="s">
        <v>109</v>
      </c>
      <c r="O109" s="3" t="s">
        <v>584</v>
      </c>
      <c r="P109" s="22" t="s">
        <v>578</v>
      </c>
      <c r="Q109" s="146" t="s">
        <v>109</v>
      </c>
      <c r="R109" s="160" t="s">
        <v>109</v>
      </c>
      <c r="S109" s="22" t="s">
        <v>109</v>
      </c>
      <c r="T109" s="161" t="s">
        <v>109</v>
      </c>
      <c r="U109" s="160"/>
      <c r="V109" s="169"/>
      <c r="W109" s="11">
        <v>20016490</v>
      </c>
      <c r="X109" s="2" t="s">
        <v>110</v>
      </c>
      <c r="Y109" s="3">
        <v>1</v>
      </c>
      <c r="Z109" s="3">
        <v>3</v>
      </c>
      <c r="AA109" s="27">
        <f>Z109*Y109</f>
        <v>3</v>
      </c>
      <c r="AB109" s="33" t="s">
        <v>109</v>
      </c>
      <c r="AC109" s="3" t="s">
        <v>109</v>
      </c>
      <c r="AD109" s="2" t="s">
        <v>109</v>
      </c>
      <c r="AE109" s="27" t="s">
        <v>109</v>
      </c>
      <c r="AF109" s="107" t="s">
        <v>109</v>
      </c>
      <c r="AG109" s="2">
        <v>60</v>
      </c>
      <c r="AH109" s="105" t="s">
        <v>129</v>
      </c>
      <c r="AI109" s="27" t="s">
        <v>1270</v>
      </c>
      <c r="AJ109" s="34" t="s">
        <v>109</v>
      </c>
      <c r="AK109" s="30" t="s">
        <v>109</v>
      </c>
      <c r="AL109" s="24"/>
    </row>
    <row r="110" spans="1:38" ht="16.5" x14ac:dyDescent="0.25">
      <c r="A110" s="3">
        <v>2</v>
      </c>
      <c r="B110" s="21" t="s">
        <v>230</v>
      </c>
      <c r="C110" s="3" t="s">
        <v>231</v>
      </c>
      <c r="D110" s="21" t="s">
        <v>290</v>
      </c>
      <c r="E110" s="23" t="s">
        <v>288</v>
      </c>
      <c r="F110" s="34">
        <v>20016373</v>
      </c>
      <c r="G110" s="43" t="s">
        <v>111</v>
      </c>
      <c r="H110" s="3" t="s">
        <v>575</v>
      </c>
      <c r="I110" s="21" t="s">
        <v>572</v>
      </c>
      <c r="J110" s="28">
        <v>40</v>
      </c>
      <c r="K110" s="70">
        <v>17.02</v>
      </c>
      <c r="L110" s="71">
        <f t="shared" si="7"/>
        <v>680.8</v>
      </c>
      <c r="M110" s="34" t="s">
        <v>109</v>
      </c>
      <c r="N110" s="3" t="s">
        <v>109</v>
      </c>
      <c r="O110" s="3" t="s">
        <v>585</v>
      </c>
      <c r="P110" s="22" t="s">
        <v>579</v>
      </c>
      <c r="Q110" s="146" t="s">
        <v>109</v>
      </c>
      <c r="R110" s="160" t="s">
        <v>109</v>
      </c>
      <c r="S110" s="22" t="s">
        <v>109</v>
      </c>
      <c r="T110" s="161" t="s">
        <v>109</v>
      </c>
      <c r="U110" s="160"/>
      <c r="V110" s="169"/>
      <c r="W110" s="11">
        <v>20016490</v>
      </c>
      <c r="X110" s="2" t="s">
        <v>110</v>
      </c>
      <c r="Y110" s="3">
        <v>1</v>
      </c>
      <c r="Z110" s="3">
        <v>3</v>
      </c>
      <c r="AA110" s="27">
        <f>Z110*Y110</f>
        <v>3</v>
      </c>
      <c r="AB110" s="33" t="s">
        <v>109</v>
      </c>
      <c r="AC110" s="3" t="s">
        <v>109</v>
      </c>
      <c r="AD110" s="2" t="s">
        <v>109</v>
      </c>
      <c r="AE110" s="27" t="s">
        <v>109</v>
      </c>
      <c r="AF110" s="107" t="s">
        <v>109</v>
      </c>
      <c r="AG110" s="2">
        <v>61</v>
      </c>
      <c r="AH110" s="105" t="s">
        <v>129</v>
      </c>
      <c r="AI110" s="27" t="s">
        <v>1270</v>
      </c>
      <c r="AJ110" s="34" t="s">
        <v>109</v>
      </c>
      <c r="AK110" s="30" t="s">
        <v>109</v>
      </c>
      <c r="AL110" s="24"/>
    </row>
    <row r="111" spans="1:38" ht="16.5" x14ac:dyDescent="0.25">
      <c r="A111" s="3">
        <v>2</v>
      </c>
      <c r="B111" s="21" t="s">
        <v>230</v>
      </c>
      <c r="C111" s="3" t="s">
        <v>231</v>
      </c>
      <c r="D111" s="21" t="s">
        <v>291</v>
      </c>
      <c r="E111" s="23" t="s">
        <v>288</v>
      </c>
      <c r="F111" s="34">
        <v>20016373</v>
      </c>
      <c r="G111" s="43" t="s">
        <v>111</v>
      </c>
      <c r="H111" s="3" t="s">
        <v>575</v>
      </c>
      <c r="I111" s="21" t="s">
        <v>573</v>
      </c>
      <c r="J111" s="28">
        <v>40</v>
      </c>
      <c r="K111" s="70">
        <v>17.02</v>
      </c>
      <c r="L111" s="71">
        <f t="shared" si="7"/>
        <v>680.8</v>
      </c>
      <c r="M111" s="34" t="s">
        <v>109</v>
      </c>
      <c r="N111" s="3" t="s">
        <v>109</v>
      </c>
      <c r="O111" s="3" t="s">
        <v>586</v>
      </c>
      <c r="P111" s="22" t="s">
        <v>580</v>
      </c>
      <c r="Q111" s="146" t="s">
        <v>109</v>
      </c>
      <c r="R111" s="160" t="s">
        <v>109</v>
      </c>
      <c r="S111" s="22" t="s">
        <v>109</v>
      </c>
      <c r="T111" s="161" t="s">
        <v>109</v>
      </c>
      <c r="U111" s="160"/>
      <c r="V111" s="169"/>
      <c r="W111" s="11">
        <v>20016490</v>
      </c>
      <c r="X111" s="2" t="s">
        <v>110</v>
      </c>
      <c r="Y111" s="3">
        <v>1</v>
      </c>
      <c r="Z111" s="3">
        <v>3</v>
      </c>
      <c r="AA111" s="27">
        <f>Z111*Y111</f>
        <v>3</v>
      </c>
      <c r="AB111" s="33" t="s">
        <v>109</v>
      </c>
      <c r="AC111" s="3" t="s">
        <v>109</v>
      </c>
      <c r="AD111" s="2" t="s">
        <v>109</v>
      </c>
      <c r="AE111" s="27" t="s">
        <v>109</v>
      </c>
      <c r="AF111" s="107" t="s">
        <v>109</v>
      </c>
      <c r="AG111" s="2">
        <v>62</v>
      </c>
      <c r="AH111" s="105" t="s">
        <v>129</v>
      </c>
      <c r="AI111" s="27" t="s">
        <v>1270</v>
      </c>
      <c r="AJ111" s="34" t="s">
        <v>109</v>
      </c>
      <c r="AK111" s="30" t="s">
        <v>109</v>
      </c>
      <c r="AL111" s="24"/>
    </row>
    <row r="112" spans="1:38" ht="15.75" customHeight="1" x14ac:dyDescent="0.25">
      <c r="A112" s="3">
        <v>2</v>
      </c>
      <c r="B112" s="21" t="s">
        <v>230</v>
      </c>
      <c r="C112" s="3" t="s">
        <v>231</v>
      </c>
      <c r="D112" s="21" t="s">
        <v>292</v>
      </c>
      <c r="E112" s="23" t="s">
        <v>288</v>
      </c>
      <c r="F112" s="34">
        <v>20016373</v>
      </c>
      <c r="G112" s="43" t="s">
        <v>111</v>
      </c>
      <c r="H112" s="3" t="s">
        <v>575</v>
      </c>
      <c r="I112" s="21" t="s">
        <v>574</v>
      </c>
      <c r="J112" s="28">
        <v>40</v>
      </c>
      <c r="K112" s="70">
        <v>17.02</v>
      </c>
      <c r="L112" s="71">
        <f t="shared" si="7"/>
        <v>680.8</v>
      </c>
      <c r="M112" s="34" t="s">
        <v>109</v>
      </c>
      <c r="N112" s="3" t="s">
        <v>109</v>
      </c>
      <c r="O112" s="3" t="s">
        <v>587</v>
      </c>
      <c r="P112" s="22" t="s">
        <v>581</v>
      </c>
      <c r="Q112" s="146" t="s">
        <v>109</v>
      </c>
      <c r="R112" s="160" t="s">
        <v>109</v>
      </c>
      <c r="S112" s="22" t="s">
        <v>109</v>
      </c>
      <c r="T112" s="161" t="s">
        <v>109</v>
      </c>
      <c r="U112" s="160"/>
      <c r="V112" s="169"/>
      <c r="W112" s="11">
        <v>20016490</v>
      </c>
      <c r="X112" s="2" t="s">
        <v>110</v>
      </c>
      <c r="Y112" s="3">
        <v>1</v>
      </c>
      <c r="Z112" s="3">
        <v>3</v>
      </c>
      <c r="AA112" s="27">
        <f>Z112*Y112</f>
        <v>3</v>
      </c>
      <c r="AB112" s="33" t="s">
        <v>109</v>
      </c>
      <c r="AC112" s="3" t="s">
        <v>109</v>
      </c>
      <c r="AD112" s="2" t="s">
        <v>109</v>
      </c>
      <c r="AE112" s="27" t="s">
        <v>109</v>
      </c>
      <c r="AF112" s="107" t="s">
        <v>109</v>
      </c>
      <c r="AG112" s="2">
        <v>63</v>
      </c>
      <c r="AH112" s="105" t="s">
        <v>129</v>
      </c>
      <c r="AI112" s="27" t="s">
        <v>1270</v>
      </c>
      <c r="AJ112" s="34" t="s">
        <v>109</v>
      </c>
      <c r="AK112" s="30" t="s">
        <v>109</v>
      </c>
      <c r="AL112" s="24"/>
    </row>
    <row r="113" spans="1:38" ht="16.5" x14ac:dyDescent="0.25">
      <c r="A113" s="3">
        <v>2</v>
      </c>
      <c r="B113" s="21" t="s">
        <v>230</v>
      </c>
      <c r="C113" s="3" t="s">
        <v>231</v>
      </c>
      <c r="D113" s="21" t="s">
        <v>293</v>
      </c>
      <c r="E113" s="23" t="s">
        <v>288</v>
      </c>
      <c r="F113" s="34">
        <v>20016373</v>
      </c>
      <c r="G113" s="43" t="s">
        <v>111</v>
      </c>
      <c r="H113" s="3" t="s">
        <v>576</v>
      </c>
      <c r="I113" s="21" t="s">
        <v>294</v>
      </c>
      <c r="J113" s="28">
        <v>30</v>
      </c>
      <c r="K113" s="70">
        <v>60.31</v>
      </c>
      <c r="L113" s="71">
        <f t="shared" si="7"/>
        <v>1809.3000000000002</v>
      </c>
      <c r="M113" s="34">
        <v>30005613</v>
      </c>
      <c r="N113" s="56" t="s">
        <v>125</v>
      </c>
      <c r="O113" s="3" t="s">
        <v>597</v>
      </c>
      <c r="P113" s="21" t="s">
        <v>596</v>
      </c>
      <c r="Q113" s="147" t="s">
        <v>123</v>
      </c>
      <c r="R113" s="160" t="s">
        <v>109</v>
      </c>
      <c r="S113" s="22" t="s">
        <v>109</v>
      </c>
      <c r="T113" s="161" t="s">
        <v>109</v>
      </c>
      <c r="U113" s="160"/>
      <c r="V113" s="169"/>
      <c r="W113" s="11">
        <v>20016490</v>
      </c>
      <c r="X113" s="2" t="s">
        <v>110</v>
      </c>
      <c r="Y113" s="3">
        <v>1</v>
      </c>
      <c r="Z113" s="2">
        <v>2</v>
      </c>
      <c r="AA113" s="27">
        <f>Z113*Y113</f>
        <v>2</v>
      </c>
      <c r="AB113" s="33" t="s">
        <v>109</v>
      </c>
      <c r="AC113" s="3" t="s">
        <v>109</v>
      </c>
      <c r="AD113" s="2" t="s">
        <v>109</v>
      </c>
      <c r="AE113" s="27" t="s">
        <v>109</v>
      </c>
      <c r="AF113" s="106" t="s">
        <v>112</v>
      </c>
      <c r="AG113" s="2">
        <v>64</v>
      </c>
      <c r="AH113" s="106" t="s">
        <v>112</v>
      </c>
      <c r="AI113" s="27" t="s">
        <v>1270</v>
      </c>
      <c r="AJ113" s="34">
        <v>54</v>
      </c>
      <c r="AK113" s="30">
        <f>AJ113+AJ113*12%</f>
        <v>60.48</v>
      </c>
      <c r="AL113" s="24"/>
    </row>
    <row r="114" spans="1:38" ht="16.5" x14ac:dyDescent="0.25">
      <c r="A114" s="3">
        <v>2</v>
      </c>
      <c r="B114" s="21" t="s">
        <v>230</v>
      </c>
      <c r="C114" s="3" t="s">
        <v>231</v>
      </c>
      <c r="D114" s="21" t="s">
        <v>295</v>
      </c>
      <c r="E114" s="9" t="s">
        <v>34</v>
      </c>
      <c r="F114" s="34">
        <v>20014819</v>
      </c>
      <c r="G114" s="16" t="s">
        <v>296</v>
      </c>
      <c r="H114" s="3" t="s">
        <v>598</v>
      </c>
      <c r="I114" s="21" t="s">
        <v>592</v>
      </c>
      <c r="J114" s="28">
        <v>45</v>
      </c>
      <c r="K114" s="70">
        <v>10.98</v>
      </c>
      <c r="L114" s="143">
        <f>J114*K114</f>
        <v>494.1</v>
      </c>
      <c r="M114" s="34" t="s">
        <v>109</v>
      </c>
      <c r="N114" s="3" t="s">
        <v>109</v>
      </c>
      <c r="O114" s="3" t="s">
        <v>109</v>
      </c>
      <c r="P114" s="22" t="s">
        <v>109</v>
      </c>
      <c r="Q114" s="146" t="s">
        <v>109</v>
      </c>
      <c r="R114" s="160" t="s">
        <v>109</v>
      </c>
      <c r="S114" s="22" t="s">
        <v>109</v>
      </c>
      <c r="T114" s="161" t="s">
        <v>109</v>
      </c>
      <c r="U114" s="160"/>
      <c r="V114" s="169"/>
      <c r="W114" s="11" t="s">
        <v>109</v>
      </c>
      <c r="X114" s="3" t="s">
        <v>109</v>
      </c>
      <c r="Y114" s="22" t="s">
        <v>109</v>
      </c>
      <c r="Z114" s="22" t="s">
        <v>109</v>
      </c>
      <c r="AA114" s="30" t="s">
        <v>109</v>
      </c>
      <c r="AB114" s="37" t="s">
        <v>109</v>
      </c>
      <c r="AC114" s="3" t="s">
        <v>109</v>
      </c>
      <c r="AD114" s="22" t="s">
        <v>109</v>
      </c>
      <c r="AE114" s="30" t="s">
        <v>109</v>
      </c>
      <c r="AF114" s="107" t="s">
        <v>109</v>
      </c>
      <c r="AG114" s="22">
        <v>65</v>
      </c>
      <c r="AH114" s="105" t="s">
        <v>129</v>
      </c>
      <c r="AI114" s="27" t="s">
        <v>1270</v>
      </c>
      <c r="AJ114" s="34" t="s">
        <v>109</v>
      </c>
      <c r="AK114" s="30" t="s">
        <v>109</v>
      </c>
      <c r="AL114" s="24"/>
    </row>
    <row r="115" spans="1:38" ht="16.5" x14ac:dyDescent="0.25">
      <c r="A115" s="3">
        <v>2</v>
      </c>
      <c r="B115" s="21" t="s">
        <v>599</v>
      </c>
      <c r="C115" s="3" t="s">
        <v>297</v>
      </c>
      <c r="D115" s="21" t="s">
        <v>233</v>
      </c>
      <c r="E115" s="9" t="s">
        <v>34</v>
      </c>
      <c r="F115" s="34">
        <v>20016373</v>
      </c>
      <c r="G115" s="43" t="s">
        <v>111</v>
      </c>
      <c r="H115" s="3" t="s">
        <v>600</v>
      </c>
      <c r="I115" s="21" t="s">
        <v>298</v>
      </c>
      <c r="J115" s="38">
        <v>3</v>
      </c>
      <c r="K115" s="70">
        <v>17.02</v>
      </c>
      <c r="L115" s="71">
        <f t="shared" ref="L115:L156" si="11">J115*K115</f>
        <v>51.06</v>
      </c>
      <c r="M115" s="37" t="s">
        <v>109</v>
      </c>
      <c r="N115" s="22" t="s">
        <v>109</v>
      </c>
      <c r="O115" s="3" t="s">
        <v>616</v>
      </c>
      <c r="P115" s="22" t="s">
        <v>608</v>
      </c>
      <c r="Q115" s="146" t="s">
        <v>109</v>
      </c>
      <c r="R115" s="155" t="s">
        <v>109</v>
      </c>
      <c r="S115" s="22" t="s">
        <v>109</v>
      </c>
      <c r="T115" s="161" t="s">
        <v>109</v>
      </c>
      <c r="U115" s="160"/>
      <c r="V115" s="169"/>
      <c r="W115" s="11" t="s">
        <v>109</v>
      </c>
      <c r="X115" s="3" t="s">
        <v>109</v>
      </c>
      <c r="Y115" s="22" t="s">
        <v>109</v>
      </c>
      <c r="Z115" s="22" t="s">
        <v>109</v>
      </c>
      <c r="AA115" s="30" t="s">
        <v>109</v>
      </c>
      <c r="AB115" s="37" t="s">
        <v>109</v>
      </c>
      <c r="AC115" s="3" t="s">
        <v>109</v>
      </c>
      <c r="AD115" s="22" t="s">
        <v>109</v>
      </c>
      <c r="AE115" s="30" t="s">
        <v>109</v>
      </c>
      <c r="AF115" s="107" t="s">
        <v>109</v>
      </c>
      <c r="AG115" s="22"/>
      <c r="AH115" s="98"/>
      <c r="AI115" s="30"/>
      <c r="AJ115" s="37" t="s">
        <v>109</v>
      </c>
      <c r="AK115" s="30" t="s">
        <v>109</v>
      </c>
      <c r="AL115" s="24"/>
    </row>
    <row r="116" spans="1:38" ht="16.5" x14ac:dyDescent="0.25">
      <c r="A116" s="3">
        <v>2</v>
      </c>
      <c r="B116" s="21" t="s">
        <v>599</v>
      </c>
      <c r="C116" s="3" t="s">
        <v>297</v>
      </c>
      <c r="D116" s="21" t="s">
        <v>234</v>
      </c>
      <c r="E116" s="9" t="s">
        <v>34</v>
      </c>
      <c r="F116" s="34">
        <v>20016373</v>
      </c>
      <c r="G116" s="43" t="s">
        <v>111</v>
      </c>
      <c r="H116" s="3" t="s">
        <v>600</v>
      </c>
      <c r="I116" s="21" t="s">
        <v>298</v>
      </c>
      <c r="J116" s="28">
        <v>33</v>
      </c>
      <c r="K116" s="70">
        <v>17.02</v>
      </c>
      <c r="L116" s="71">
        <f t="shared" si="11"/>
        <v>561.66</v>
      </c>
      <c r="M116" s="37" t="s">
        <v>109</v>
      </c>
      <c r="N116" s="22" t="s">
        <v>109</v>
      </c>
      <c r="O116" s="3" t="s">
        <v>616</v>
      </c>
      <c r="P116" s="22" t="s">
        <v>608</v>
      </c>
      <c r="Q116" s="146" t="s">
        <v>109</v>
      </c>
      <c r="R116" s="155" t="s">
        <v>109</v>
      </c>
      <c r="S116" s="22" t="s">
        <v>109</v>
      </c>
      <c r="T116" s="161" t="s">
        <v>109</v>
      </c>
      <c r="U116" s="160"/>
      <c r="V116" s="169"/>
      <c r="W116" s="11" t="s">
        <v>109</v>
      </c>
      <c r="X116" s="3" t="s">
        <v>109</v>
      </c>
      <c r="Y116" s="22" t="s">
        <v>109</v>
      </c>
      <c r="Z116" s="22" t="s">
        <v>109</v>
      </c>
      <c r="AA116" s="30" t="s">
        <v>109</v>
      </c>
      <c r="AB116" s="37" t="s">
        <v>109</v>
      </c>
      <c r="AC116" s="3" t="s">
        <v>109</v>
      </c>
      <c r="AD116" s="22" t="s">
        <v>109</v>
      </c>
      <c r="AE116" s="30" t="s">
        <v>109</v>
      </c>
      <c r="AF116" s="107" t="s">
        <v>109</v>
      </c>
      <c r="AG116" s="22">
        <v>66</v>
      </c>
      <c r="AH116" s="106" t="s">
        <v>112</v>
      </c>
      <c r="AI116" s="27" t="s">
        <v>1270</v>
      </c>
      <c r="AJ116" s="37" t="s">
        <v>109</v>
      </c>
      <c r="AK116" s="30" t="s">
        <v>109</v>
      </c>
      <c r="AL116" s="24"/>
    </row>
    <row r="117" spans="1:38" ht="16.5" x14ac:dyDescent="0.25">
      <c r="A117" s="3">
        <v>2</v>
      </c>
      <c r="B117" s="21" t="s">
        <v>599</v>
      </c>
      <c r="C117" s="3" t="s">
        <v>297</v>
      </c>
      <c r="D117" s="21" t="s">
        <v>235</v>
      </c>
      <c r="E117" s="9" t="s">
        <v>34</v>
      </c>
      <c r="F117" s="34">
        <v>20016373</v>
      </c>
      <c r="G117" s="43" t="s">
        <v>111</v>
      </c>
      <c r="H117" s="3" t="s">
        <v>601</v>
      </c>
      <c r="I117" s="21" t="s">
        <v>299</v>
      </c>
      <c r="J117" s="38">
        <v>3</v>
      </c>
      <c r="K117" s="70">
        <v>17.02</v>
      </c>
      <c r="L117" s="71">
        <f t="shared" si="11"/>
        <v>51.06</v>
      </c>
      <c r="M117" s="37" t="s">
        <v>109</v>
      </c>
      <c r="N117" s="22" t="s">
        <v>109</v>
      </c>
      <c r="O117" s="3" t="s">
        <v>617</v>
      </c>
      <c r="P117" s="22" t="s">
        <v>609</v>
      </c>
      <c r="Q117" s="146" t="s">
        <v>109</v>
      </c>
      <c r="R117" s="155" t="s">
        <v>109</v>
      </c>
      <c r="S117" s="22" t="s">
        <v>109</v>
      </c>
      <c r="T117" s="161" t="s">
        <v>109</v>
      </c>
      <c r="U117" s="160"/>
      <c r="V117" s="169"/>
      <c r="W117" s="11" t="s">
        <v>109</v>
      </c>
      <c r="X117" s="3" t="s">
        <v>109</v>
      </c>
      <c r="Y117" s="22" t="s">
        <v>109</v>
      </c>
      <c r="Z117" s="22" t="s">
        <v>109</v>
      </c>
      <c r="AA117" s="30" t="s">
        <v>109</v>
      </c>
      <c r="AB117" s="37" t="s">
        <v>109</v>
      </c>
      <c r="AC117" s="3" t="s">
        <v>109</v>
      </c>
      <c r="AD117" s="22" t="s">
        <v>109</v>
      </c>
      <c r="AE117" s="30" t="s">
        <v>109</v>
      </c>
      <c r="AF117" s="107" t="s">
        <v>109</v>
      </c>
      <c r="AG117" s="22"/>
      <c r="AH117" s="98"/>
      <c r="AI117" s="30"/>
      <c r="AJ117" s="37" t="s">
        <v>109</v>
      </c>
      <c r="AK117" s="30" t="s">
        <v>109</v>
      </c>
      <c r="AL117" s="24"/>
    </row>
    <row r="118" spans="1:38" ht="16.5" x14ac:dyDescent="0.25">
      <c r="A118" s="3">
        <v>2</v>
      </c>
      <c r="B118" s="21" t="s">
        <v>599</v>
      </c>
      <c r="C118" s="3" t="s">
        <v>297</v>
      </c>
      <c r="D118" s="21" t="s">
        <v>236</v>
      </c>
      <c r="E118" s="9" t="s">
        <v>34</v>
      </c>
      <c r="F118" s="34">
        <v>20016373</v>
      </c>
      <c r="G118" s="43" t="s">
        <v>111</v>
      </c>
      <c r="H118" s="3" t="s">
        <v>601</v>
      </c>
      <c r="I118" s="21" t="s">
        <v>299</v>
      </c>
      <c r="J118" s="28">
        <v>33</v>
      </c>
      <c r="K118" s="70">
        <v>17.02</v>
      </c>
      <c r="L118" s="71">
        <f t="shared" si="11"/>
        <v>561.66</v>
      </c>
      <c r="M118" s="37" t="s">
        <v>109</v>
      </c>
      <c r="N118" s="22" t="s">
        <v>109</v>
      </c>
      <c r="O118" s="3" t="s">
        <v>617</v>
      </c>
      <c r="P118" s="22" t="s">
        <v>609</v>
      </c>
      <c r="Q118" s="146" t="s">
        <v>109</v>
      </c>
      <c r="R118" s="155" t="s">
        <v>109</v>
      </c>
      <c r="S118" s="22" t="s">
        <v>109</v>
      </c>
      <c r="T118" s="161" t="s">
        <v>109</v>
      </c>
      <c r="U118" s="160"/>
      <c r="V118" s="169"/>
      <c r="W118" s="11" t="s">
        <v>109</v>
      </c>
      <c r="X118" s="3" t="s">
        <v>109</v>
      </c>
      <c r="Y118" s="22" t="s">
        <v>109</v>
      </c>
      <c r="Z118" s="22" t="s">
        <v>109</v>
      </c>
      <c r="AA118" s="30" t="s">
        <v>109</v>
      </c>
      <c r="AB118" s="37" t="s">
        <v>109</v>
      </c>
      <c r="AC118" s="3" t="s">
        <v>109</v>
      </c>
      <c r="AD118" s="22" t="s">
        <v>109</v>
      </c>
      <c r="AE118" s="30" t="s">
        <v>109</v>
      </c>
      <c r="AF118" s="107" t="s">
        <v>109</v>
      </c>
      <c r="AG118" s="22">
        <v>67</v>
      </c>
      <c r="AH118" s="106" t="s">
        <v>112</v>
      </c>
      <c r="AI118" s="27" t="s">
        <v>1270</v>
      </c>
      <c r="AJ118" s="37" t="s">
        <v>109</v>
      </c>
      <c r="AK118" s="30" t="s">
        <v>109</v>
      </c>
      <c r="AL118" s="24"/>
    </row>
    <row r="119" spans="1:38" ht="16.5" x14ac:dyDescent="0.25">
      <c r="A119" s="3">
        <v>2</v>
      </c>
      <c r="B119" s="21" t="s">
        <v>599</v>
      </c>
      <c r="C119" s="3" t="s">
        <v>297</v>
      </c>
      <c r="D119" s="21" t="s">
        <v>237</v>
      </c>
      <c r="E119" s="9" t="s">
        <v>34</v>
      </c>
      <c r="F119" s="34">
        <v>20016373</v>
      </c>
      <c r="G119" s="43" t="s">
        <v>111</v>
      </c>
      <c r="H119" s="3" t="s">
        <v>602</v>
      </c>
      <c r="I119" s="21" t="s">
        <v>300</v>
      </c>
      <c r="J119" s="38">
        <v>3</v>
      </c>
      <c r="K119" s="70">
        <v>17.02</v>
      </c>
      <c r="L119" s="71">
        <f t="shared" si="11"/>
        <v>51.06</v>
      </c>
      <c r="M119" s="37" t="s">
        <v>109</v>
      </c>
      <c r="N119" s="22" t="s">
        <v>109</v>
      </c>
      <c r="O119" s="3" t="s">
        <v>618</v>
      </c>
      <c r="P119" s="22" t="s">
        <v>610</v>
      </c>
      <c r="Q119" s="146" t="s">
        <v>109</v>
      </c>
      <c r="R119" s="155" t="s">
        <v>109</v>
      </c>
      <c r="S119" s="22" t="s">
        <v>109</v>
      </c>
      <c r="T119" s="161" t="s">
        <v>109</v>
      </c>
      <c r="U119" s="160"/>
      <c r="V119" s="169"/>
      <c r="W119" s="11" t="s">
        <v>109</v>
      </c>
      <c r="X119" s="3" t="s">
        <v>109</v>
      </c>
      <c r="Y119" s="22" t="s">
        <v>109</v>
      </c>
      <c r="Z119" s="22" t="s">
        <v>109</v>
      </c>
      <c r="AA119" s="30" t="s">
        <v>109</v>
      </c>
      <c r="AB119" s="37" t="s">
        <v>109</v>
      </c>
      <c r="AC119" s="3" t="s">
        <v>109</v>
      </c>
      <c r="AD119" s="22" t="s">
        <v>109</v>
      </c>
      <c r="AE119" s="30" t="s">
        <v>109</v>
      </c>
      <c r="AF119" s="107" t="s">
        <v>109</v>
      </c>
      <c r="AG119" s="22"/>
      <c r="AH119" s="98"/>
      <c r="AI119" s="30"/>
      <c r="AJ119" s="37" t="s">
        <v>109</v>
      </c>
      <c r="AK119" s="30" t="s">
        <v>109</v>
      </c>
      <c r="AL119" s="24"/>
    </row>
    <row r="120" spans="1:38" ht="16.5" x14ac:dyDescent="0.25">
      <c r="A120" s="3">
        <v>2</v>
      </c>
      <c r="B120" s="21" t="s">
        <v>599</v>
      </c>
      <c r="C120" s="3" t="s">
        <v>297</v>
      </c>
      <c r="D120" s="21" t="s">
        <v>238</v>
      </c>
      <c r="E120" s="23" t="s">
        <v>288</v>
      </c>
      <c r="F120" s="34">
        <v>20016373</v>
      </c>
      <c r="G120" s="43" t="s">
        <v>111</v>
      </c>
      <c r="H120" s="3" t="s">
        <v>602</v>
      </c>
      <c r="I120" s="21" t="s">
        <v>300</v>
      </c>
      <c r="J120" s="28">
        <v>33</v>
      </c>
      <c r="K120" s="70">
        <v>17.02</v>
      </c>
      <c r="L120" s="71">
        <f t="shared" si="11"/>
        <v>561.66</v>
      </c>
      <c r="M120" s="37" t="s">
        <v>109</v>
      </c>
      <c r="N120" s="22" t="s">
        <v>109</v>
      </c>
      <c r="O120" s="3" t="s">
        <v>618</v>
      </c>
      <c r="P120" s="22" t="s">
        <v>610</v>
      </c>
      <c r="Q120" s="146" t="s">
        <v>109</v>
      </c>
      <c r="R120" s="155" t="s">
        <v>109</v>
      </c>
      <c r="S120" s="22" t="s">
        <v>109</v>
      </c>
      <c r="T120" s="161" t="s">
        <v>109</v>
      </c>
      <c r="U120" s="160"/>
      <c r="V120" s="169"/>
      <c r="W120" s="11" t="s">
        <v>109</v>
      </c>
      <c r="X120" s="3" t="s">
        <v>109</v>
      </c>
      <c r="Y120" s="22" t="s">
        <v>109</v>
      </c>
      <c r="Z120" s="22" t="s">
        <v>109</v>
      </c>
      <c r="AA120" s="30" t="s">
        <v>109</v>
      </c>
      <c r="AB120" s="37" t="s">
        <v>109</v>
      </c>
      <c r="AC120" s="3" t="s">
        <v>109</v>
      </c>
      <c r="AD120" s="22" t="s">
        <v>109</v>
      </c>
      <c r="AE120" s="30" t="s">
        <v>109</v>
      </c>
      <c r="AF120" s="107" t="s">
        <v>109</v>
      </c>
      <c r="AG120" s="22">
        <v>68</v>
      </c>
      <c r="AH120" s="106" t="s">
        <v>112</v>
      </c>
      <c r="AI120" s="27" t="s">
        <v>1270</v>
      </c>
      <c r="AJ120" s="37" t="s">
        <v>109</v>
      </c>
      <c r="AK120" s="30" t="s">
        <v>109</v>
      </c>
      <c r="AL120" s="24"/>
    </row>
    <row r="121" spans="1:38" ht="16.5" x14ac:dyDescent="0.25">
      <c r="A121" s="3">
        <v>2</v>
      </c>
      <c r="B121" s="21" t="s">
        <v>599</v>
      </c>
      <c r="C121" s="3" t="s">
        <v>297</v>
      </c>
      <c r="D121" s="21" t="s">
        <v>239</v>
      </c>
      <c r="E121" s="23" t="s">
        <v>288</v>
      </c>
      <c r="F121" s="34">
        <v>20016373</v>
      </c>
      <c r="G121" s="43" t="s">
        <v>111</v>
      </c>
      <c r="H121" s="3" t="s">
        <v>603</v>
      </c>
      <c r="I121" s="21" t="s">
        <v>301</v>
      </c>
      <c r="J121" s="38">
        <v>3</v>
      </c>
      <c r="K121" s="70">
        <v>17.02</v>
      </c>
      <c r="L121" s="71">
        <f t="shared" si="11"/>
        <v>51.06</v>
      </c>
      <c r="M121" s="37" t="s">
        <v>109</v>
      </c>
      <c r="N121" s="22" t="s">
        <v>109</v>
      </c>
      <c r="O121" s="3" t="s">
        <v>619</v>
      </c>
      <c r="P121" s="22" t="s">
        <v>611</v>
      </c>
      <c r="Q121" s="146" t="s">
        <v>109</v>
      </c>
      <c r="R121" s="155" t="s">
        <v>109</v>
      </c>
      <c r="S121" s="22" t="s">
        <v>109</v>
      </c>
      <c r="T121" s="161" t="s">
        <v>109</v>
      </c>
      <c r="U121" s="160"/>
      <c r="V121" s="169"/>
      <c r="W121" s="11" t="s">
        <v>109</v>
      </c>
      <c r="X121" s="3" t="s">
        <v>109</v>
      </c>
      <c r="Y121" s="22" t="s">
        <v>109</v>
      </c>
      <c r="Z121" s="22" t="s">
        <v>109</v>
      </c>
      <c r="AA121" s="30" t="s">
        <v>109</v>
      </c>
      <c r="AB121" s="37" t="s">
        <v>109</v>
      </c>
      <c r="AC121" s="3" t="s">
        <v>109</v>
      </c>
      <c r="AD121" s="22" t="s">
        <v>109</v>
      </c>
      <c r="AE121" s="30" t="s">
        <v>109</v>
      </c>
      <c r="AF121" s="107" t="s">
        <v>109</v>
      </c>
      <c r="AG121" s="22"/>
      <c r="AH121" s="98"/>
      <c r="AI121" s="30"/>
      <c r="AJ121" s="37" t="s">
        <v>109</v>
      </c>
      <c r="AK121" s="30" t="s">
        <v>109</v>
      </c>
      <c r="AL121" s="24"/>
    </row>
    <row r="122" spans="1:38" ht="16.5" x14ac:dyDescent="0.25">
      <c r="A122" s="3">
        <v>2</v>
      </c>
      <c r="B122" s="21" t="s">
        <v>599</v>
      </c>
      <c r="C122" s="3" t="s">
        <v>297</v>
      </c>
      <c r="D122" s="21" t="s">
        <v>240</v>
      </c>
      <c r="E122" s="23" t="s">
        <v>288</v>
      </c>
      <c r="F122" s="34">
        <v>20016373</v>
      </c>
      <c r="G122" s="43" t="s">
        <v>111</v>
      </c>
      <c r="H122" s="3" t="s">
        <v>603</v>
      </c>
      <c r="I122" s="21" t="s">
        <v>301</v>
      </c>
      <c r="J122" s="28">
        <v>33</v>
      </c>
      <c r="K122" s="70">
        <v>17.02</v>
      </c>
      <c r="L122" s="71">
        <f t="shared" si="11"/>
        <v>561.66</v>
      </c>
      <c r="M122" s="37" t="s">
        <v>109</v>
      </c>
      <c r="N122" s="22" t="s">
        <v>109</v>
      </c>
      <c r="O122" s="3" t="s">
        <v>619</v>
      </c>
      <c r="P122" s="22" t="s">
        <v>611</v>
      </c>
      <c r="Q122" s="146" t="s">
        <v>109</v>
      </c>
      <c r="R122" s="155" t="s">
        <v>109</v>
      </c>
      <c r="S122" s="22" t="s">
        <v>109</v>
      </c>
      <c r="T122" s="161" t="s">
        <v>109</v>
      </c>
      <c r="U122" s="160"/>
      <c r="V122" s="169"/>
      <c r="W122" s="11" t="s">
        <v>109</v>
      </c>
      <c r="X122" s="3" t="s">
        <v>109</v>
      </c>
      <c r="Y122" s="22" t="s">
        <v>109</v>
      </c>
      <c r="Z122" s="22" t="s">
        <v>109</v>
      </c>
      <c r="AA122" s="30" t="s">
        <v>109</v>
      </c>
      <c r="AB122" s="37" t="s">
        <v>109</v>
      </c>
      <c r="AC122" s="3" t="s">
        <v>109</v>
      </c>
      <c r="AD122" s="22" t="s">
        <v>109</v>
      </c>
      <c r="AE122" s="30" t="s">
        <v>109</v>
      </c>
      <c r="AF122" s="107" t="s">
        <v>109</v>
      </c>
      <c r="AG122" s="22">
        <v>69</v>
      </c>
      <c r="AH122" s="106" t="s">
        <v>112</v>
      </c>
      <c r="AI122" s="27" t="s">
        <v>1270</v>
      </c>
      <c r="AJ122" s="37" t="s">
        <v>109</v>
      </c>
      <c r="AK122" s="30" t="s">
        <v>109</v>
      </c>
      <c r="AL122" s="24"/>
    </row>
    <row r="123" spans="1:38" ht="16.5" x14ac:dyDescent="0.25">
      <c r="A123" s="3">
        <v>2</v>
      </c>
      <c r="B123" s="21" t="s">
        <v>599</v>
      </c>
      <c r="C123" s="3" t="s">
        <v>297</v>
      </c>
      <c r="D123" s="21" t="s">
        <v>241</v>
      </c>
      <c r="E123" s="23" t="s">
        <v>288</v>
      </c>
      <c r="F123" s="34">
        <v>20016373</v>
      </c>
      <c r="G123" s="43" t="s">
        <v>111</v>
      </c>
      <c r="H123" s="3" t="s">
        <v>604</v>
      </c>
      <c r="I123" s="21" t="s">
        <v>302</v>
      </c>
      <c r="J123" s="38">
        <v>3</v>
      </c>
      <c r="K123" s="70">
        <v>17.02</v>
      </c>
      <c r="L123" s="71">
        <f t="shared" si="11"/>
        <v>51.06</v>
      </c>
      <c r="M123" s="37" t="s">
        <v>109</v>
      </c>
      <c r="N123" s="22" t="s">
        <v>109</v>
      </c>
      <c r="O123" s="3" t="s">
        <v>620</v>
      </c>
      <c r="P123" s="22" t="s">
        <v>612</v>
      </c>
      <c r="Q123" s="146" t="s">
        <v>109</v>
      </c>
      <c r="R123" s="155" t="s">
        <v>109</v>
      </c>
      <c r="S123" s="22" t="s">
        <v>109</v>
      </c>
      <c r="T123" s="161" t="s">
        <v>109</v>
      </c>
      <c r="U123" s="160"/>
      <c r="V123" s="169"/>
      <c r="W123" s="11" t="s">
        <v>109</v>
      </c>
      <c r="X123" s="3" t="s">
        <v>109</v>
      </c>
      <c r="Y123" s="22" t="s">
        <v>109</v>
      </c>
      <c r="Z123" s="22" t="s">
        <v>109</v>
      </c>
      <c r="AA123" s="30" t="s">
        <v>109</v>
      </c>
      <c r="AB123" s="37" t="s">
        <v>109</v>
      </c>
      <c r="AC123" s="3" t="s">
        <v>109</v>
      </c>
      <c r="AD123" s="22" t="s">
        <v>109</v>
      </c>
      <c r="AE123" s="30" t="s">
        <v>109</v>
      </c>
      <c r="AF123" s="107" t="s">
        <v>109</v>
      </c>
      <c r="AG123" s="22"/>
      <c r="AH123" s="98"/>
      <c r="AI123" s="30"/>
      <c r="AJ123" s="37" t="s">
        <v>109</v>
      </c>
      <c r="AK123" s="30" t="s">
        <v>109</v>
      </c>
      <c r="AL123" s="24"/>
    </row>
    <row r="124" spans="1:38" ht="16.5" x14ac:dyDescent="0.25">
      <c r="A124" s="3">
        <v>2</v>
      </c>
      <c r="B124" s="21" t="s">
        <v>599</v>
      </c>
      <c r="C124" s="3" t="s">
        <v>297</v>
      </c>
      <c r="D124" s="21" t="s">
        <v>242</v>
      </c>
      <c r="E124" s="23" t="s">
        <v>288</v>
      </c>
      <c r="F124" s="34">
        <v>20016373</v>
      </c>
      <c r="G124" s="43" t="s">
        <v>111</v>
      </c>
      <c r="H124" s="3" t="s">
        <v>604</v>
      </c>
      <c r="I124" s="21" t="s">
        <v>302</v>
      </c>
      <c r="J124" s="28">
        <v>33</v>
      </c>
      <c r="K124" s="70">
        <v>17.02</v>
      </c>
      <c r="L124" s="71">
        <f t="shared" si="11"/>
        <v>561.66</v>
      </c>
      <c r="M124" s="37" t="s">
        <v>109</v>
      </c>
      <c r="N124" s="22" t="s">
        <v>109</v>
      </c>
      <c r="O124" s="3" t="s">
        <v>620</v>
      </c>
      <c r="P124" s="22" t="s">
        <v>612</v>
      </c>
      <c r="Q124" s="146" t="s">
        <v>109</v>
      </c>
      <c r="R124" s="155" t="s">
        <v>109</v>
      </c>
      <c r="S124" s="22" t="s">
        <v>109</v>
      </c>
      <c r="T124" s="161" t="s">
        <v>109</v>
      </c>
      <c r="U124" s="160"/>
      <c r="V124" s="169"/>
      <c r="W124" s="11" t="s">
        <v>109</v>
      </c>
      <c r="X124" s="3" t="s">
        <v>109</v>
      </c>
      <c r="Y124" s="22" t="s">
        <v>109</v>
      </c>
      <c r="Z124" s="22" t="s">
        <v>109</v>
      </c>
      <c r="AA124" s="30" t="s">
        <v>109</v>
      </c>
      <c r="AB124" s="37" t="s">
        <v>109</v>
      </c>
      <c r="AC124" s="3" t="s">
        <v>109</v>
      </c>
      <c r="AD124" s="22" t="s">
        <v>109</v>
      </c>
      <c r="AE124" s="30" t="s">
        <v>109</v>
      </c>
      <c r="AF124" s="107" t="s">
        <v>109</v>
      </c>
      <c r="AG124" s="22">
        <v>70</v>
      </c>
      <c r="AH124" s="106" t="s">
        <v>112</v>
      </c>
      <c r="AI124" s="27" t="s">
        <v>1270</v>
      </c>
      <c r="AJ124" s="37" t="s">
        <v>109</v>
      </c>
      <c r="AK124" s="30" t="s">
        <v>109</v>
      </c>
      <c r="AL124" s="24"/>
    </row>
    <row r="125" spans="1:38" ht="16.5" x14ac:dyDescent="0.25">
      <c r="A125" s="3">
        <v>2</v>
      </c>
      <c r="B125" s="21" t="s">
        <v>599</v>
      </c>
      <c r="C125" s="3" t="s">
        <v>297</v>
      </c>
      <c r="D125" s="21" t="s">
        <v>243</v>
      </c>
      <c r="E125" s="23" t="s">
        <v>288</v>
      </c>
      <c r="F125" s="34">
        <v>20016373</v>
      </c>
      <c r="G125" s="43" t="s">
        <v>111</v>
      </c>
      <c r="H125" s="3" t="s">
        <v>605</v>
      </c>
      <c r="I125" s="21" t="s">
        <v>303</v>
      </c>
      <c r="J125" s="38">
        <v>3</v>
      </c>
      <c r="K125" s="70">
        <v>17.02</v>
      </c>
      <c r="L125" s="71">
        <f t="shared" si="11"/>
        <v>51.06</v>
      </c>
      <c r="M125" s="37" t="s">
        <v>109</v>
      </c>
      <c r="N125" s="22" t="s">
        <v>109</v>
      </c>
      <c r="O125" s="3" t="s">
        <v>621</v>
      </c>
      <c r="P125" s="22" t="s">
        <v>613</v>
      </c>
      <c r="Q125" s="146" t="s">
        <v>109</v>
      </c>
      <c r="R125" s="155" t="s">
        <v>109</v>
      </c>
      <c r="S125" s="22" t="s">
        <v>109</v>
      </c>
      <c r="T125" s="161" t="s">
        <v>109</v>
      </c>
      <c r="U125" s="160"/>
      <c r="V125" s="169"/>
      <c r="W125" s="11" t="s">
        <v>109</v>
      </c>
      <c r="X125" s="3" t="s">
        <v>109</v>
      </c>
      <c r="Y125" s="22" t="s">
        <v>109</v>
      </c>
      <c r="Z125" s="22" t="s">
        <v>109</v>
      </c>
      <c r="AA125" s="30" t="s">
        <v>109</v>
      </c>
      <c r="AB125" s="37" t="s">
        <v>109</v>
      </c>
      <c r="AC125" s="3" t="s">
        <v>109</v>
      </c>
      <c r="AD125" s="22" t="s">
        <v>109</v>
      </c>
      <c r="AE125" s="30" t="s">
        <v>109</v>
      </c>
      <c r="AF125" s="107" t="s">
        <v>109</v>
      </c>
      <c r="AG125" s="22"/>
      <c r="AH125" s="98"/>
      <c r="AI125" s="30"/>
      <c r="AJ125" s="37" t="s">
        <v>109</v>
      </c>
      <c r="AK125" s="30" t="s">
        <v>109</v>
      </c>
      <c r="AL125" s="24"/>
    </row>
    <row r="126" spans="1:38" ht="16.5" x14ac:dyDescent="0.25">
      <c r="A126" s="3">
        <v>2</v>
      </c>
      <c r="B126" s="21" t="s">
        <v>599</v>
      </c>
      <c r="C126" s="3" t="s">
        <v>297</v>
      </c>
      <c r="D126" s="21" t="s">
        <v>244</v>
      </c>
      <c r="E126" s="23" t="s">
        <v>288</v>
      </c>
      <c r="F126" s="34">
        <v>20016373</v>
      </c>
      <c r="G126" s="43" t="s">
        <v>111</v>
      </c>
      <c r="H126" s="3" t="s">
        <v>605</v>
      </c>
      <c r="I126" s="21" t="s">
        <v>303</v>
      </c>
      <c r="J126" s="28">
        <v>33</v>
      </c>
      <c r="K126" s="70">
        <v>17.02</v>
      </c>
      <c r="L126" s="71">
        <f t="shared" si="11"/>
        <v>561.66</v>
      </c>
      <c r="M126" s="37" t="s">
        <v>109</v>
      </c>
      <c r="N126" s="22" t="s">
        <v>109</v>
      </c>
      <c r="O126" s="3" t="s">
        <v>621</v>
      </c>
      <c r="P126" s="22" t="s">
        <v>613</v>
      </c>
      <c r="Q126" s="146" t="s">
        <v>109</v>
      </c>
      <c r="R126" s="155" t="s">
        <v>109</v>
      </c>
      <c r="S126" s="22" t="s">
        <v>109</v>
      </c>
      <c r="T126" s="161" t="s">
        <v>109</v>
      </c>
      <c r="U126" s="160"/>
      <c r="V126" s="169"/>
      <c r="W126" s="11" t="s">
        <v>109</v>
      </c>
      <c r="X126" s="3" t="s">
        <v>109</v>
      </c>
      <c r="Y126" s="22" t="s">
        <v>109</v>
      </c>
      <c r="Z126" s="22" t="s">
        <v>109</v>
      </c>
      <c r="AA126" s="30" t="s">
        <v>109</v>
      </c>
      <c r="AB126" s="37" t="s">
        <v>109</v>
      </c>
      <c r="AC126" s="3" t="s">
        <v>109</v>
      </c>
      <c r="AD126" s="22" t="s">
        <v>109</v>
      </c>
      <c r="AE126" s="30" t="s">
        <v>109</v>
      </c>
      <c r="AF126" s="107" t="s">
        <v>109</v>
      </c>
      <c r="AG126" s="22">
        <v>71</v>
      </c>
      <c r="AH126" s="106" t="s">
        <v>112</v>
      </c>
      <c r="AI126" s="27" t="s">
        <v>1270</v>
      </c>
      <c r="AJ126" s="37" t="s">
        <v>109</v>
      </c>
      <c r="AK126" s="30" t="s">
        <v>109</v>
      </c>
      <c r="AL126" s="24"/>
    </row>
    <row r="127" spans="1:38" ht="16.5" x14ac:dyDescent="0.25">
      <c r="A127" s="3">
        <v>2</v>
      </c>
      <c r="B127" s="21" t="s">
        <v>599</v>
      </c>
      <c r="C127" s="3" t="s">
        <v>297</v>
      </c>
      <c r="D127" s="21" t="s">
        <v>245</v>
      </c>
      <c r="E127" s="23" t="s">
        <v>288</v>
      </c>
      <c r="F127" s="34">
        <v>20016373</v>
      </c>
      <c r="G127" s="43" t="s">
        <v>111</v>
      </c>
      <c r="H127" s="3" t="s">
        <v>606</v>
      </c>
      <c r="I127" s="21" t="s">
        <v>304</v>
      </c>
      <c r="J127" s="38">
        <v>3</v>
      </c>
      <c r="K127" s="70">
        <v>17.02</v>
      </c>
      <c r="L127" s="71">
        <f t="shared" si="11"/>
        <v>51.06</v>
      </c>
      <c r="M127" s="37" t="s">
        <v>109</v>
      </c>
      <c r="N127" s="22" t="s">
        <v>109</v>
      </c>
      <c r="O127" s="3" t="s">
        <v>622</v>
      </c>
      <c r="P127" s="22" t="s">
        <v>614</v>
      </c>
      <c r="Q127" s="146" t="s">
        <v>109</v>
      </c>
      <c r="R127" s="155" t="s">
        <v>109</v>
      </c>
      <c r="S127" s="22" t="s">
        <v>109</v>
      </c>
      <c r="T127" s="161" t="s">
        <v>109</v>
      </c>
      <c r="U127" s="160"/>
      <c r="V127" s="169"/>
      <c r="W127" s="11" t="s">
        <v>109</v>
      </c>
      <c r="X127" s="3" t="s">
        <v>109</v>
      </c>
      <c r="Y127" s="22" t="s">
        <v>109</v>
      </c>
      <c r="Z127" s="22" t="s">
        <v>109</v>
      </c>
      <c r="AA127" s="30" t="s">
        <v>109</v>
      </c>
      <c r="AB127" s="37" t="s">
        <v>109</v>
      </c>
      <c r="AC127" s="3" t="s">
        <v>109</v>
      </c>
      <c r="AD127" s="22" t="s">
        <v>109</v>
      </c>
      <c r="AE127" s="30" t="s">
        <v>109</v>
      </c>
      <c r="AF127" s="107" t="s">
        <v>109</v>
      </c>
      <c r="AG127" s="22"/>
      <c r="AH127" s="98"/>
      <c r="AI127" s="30"/>
      <c r="AJ127" s="37" t="s">
        <v>109</v>
      </c>
      <c r="AK127" s="30" t="s">
        <v>109</v>
      </c>
      <c r="AL127" s="24"/>
    </row>
    <row r="128" spans="1:38" ht="16.5" x14ac:dyDescent="0.25">
      <c r="A128" s="3">
        <v>2</v>
      </c>
      <c r="B128" s="21" t="s">
        <v>599</v>
      </c>
      <c r="C128" s="3" t="s">
        <v>297</v>
      </c>
      <c r="D128" s="21" t="s">
        <v>246</v>
      </c>
      <c r="E128" s="23" t="s">
        <v>288</v>
      </c>
      <c r="F128" s="34">
        <v>20016373</v>
      </c>
      <c r="G128" s="43" t="s">
        <v>111</v>
      </c>
      <c r="H128" s="3" t="s">
        <v>606</v>
      </c>
      <c r="I128" s="21" t="s">
        <v>304</v>
      </c>
      <c r="J128" s="28">
        <v>33</v>
      </c>
      <c r="K128" s="70">
        <v>17.02</v>
      </c>
      <c r="L128" s="71">
        <f t="shared" si="11"/>
        <v>561.66</v>
      </c>
      <c r="M128" s="37" t="s">
        <v>109</v>
      </c>
      <c r="N128" s="22" t="s">
        <v>109</v>
      </c>
      <c r="O128" s="3" t="s">
        <v>622</v>
      </c>
      <c r="P128" s="22" t="s">
        <v>614</v>
      </c>
      <c r="Q128" s="146" t="s">
        <v>109</v>
      </c>
      <c r="R128" s="155" t="s">
        <v>109</v>
      </c>
      <c r="S128" s="22" t="s">
        <v>109</v>
      </c>
      <c r="T128" s="161" t="s">
        <v>109</v>
      </c>
      <c r="U128" s="160"/>
      <c r="V128" s="169"/>
      <c r="W128" s="11" t="s">
        <v>109</v>
      </c>
      <c r="X128" s="3" t="s">
        <v>109</v>
      </c>
      <c r="Y128" s="22" t="s">
        <v>109</v>
      </c>
      <c r="Z128" s="22" t="s">
        <v>109</v>
      </c>
      <c r="AA128" s="30" t="s">
        <v>109</v>
      </c>
      <c r="AB128" s="37" t="s">
        <v>109</v>
      </c>
      <c r="AC128" s="3" t="s">
        <v>109</v>
      </c>
      <c r="AD128" s="22" t="s">
        <v>109</v>
      </c>
      <c r="AE128" s="30" t="s">
        <v>109</v>
      </c>
      <c r="AF128" s="107" t="s">
        <v>109</v>
      </c>
      <c r="AG128" s="22">
        <v>72</v>
      </c>
      <c r="AH128" s="106" t="s">
        <v>112</v>
      </c>
      <c r="AI128" s="27" t="s">
        <v>1270</v>
      </c>
      <c r="AJ128" s="37" t="s">
        <v>109</v>
      </c>
      <c r="AK128" s="30" t="s">
        <v>109</v>
      </c>
      <c r="AL128" s="24"/>
    </row>
    <row r="129" spans="1:38" ht="16.5" x14ac:dyDescent="0.25">
      <c r="A129" s="3">
        <v>2</v>
      </c>
      <c r="B129" s="21" t="s">
        <v>599</v>
      </c>
      <c r="C129" s="3" t="s">
        <v>297</v>
      </c>
      <c r="D129" s="21" t="s">
        <v>247</v>
      </c>
      <c r="E129" s="23" t="s">
        <v>288</v>
      </c>
      <c r="F129" s="34">
        <v>20016373</v>
      </c>
      <c r="G129" s="43" t="s">
        <v>111</v>
      </c>
      <c r="H129" s="3" t="s">
        <v>607</v>
      </c>
      <c r="I129" s="21" t="s">
        <v>305</v>
      </c>
      <c r="J129" s="38">
        <v>3</v>
      </c>
      <c r="K129" s="70">
        <v>17.02</v>
      </c>
      <c r="L129" s="71">
        <f t="shared" si="11"/>
        <v>51.06</v>
      </c>
      <c r="M129" s="37" t="s">
        <v>109</v>
      </c>
      <c r="N129" s="22" t="s">
        <v>109</v>
      </c>
      <c r="O129" s="3" t="s">
        <v>623</v>
      </c>
      <c r="P129" s="22" t="s">
        <v>615</v>
      </c>
      <c r="Q129" s="146" t="s">
        <v>109</v>
      </c>
      <c r="R129" s="155" t="s">
        <v>109</v>
      </c>
      <c r="S129" s="22" t="s">
        <v>109</v>
      </c>
      <c r="T129" s="161" t="s">
        <v>109</v>
      </c>
      <c r="U129" s="160"/>
      <c r="V129" s="169"/>
      <c r="W129" s="11" t="s">
        <v>109</v>
      </c>
      <c r="X129" s="3" t="s">
        <v>109</v>
      </c>
      <c r="Y129" s="22" t="s">
        <v>109</v>
      </c>
      <c r="Z129" s="22" t="s">
        <v>109</v>
      </c>
      <c r="AA129" s="30" t="s">
        <v>109</v>
      </c>
      <c r="AB129" s="37" t="s">
        <v>109</v>
      </c>
      <c r="AC129" s="3" t="s">
        <v>109</v>
      </c>
      <c r="AD129" s="22" t="s">
        <v>109</v>
      </c>
      <c r="AE129" s="30" t="s">
        <v>109</v>
      </c>
      <c r="AF129" s="107" t="s">
        <v>109</v>
      </c>
      <c r="AG129" s="22"/>
      <c r="AH129" s="98"/>
      <c r="AI129" s="30"/>
      <c r="AJ129" s="37" t="s">
        <v>109</v>
      </c>
      <c r="AK129" s="30" t="s">
        <v>109</v>
      </c>
      <c r="AL129" s="24"/>
    </row>
    <row r="130" spans="1:38" ht="16.5" x14ac:dyDescent="0.25">
      <c r="A130" s="3">
        <v>2</v>
      </c>
      <c r="B130" s="21" t="s">
        <v>599</v>
      </c>
      <c r="C130" s="3" t="s">
        <v>297</v>
      </c>
      <c r="D130" s="21" t="s">
        <v>248</v>
      </c>
      <c r="E130" s="23" t="s">
        <v>288</v>
      </c>
      <c r="F130" s="34">
        <v>20016373</v>
      </c>
      <c r="G130" s="43" t="s">
        <v>111</v>
      </c>
      <c r="H130" s="3" t="s">
        <v>607</v>
      </c>
      <c r="I130" s="21" t="s">
        <v>305</v>
      </c>
      <c r="J130" s="28">
        <v>33</v>
      </c>
      <c r="K130" s="70">
        <v>17.02</v>
      </c>
      <c r="L130" s="71">
        <f t="shared" si="11"/>
        <v>561.66</v>
      </c>
      <c r="M130" s="37" t="s">
        <v>109</v>
      </c>
      <c r="N130" s="22" t="s">
        <v>109</v>
      </c>
      <c r="O130" s="3" t="s">
        <v>624</v>
      </c>
      <c r="P130" s="22" t="s">
        <v>615</v>
      </c>
      <c r="Q130" s="146" t="s">
        <v>109</v>
      </c>
      <c r="R130" s="155" t="s">
        <v>109</v>
      </c>
      <c r="S130" s="22" t="s">
        <v>109</v>
      </c>
      <c r="T130" s="161" t="s">
        <v>109</v>
      </c>
      <c r="U130" s="160"/>
      <c r="V130" s="169"/>
      <c r="W130" s="11" t="s">
        <v>109</v>
      </c>
      <c r="X130" s="3" t="s">
        <v>109</v>
      </c>
      <c r="Y130" s="22" t="s">
        <v>109</v>
      </c>
      <c r="Z130" s="22" t="s">
        <v>109</v>
      </c>
      <c r="AA130" s="30" t="s">
        <v>109</v>
      </c>
      <c r="AB130" s="37" t="s">
        <v>109</v>
      </c>
      <c r="AC130" s="3" t="s">
        <v>109</v>
      </c>
      <c r="AD130" s="22" t="s">
        <v>109</v>
      </c>
      <c r="AE130" s="30" t="s">
        <v>109</v>
      </c>
      <c r="AF130" s="107" t="s">
        <v>109</v>
      </c>
      <c r="AG130" s="22">
        <v>73</v>
      </c>
      <c r="AH130" s="106" t="s">
        <v>112</v>
      </c>
      <c r="AI130" s="27" t="s">
        <v>1270</v>
      </c>
      <c r="AJ130" s="37" t="s">
        <v>109</v>
      </c>
      <c r="AK130" s="30" t="s">
        <v>109</v>
      </c>
      <c r="AL130" s="24"/>
    </row>
    <row r="131" spans="1:38" ht="16.5" x14ac:dyDescent="0.25">
      <c r="A131" s="3">
        <v>2</v>
      </c>
      <c r="B131" s="21" t="s">
        <v>599</v>
      </c>
      <c r="C131" s="3" t="s">
        <v>297</v>
      </c>
      <c r="D131" s="21" t="s">
        <v>249</v>
      </c>
      <c r="E131" s="23" t="s">
        <v>288</v>
      </c>
      <c r="F131" s="34">
        <v>20016373</v>
      </c>
      <c r="G131" s="43" t="s">
        <v>111</v>
      </c>
      <c r="H131" s="3" t="s">
        <v>625</v>
      </c>
      <c r="I131" s="21" t="s">
        <v>306</v>
      </c>
      <c r="J131" s="38">
        <v>3</v>
      </c>
      <c r="K131" s="70">
        <v>17.02</v>
      </c>
      <c r="L131" s="71">
        <f t="shared" si="11"/>
        <v>51.06</v>
      </c>
      <c r="M131" s="37" t="s">
        <v>109</v>
      </c>
      <c r="N131" s="22" t="s">
        <v>109</v>
      </c>
      <c r="O131" s="3" t="s">
        <v>645</v>
      </c>
      <c r="P131" s="22" t="s">
        <v>635</v>
      </c>
      <c r="Q131" s="146" t="s">
        <v>109</v>
      </c>
      <c r="R131" s="155" t="s">
        <v>109</v>
      </c>
      <c r="S131" s="22" t="s">
        <v>109</v>
      </c>
      <c r="T131" s="161" t="s">
        <v>109</v>
      </c>
      <c r="U131" s="160"/>
      <c r="V131" s="169"/>
      <c r="W131" s="11" t="s">
        <v>109</v>
      </c>
      <c r="X131" s="3" t="s">
        <v>109</v>
      </c>
      <c r="Y131" s="22" t="s">
        <v>109</v>
      </c>
      <c r="Z131" s="22" t="s">
        <v>109</v>
      </c>
      <c r="AA131" s="30" t="s">
        <v>109</v>
      </c>
      <c r="AB131" s="37" t="s">
        <v>109</v>
      </c>
      <c r="AC131" s="3" t="s">
        <v>109</v>
      </c>
      <c r="AD131" s="22" t="s">
        <v>109</v>
      </c>
      <c r="AE131" s="30" t="s">
        <v>109</v>
      </c>
      <c r="AF131" s="107" t="s">
        <v>109</v>
      </c>
      <c r="AG131" s="22"/>
      <c r="AH131" s="98"/>
      <c r="AI131" s="30"/>
      <c r="AJ131" s="37" t="s">
        <v>109</v>
      </c>
      <c r="AK131" s="30" t="s">
        <v>109</v>
      </c>
      <c r="AL131" s="24"/>
    </row>
    <row r="132" spans="1:38" ht="16.5" x14ac:dyDescent="0.25">
      <c r="A132" s="3">
        <v>2</v>
      </c>
      <c r="B132" s="21" t="s">
        <v>599</v>
      </c>
      <c r="C132" s="3" t="s">
        <v>297</v>
      </c>
      <c r="D132" s="21" t="s">
        <v>250</v>
      </c>
      <c r="E132" s="23" t="s">
        <v>288</v>
      </c>
      <c r="F132" s="34">
        <v>20016373</v>
      </c>
      <c r="G132" s="43" t="s">
        <v>111</v>
      </c>
      <c r="H132" s="3" t="s">
        <v>625</v>
      </c>
      <c r="I132" s="21" t="s">
        <v>306</v>
      </c>
      <c r="J132" s="28">
        <v>33</v>
      </c>
      <c r="K132" s="70">
        <v>17.02</v>
      </c>
      <c r="L132" s="71">
        <f t="shared" si="11"/>
        <v>561.66</v>
      </c>
      <c r="M132" s="37" t="s">
        <v>109</v>
      </c>
      <c r="N132" s="22" t="s">
        <v>109</v>
      </c>
      <c r="O132" s="3" t="s">
        <v>645</v>
      </c>
      <c r="P132" s="22" t="s">
        <v>635</v>
      </c>
      <c r="Q132" s="146" t="s">
        <v>109</v>
      </c>
      <c r="R132" s="155" t="s">
        <v>109</v>
      </c>
      <c r="S132" s="22" t="s">
        <v>109</v>
      </c>
      <c r="T132" s="161" t="s">
        <v>109</v>
      </c>
      <c r="U132" s="160"/>
      <c r="V132" s="169"/>
      <c r="W132" s="11" t="s">
        <v>109</v>
      </c>
      <c r="X132" s="3" t="s">
        <v>109</v>
      </c>
      <c r="Y132" s="22" t="s">
        <v>109</v>
      </c>
      <c r="Z132" s="22" t="s">
        <v>109</v>
      </c>
      <c r="AA132" s="30" t="s">
        <v>109</v>
      </c>
      <c r="AB132" s="37" t="s">
        <v>109</v>
      </c>
      <c r="AC132" s="3" t="s">
        <v>109</v>
      </c>
      <c r="AD132" s="22" t="s">
        <v>109</v>
      </c>
      <c r="AE132" s="30" t="s">
        <v>109</v>
      </c>
      <c r="AF132" s="107" t="s">
        <v>109</v>
      </c>
      <c r="AG132" s="22">
        <v>74</v>
      </c>
      <c r="AH132" s="106" t="s">
        <v>112</v>
      </c>
      <c r="AI132" s="27" t="s">
        <v>1270</v>
      </c>
      <c r="AJ132" s="37" t="s">
        <v>109</v>
      </c>
      <c r="AK132" s="30" t="s">
        <v>109</v>
      </c>
      <c r="AL132" s="24"/>
    </row>
    <row r="133" spans="1:38" ht="16.5" x14ac:dyDescent="0.25">
      <c r="A133" s="3">
        <v>2</v>
      </c>
      <c r="B133" s="21" t="s">
        <v>599</v>
      </c>
      <c r="C133" s="3" t="s">
        <v>297</v>
      </c>
      <c r="D133" s="21" t="s">
        <v>251</v>
      </c>
      <c r="E133" s="23" t="s">
        <v>288</v>
      </c>
      <c r="F133" s="34">
        <v>20016373</v>
      </c>
      <c r="G133" s="43" t="s">
        <v>111</v>
      </c>
      <c r="H133" s="3" t="s">
        <v>626</v>
      </c>
      <c r="I133" s="21" t="s">
        <v>307</v>
      </c>
      <c r="J133" s="38">
        <v>3</v>
      </c>
      <c r="K133" s="70">
        <v>17.02</v>
      </c>
      <c r="L133" s="71">
        <f t="shared" si="11"/>
        <v>51.06</v>
      </c>
      <c r="M133" s="37" t="s">
        <v>109</v>
      </c>
      <c r="N133" s="22" t="s">
        <v>109</v>
      </c>
      <c r="O133" s="3" t="s">
        <v>646</v>
      </c>
      <c r="P133" s="22" t="s">
        <v>636</v>
      </c>
      <c r="Q133" s="146" t="s">
        <v>109</v>
      </c>
      <c r="R133" s="155" t="s">
        <v>109</v>
      </c>
      <c r="S133" s="22" t="s">
        <v>109</v>
      </c>
      <c r="T133" s="161" t="s">
        <v>109</v>
      </c>
      <c r="U133" s="160"/>
      <c r="V133" s="169"/>
      <c r="W133" s="11" t="s">
        <v>109</v>
      </c>
      <c r="X133" s="3" t="s">
        <v>109</v>
      </c>
      <c r="Y133" s="22" t="s">
        <v>109</v>
      </c>
      <c r="Z133" s="22" t="s">
        <v>109</v>
      </c>
      <c r="AA133" s="30" t="s">
        <v>109</v>
      </c>
      <c r="AB133" s="37" t="s">
        <v>109</v>
      </c>
      <c r="AC133" s="3" t="s">
        <v>109</v>
      </c>
      <c r="AD133" s="22" t="s">
        <v>109</v>
      </c>
      <c r="AE133" s="30" t="s">
        <v>109</v>
      </c>
      <c r="AF133" s="107" t="s">
        <v>109</v>
      </c>
      <c r="AG133" s="22"/>
      <c r="AH133" s="98"/>
      <c r="AI133" s="30"/>
      <c r="AJ133" s="37" t="s">
        <v>109</v>
      </c>
      <c r="AK133" s="30" t="s">
        <v>109</v>
      </c>
      <c r="AL133" s="24"/>
    </row>
    <row r="134" spans="1:38" ht="16.5" x14ac:dyDescent="0.25">
      <c r="A134" s="3">
        <v>2</v>
      </c>
      <c r="B134" s="21" t="s">
        <v>599</v>
      </c>
      <c r="C134" s="3" t="s">
        <v>297</v>
      </c>
      <c r="D134" s="21" t="s">
        <v>252</v>
      </c>
      <c r="E134" s="23" t="s">
        <v>288</v>
      </c>
      <c r="F134" s="34">
        <v>20016373</v>
      </c>
      <c r="G134" s="43" t="s">
        <v>111</v>
      </c>
      <c r="H134" s="3" t="s">
        <v>626</v>
      </c>
      <c r="I134" s="21" t="s">
        <v>307</v>
      </c>
      <c r="J134" s="28">
        <v>33</v>
      </c>
      <c r="K134" s="70">
        <v>17.02</v>
      </c>
      <c r="L134" s="71">
        <f t="shared" si="11"/>
        <v>561.66</v>
      </c>
      <c r="M134" s="37" t="s">
        <v>109</v>
      </c>
      <c r="N134" s="22" t="s">
        <v>109</v>
      </c>
      <c r="O134" s="3" t="s">
        <v>646</v>
      </c>
      <c r="P134" s="22" t="s">
        <v>636</v>
      </c>
      <c r="Q134" s="146" t="s">
        <v>109</v>
      </c>
      <c r="R134" s="155" t="s">
        <v>109</v>
      </c>
      <c r="S134" s="22" t="s">
        <v>109</v>
      </c>
      <c r="T134" s="161" t="s">
        <v>109</v>
      </c>
      <c r="U134" s="160"/>
      <c r="V134" s="169"/>
      <c r="W134" s="11" t="s">
        <v>109</v>
      </c>
      <c r="X134" s="3" t="s">
        <v>109</v>
      </c>
      <c r="Y134" s="22" t="s">
        <v>109</v>
      </c>
      <c r="Z134" s="22" t="s">
        <v>109</v>
      </c>
      <c r="AA134" s="30" t="s">
        <v>109</v>
      </c>
      <c r="AB134" s="37" t="s">
        <v>109</v>
      </c>
      <c r="AC134" s="3" t="s">
        <v>109</v>
      </c>
      <c r="AD134" s="22" t="s">
        <v>109</v>
      </c>
      <c r="AE134" s="30" t="s">
        <v>109</v>
      </c>
      <c r="AF134" s="107" t="s">
        <v>109</v>
      </c>
      <c r="AG134" s="22">
        <v>75</v>
      </c>
      <c r="AH134" s="106" t="s">
        <v>112</v>
      </c>
      <c r="AI134" s="27" t="s">
        <v>1270</v>
      </c>
      <c r="AJ134" s="37" t="s">
        <v>109</v>
      </c>
      <c r="AK134" s="30" t="s">
        <v>109</v>
      </c>
      <c r="AL134" s="24"/>
    </row>
    <row r="135" spans="1:38" ht="16.5" x14ac:dyDescent="0.25">
      <c r="A135" s="3">
        <v>2</v>
      </c>
      <c r="B135" s="21" t="s">
        <v>599</v>
      </c>
      <c r="C135" s="3" t="s">
        <v>297</v>
      </c>
      <c r="D135" s="21" t="s">
        <v>253</v>
      </c>
      <c r="E135" s="23" t="s">
        <v>288</v>
      </c>
      <c r="F135" s="34">
        <v>20016373</v>
      </c>
      <c r="G135" s="43" t="s">
        <v>111</v>
      </c>
      <c r="H135" s="3" t="s">
        <v>627</v>
      </c>
      <c r="I135" s="21" t="s">
        <v>308</v>
      </c>
      <c r="J135" s="38">
        <v>3</v>
      </c>
      <c r="K135" s="70">
        <v>17.02</v>
      </c>
      <c r="L135" s="71">
        <f t="shared" si="11"/>
        <v>51.06</v>
      </c>
      <c r="M135" s="37" t="s">
        <v>109</v>
      </c>
      <c r="N135" s="22" t="s">
        <v>109</v>
      </c>
      <c r="O135" s="3" t="s">
        <v>647</v>
      </c>
      <c r="P135" s="22" t="s">
        <v>637</v>
      </c>
      <c r="Q135" s="146" t="s">
        <v>109</v>
      </c>
      <c r="R135" s="155" t="s">
        <v>109</v>
      </c>
      <c r="S135" s="22" t="s">
        <v>109</v>
      </c>
      <c r="T135" s="161" t="s">
        <v>109</v>
      </c>
      <c r="U135" s="160"/>
      <c r="V135" s="169"/>
      <c r="W135" s="11" t="s">
        <v>109</v>
      </c>
      <c r="X135" s="3" t="s">
        <v>109</v>
      </c>
      <c r="Y135" s="22" t="s">
        <v>109</v>
      </c>
      <c r="Z135" s="22" t="s">
        <v>109</v>
      </c>
      <c r="AA135" s="30" t="s">
        <v>109</v>
      </c>
      <c r="AB135" s="37" t="s">
        <v>109</v>
      </c>
      <c r="AC135" s="3" t="s">
        <v>109</v>
      </c>
      <c r="AD135" s="22" t="s">
        <v>109</v>
      </c>
      <c r="AE135" s="30" t="s">
        <v>109</v>
      </c>
      <c r="AF135" s="107" t="s">
        <v>109</v>
      </c>
      <c r="AG135" s="22"/>
      <c r="AH135" s="98"/>
      <c r="AI135" s="30"/>
      <c r="AJ135" s="37" t="s">
        <v>109</v>
      </c>
      <c r="AK135" s="30" t="s">
        <v>109</v>
      </c>
      <c r="AL135" s="24"/>
    </row>
    <row r="136" spans="1:38" ht="16.5" x14ac:dyDescent="0.25">
      <c r="A136" s="3">
        <v>2</v>
      </c>
      <c r="B136" s="21" t="s">
        <v>599</v>
      </c>
      <c r="C136" s="3" t="s">
        <v>297</v>
      </c>
      <c r="D136" s="21" t="s">
        <v>255</v>
      </c>
      <c r="E136" s="23" t="s">
        <v>288</v>
      </c>
      <c r="F136" s="34">
        <v>20016373</v>
      </c>
      <c r="G136" s="43" t="s">
        <v>111</v>
      </c>
      <c r="H136" s="3" t="s">
        <v>627</v>
      </c>
      <c r="I136" s="21" t="s">
        <v>308</v>
      </c>
      <c r="J136" s="28">
        <v>33</v>
      </c>
      <c r="K136" s="70">
        <v>17.02</v>
      </c>
      <c r="L136" s="71">
        <f t="shared" si="11"/>
        <v>561.66</v>
      </c>
      <c r="M136" s="37" t="s">
        <v>109</v>
      </c>
      <c r="N136" s="22" t="s">
        <v>109</v>
      </c>
      <c r="O136" s="3" t="s">
        <v>647</v>
      </c>
      <c r="P136" s="22" t="s">
        <v>637</v>
      </c>
      <c r="Q136" s="146" t="s">
        <v>109</v>
      </c>
      <c r="R136" s="155" t="s">
        <v>109</v>
      </c>
      <c r="S136" s="22" t="s">
        <v>109</v>
      </c>
      <c r="T136" s="161" t="s">
        <v>109</v>
      </c>
      <c r="U136" s="160"/>
      <c r="V136" s="169"/>
      <c r="W136" s="11" t="s">
        <v>109</v>
      </c>
      <c r="X136" s="3" t="s">
        <v>109</v>
      </c>
      <c r="Y136" s="22" t="s">
        <v>109</v>
      </c>
      <c r="Z136" s="22" t="s">
        <v>109</v>
      </c>
      <c r="AA136" s="30" t="s">
        <v>109</v>
      </c>
      <c r="AB136" s="37" t="s">
        <v>109</v>
      </c>
      <c r="AC136" s="3" t="s">
        <v>109</v>
      </c>
      <c r="AD136" s="22" t="s">
        <v>109</v>
      </c>
      <c r="AE136" s="30" t="s">
        <v>109</v>
      </c>
      <c r="AF136" s="107" t="s">
        <v>109</v>
      </c>
      <c r="AG136" s="22">
        <v>76</v>
      </c>
      <c r="AH136" s="106" t="s">
        <v>112</v>
      </c>
      <c r="AI136" s="27" t="s">
        <v>1270</v>
      </c>
      <c r="AJ136" s="37" t="s">
        <v>109</v>
      </c>
      <c r="AK136" s="30" t="s">
        <v>109</v>
      </c>
      <c r="AL136" s="24"/>
    </row>
    <row r="137" spans="1:38" ht="16.5" x14ac:dyDescent="0.25">
      <c r="A137" s="3">
        <v>2</v>
      </c>
      <c r="B137" s="21" t="s">
        <v>599</v>
      </c>
      <c r="C137" s="3" t="s">
        <v>297</v>
      </c>
      <c r="D137" s="21" t="s">
        <v>256</v>
      </c>
      <c r="E137" s="23" t="s">
        <v>288</v>
      </c>
      <c r="F137" s="34">
        <v>20016373</v>
      </c>
      <c r="G137" s="43" t="s">
        <v>111</v>
      </c>
      <c r="H137" s="3" t="s">
        <v>628</v>
      </c>
      <c r="I137" s="21" t="s">
        <v>309</v>
      </c>
      <c r="J137" s="38">
        <v>3</v>
      </c>
      <c r="K137" s="70">
        <v>17.02</v>
      </c>
      <c r="L137" s="71">
        <f t="shared" si="11"/>
        <v>51.06</v>
      </c>
      <c r="M137" s="37" t="s">
        <v>109</v>
      </c>
      <c r="N137" s="22" t="s">
        <v>109</v>
      </c>
      <c r="O137" s="3" t="s">
        <v>648</v>
      </c>
      <c r="P137" s="22" t="s">
        <v>638</v>
      </c>
      <c r="Q137" s="146" t="s">
        <v>109</v>
      </c>
      <c r="R137" s="155" t="s">
        <v>109</v>
      </c>
      <c r="S137" s="22" t="s">
        <v>109</v>
      </c>
      <c r="T137" s="161" t="s">
        <v>109</v>
      </c>
      <c r="U137" s="160"/>
      <c r="V137" s="169"/>
      <c r="W137" s="11" t="s">
        <v>109</v>
      </c>
      <c r="X137" s="3" t="s">
        <v>109</v>
      </c>
      <c r="Y137" s="22" t="s">
        <v>109</v>
      </c>
      <c r="Z137" s="22" t="s">
        <v>109</v>
      </c>
      <c r="AA137" s="30" t="s">
        <v>109</v>
      </c>
      <c r="AB137" s="37" t="s">
        <v>109</v>
      </c>
      <c r="AC137" s="3" t="s">
        <v>109</v>
      </c>
      <c r="AD137" s="22" t="s">
        <v>109</v>
      </c>
      <c r="AE137" s="30" t="s">
        <v>109</v>
      </c>
      <c r="AF137" s="107" t="s">
        <v>109</v>
      </c>
      <c r="AG137" s="22"/>
      <c r="AH137" s="98"/>
      <c r="AI137" s="30"/>
      <c r="AJ137" s="37" t="s">
        <v>109</v>
      </c>
      <c r="AK137" s="30" t="s">
        <v>109</v>
      </c>
      <c r="AL137" s="24"/>
    </row>
    <row r="138" spans="1:38" ht="16.5" x14ac:dyDescent="0.25">
      <c r="A138" s="3">
        <v>2</v>
      </c>
      <c r="B138" s="21" t="s">
        <v>599</v>
      </c>
      <c r="C138" s="3" t="s">
        <v>297</v>
      </c>
      <c r="D138" s="21" t="s">
        <v>254</v>
      </c>
      <c r="E138" s="23" t="s">
        <v>288</v>
      </c>
      <c r="F138" s="34">
        <v>20016373</v>
      </c>
      <c r="G138" s="43" t="s">
        <v>111</v>
      </c>
      <c r="H138" s="3" t="s">
        <v>628</v>
      </c>
      <c r="I138" s="21" t="s">
        <v>309</v>
      </c>
      <c r="J138" s="28">
        <v>33</v>
      </c>
      <c r="K138" s="70">
        <v>17.02</v>
      </c>
      <c r="L138" s="71">
        <f t="shared" si="11"/>
        <v>561.66</v>
      </c>
      <c r="M138" s="37" t="s">
        <v>109</v>
      </c>
      <c r="N138" s="22" t="s">
        <v>109</v>
      </c>
      <c r="O138" s="3" t="s">
        <v>648</v>
      </c>
      <c r="P138" s="22" t="s">
        <v>638</v>
      </c>
      <c r="Q138" s="146" t="s">
        <v>109</v>
      </c>
      <c r="R138" s="155" t="s">
        <v>109</v>
      </c>
      <c r="S138" s="22" t="s">
        <v>109</v>
      </c>
      <c r="T138" s="161" t="s">
        <v>109</v>
      </c>
      <c r="U138" s="160"/>
      <c r="V138" s="169"/>
      <c r="W138" s="11" t="s">
        <v>109</v>
      </c>
      <c r="X138" s="3" t="s">
        <v>109</v>
      </c>
      <c r="Y138" s="22" t="s">
        <v>109</v>
      </c>
      <c r="Z138" s="22" t="s">
        <v>109</v>
      </c>
      <c r="AA138" s="30" t="s">
        <v>109</v>
      </c>
      <c r="AB138" s="37" t="s">
        <v>109</v>
      </c>
      <c r="AC138" s="3" t="s">
        <v>109</v>
      </c>
      <c r="AD138" s="22" t="s">
        <v>109</v>
      </c>
      <c r="AE138" s="30" t="s">
        <v>109</v>
      </c>
      <c r="AF138" s="107" t="s">
        <v>109</v>
      </c>
      <c r="AG138" s="22">
        <v>77</v>
      </c>
      <c r="AH138" s="106" t="s">
        <v>112</v>
      </c>
      <c r="AI138" s="27" t="s">
        <v>1270</v>
      </c>
      <c r="AJ138" s="37" t="s">
        <v>109</v>
      </c>
      <c r="AK138" s="30" t="s">
        <v>109</v>
      </c>
      <c r="AL138" s="24"/>
    </row>
    <row r="139" spans="1:38" ht="16.5" x14ac:dyDescent="0.25">
      <c r="A139" s="3">
        <v>2</v>
      </c>
      <c r="B139" s="21" t="s">
        <v>599</v>
      </c>
      <c r="C139" s="3" t="s">
        <v>297</v>
      </c>
      <c r="D139" s="21" t="s">
        <v>257</v>
      </c>
      <c r="E139" s="23" t="s">
        <v>288</v>
      </c>
      <c r="F139" s="34">
        <v>20016373</v>
      </c>
      <c r="G139" s="43" t="s">
        <v>111</v>
      </c>
      <c r="H139" s="3" t="s">
        <v>629</v>
      </c>
      <c r="I139" s="21" t="s">
        <v>310</v>
      </c>
      <c r="J139" s="38">
        <v>3</v>
      </c>
      <c r="K139" s="70">
        <v>17.02</v>
      </c>
      <c r="L139" s="71">
        <f t="shared" si="11"/>
        <v>51.06</v>
      </c>
      <c r="M139" s="37" t="s">
        <v>109</v>
      </c>
      <c r="N139" s="22" t="s">
        <v>109</v>
      </c>
      <c r="O139" s="3" t="s">
        <v>649</v>
      </c>
      <c r="P139" s="22" t="s">
        <v>639</v>
      </c>
      <c r="Q139" s="146" t="s">
        <v>109</v>
      </c>
      <c r="R139" s="155" t="s">
        <v>109</v>
      </c>
      <c r="S139" s="22" t="s">
        <v>109</v>
      </c>
      <c r="T139" s="161" t="s">
        <v>109</v>
      </c>
      <c r="U139" s="160"/>
      <c r="V139" s="169"/>
      <c r="W139" s="11" t="s">
        <v>109</v>
      </c>
      <c r="X139" s="3" t="s">
        <v>109</v>
      </c>
      <c r="Y139" s="22" t="s">
        <v>109</v>
      </c>
      <c r="Z139" s="22" t="s">
        <v>109</v>
      </c>
      <c r="AA139" s="30" t="s">
        <v>109</v>
      </c>
      <c r="AB139" s="37" t="s">
        <v>109</v>
      </c>
      <c r="AC139" s="3" t="s">
        <v>109</v>
      </c>
      <c r="AD139" s="22" t="s">
        <v>109</v>
      </c>
      <c r="AE139" s="30" t="s">
        <v>109</v>
      </c>
      <c r="AF139" s="107" t="s">
        <v>109</v>
      </c>
      <c r="AG139" s="22"/>
      <c r="AH139" s="98"/>
      <c r="AI139" s="30"/>
      <c r="AJ139" s="37" t="s">
        <v>109</v>
      </c>
      <c r="AK139" s="30" t="s">
        <v>109</v>
      </c>
      <c r="AL139" s="24"/>
    </row>
    <row r="140" spans="1:38" ht="16.5" x14ac:dyDescent="0.25">
      <c r="A140" s="3">
        <v>2</v>
      </c>
      <c r="B140" s="21" t="s">
        <v>599</v>
      </c>
      <c r="C140" s="3" t="s">
        <v>297</v>
      </c>
      <c r="D140" s="21" t="s">
        <v>258</v>
      </c>
      <c r="E140" s="23" t="s">
        <v>288</v>
      </c>
      <c r="F140" s="34">
        <v>20016373</v>
      </c>
      <c r="G140" s="43" t="s">
        <v>111</v>
      </c>
      <c r="H140" s="3" t="s">
        <v>629</v>
      </c>
      <c r="I140" s="21" t="s">
        <v>310</v>
      </c>
      <c r="J140" s="28">
        <v>33</v>
      </c>
      <c r="K140" s="70">
        <v>17.02</v>
      </c>
      <c r="L140" s="71">
        <f t="shared" si="11"/>
        <v>561.66</v>
      </c>
      <c r="M140" s="37" t="s">
        <v>109</v>
      </c>
      <c r="N140" s="22" t="s">
        <v>109</v>
      </c>
      <c r="O140" s="3" t="s">
        <v>649</v>
      </c>
      <c r="P140" s="22" t="s">
        <v>639</v>
      </c>
      <c r="Q140" s="146" t="s">
        <v>109</v>
      </c>
      <c r="R140" s="155" t="s">
        <v>109</v>
      </c>
      <c r="S140" s="22" t="s">
        <v>109</v>
      </c>
      <c r="T140" s="161" t="s">
        <v>109</v>
      </c>
      <c r="U140" s="160"/>
      <c r="V140" s="169"/>
      <c r="W140" s="11" t="s">
        <v>109</v>
      </c>
      <c r="X140" s="3" t="s">
        <v>109</v>
      </c>
      <c r="Y140" s="22" t="s">
        <v>109</v>
      </c>
      <c r="Z140" s="22" t="s">
        <v>109</v>
      </c>
      <c r="AA140" s="30" t="s">
        <v>109</v>
      </c>
      <c r="AB140" s="37" t="s">
        <v>109</v>
      </c>
      <c r="AC140" s="3" t="s">
        <v>109</v>
      </c>
      <c r="AD140" s="22" t="s">
        <v>109</v>
      </c>
      <c r="AE140" s="30" t="s">
        <v>109</v>
      </c>
      <c r="AF140" s="107" t="s">
        <v>109</v>
      </c>
      <c r="AG140" s="22">
        <v>78</v>
      </c>
      <c r="AH140" s="106" t="s">
        <v>112</v>
      </c>
      <c r="AI140" s="27" t="s">
        <v>1270</v>
      </c>
      <c r="AJ140" s="37" t="s">
        <v>109</v>
      </c>
      <c r="AK140" s="30" t="s">
        <v>109</v>
      </c>
      <c r="AL140" s="24"/>
    </row>
    <row r="141" spans="1:38" ht="16.5" x14ac:dyDescent="0.25">
      <c r="A141" s="3">
        <v>2</v>
      </c>
      <c r="B141" s="21" t="s">
        <v>599</v>
      </c>
      <c r="C141" s="3" t="s">
        <v>297</v>
      </c>
      <c r="D141" s="21" t="s">
        <v>259</v>
      </c>
      <c r="E141" s="23" t="s">
        <v>288</v>
      </c>
      <c r="F141" s="34">
        <v>20016373</v>
      </c>
      <c r="G141" s="43" t="s">
        <v>111</v>
      </c>
      <c r="H141" s="3" t="s">
        <v>630</v>
      </c>
      <c r="I141" s="21" t="s">
        <v>311</v>
      </c>
      <c r="J141" s="38">
        <v>3</v>
      </c>
      <c r="K141" s="70">
        <v>17.02</v>
      </c>
      <c r="L141" s="71">
        <f t="shared" si="11"/>
        <v>51.06</v>
      </c>
      <c r="M141" s="37" t="s">
        <v>109</v>
      </c>
      <c r="N141" s="22" t="s">
        <v>109</v>
      </c>
      <c r="O141" s="3" t="s">
        <v>650</v>
      </c>
      <c r="P141" s="22" t="s">
        <v>640</v>
      </c>
      <c r="Q141" s="146" t="s">
        <v>109</v>
      </c>
      <c r="R141" s="155" t="s">
        <v>109</v>
      </c>
      <c r="S141" s="22" t="s">
        <v>109</v>
      </c>
      <c r="T141" s="161" t="s">
        <v>109</v>
      </c>
      <c r="U141" s="160"/>
      <c r="V141" s="169"/>
      <c r="W141" s="11" t="s">
        <v>109</v>
      </c>
      <c r="X141" s="3" t="s">
        <v>109</v>
      </c>
      <c r="Y141" s="22" t="s">
        <v>109</v>
      </c>
      <c r="Z141" s="22" t="s">
        <v>109</v>
      </c>
      <c r="AA141" s="30" t="s">
        <v>109</v>
      </c>
      <c r="AB141" s="37" t="s">
        <v>109</v>
      </c>
      <c r="AC141" s="3" t="s">
        <v>109</v>
      </c>
      <c r="AD141" s="22" t="s">
        <v>109</v>
      </c>
      <c r="AE141" s="30" t="s">
        <v>109</v>
      </c>
      <c r="AF141" s="107" t="s">
        <v>109</v>
      </c>
      <c r="AG141" s="22"/>
      <c r="AH141" s="98"/>
      <c r="AI141" s="30"/>
      <c r="AJ141" s="37" t="s">
        <v>109</v>
      </c>
      <c r="AK141" s="30" t="s">
        <v>109</v>
      </c>
      <c r="AL141" s="24"/>
    </row>
    <row r="142" spans="1:38" ht="16.5" x14ac:dyDescent="0.25">
      <c r="A142" s="3">
        <v>2</v>
      </c>
      <c r="B142" s="21" t="s">
        <v>599</v>
      </c>
      <c r="C142" s="3" t="s">
        <v>297</v>
      </c>
      <c r="D142" s="21" t="s">
        <v>260</v>
      </c>
      <c r="E142" s="23" t="s">
        <v>288</v>
      </c>
      <c r="F142" s="34">
        <v>20016373</v>
      </c>
      <c r="G142" s="43" t="s">
        <v>111</v>
      </c>
      <c r="H142" s="3" t="s">
        <v>630</v>
      </c>
      <c r="I142" s="21" t="s">
        <v>311</v>
      </c>
      <c r="J142" s="28">
        <v>33</v>
      </c>
      <c r="K142" s="70">
        <v>17.02</v>
      </c>
      <c r="L142" s="71">
        <f t="shared" si="11"/>
        <v>561.66</v>
      </c>
      <c r="M142" s="37" t="s">
        <v>109</v>
      </c>
      <c r="N142" s="22" t="s">
        <v>109</v>
      </c>
      <c r="O142" s="3" t="s">
        <v>650</v>
      </c>
      <c r="P142" s="22" t="s">
        <v>640</v>
      </c>
      <c r="Q142" s="146" t="s">
        <v>109</v>
      </c>
      <c r="R142" s="155" t="s">
        <v>109</v>
      </c>
      <c r="S142" s="22" t="s">
        <v>109</v>
      </c>
      <c r="T142" s="161" t="s">
        <v>109</v>
      </c>
      <c r="U142" s="160"/>
      <c r="V142" s="169"/>
      <c r="W142" s="11" t="s">
        <v>109</v>
      </c>
      <c r="X142" s="3" t="s">
        <v>109</v>
      </c>
      <c r="Y142" s="22" t="s">
        <v>109</v>
      </c>
      <c r="Z142" s="22" t="s">
        <v>109</v>
      </c>
      <c r="AA142" s="30" t="s">
        <v>109</v>
      </c>
      <c r="AB142" s="37" t="s">
        <v>109</v>
      </c>
      <c r="AC142" s="3" t="s">
        <v>109</v>
      </c>
      <c r="AD142" s="22" t="s">
        <v>109</v>
      </c>
      <c r="AE142" s="30" t="s">
        <v>109</v>
      </c>
      <c r="AF142" s="107" t="s">
        <v>109</v>
      </c>
      <c r="AG142" s="22">
        <v>79</v>
      </c>
      <c r="AH142" s="106" t="s">
        <v>112</v>
      </c>
      <c r="AI142" s="27" t="s">
        <v>1270</v>
      </c>
      <c r="AJ142" s="37" t="s">
        <v>109</v>
      </c>
      <c r="AK142" s="30" t="s">
        <v>109</v>
      </c>
      <c r="AL142" s="24"/>
    </row>
    <row r="143" spans="1:38" ht="16.5" x14ac:dyDescent="0.25">
      <c r="A143" s="3">
        <v>2</v>
      </c>
      <c r="B143" s="21" t="s">
        <v>599</v>
      </c>
      <c r="C143" s="3" t="s">
        <v>297</v>
      </c>
      <c r="D143" s="21" t="s">
        <v>261</v>
      </c>
      <c r="E143" s="23" t="s">
        <v>288</v>
      </c>
      <c r="F143" s="34">
        <v>20016373</v>
      </c>
      <c r="G143" s="43" t="s">
        <v>111</v>
      </c>
      <c r="H143" s="3" t="s">
        <v>631</v>
      </c>
      <c r="I143" s="21" t="s">
        <v>312</v>
      </c>
      <c r="J143" s="38">
        <v>3</v>
      </c>
      <c r="K143" s="70">
        <v>17.02</v>
      </c>
      <c r="L143" s="71">
        <f t="shared" si="11"/>
        <v>51.06</v>
      </c>
      <c r="M143" s="37" t="s">
        <v>109</v>
      </c>
      <c r="N143" s="22" t="s">
        <v>109</v>
      </c>
      <c r="O143" s="3" t="s">
        <v>651</v>
      </c>
      <c r="P143" s="22" t="s">
        <v>641</v>
      </c>
      <c r="Q143" s="146" t="s">
        <v>109</v>
      </c>
      <c r="R143" s="155" t="s">
        <v>109</v>
      </c>
      <c r="S143" s="22" t="s">
        <v>109</v>
      </c>
      <c r="T143" s="161" t="s">
        <v>109</v>
      </c>
      <c r="U143" s="160"/>
      <c r="V143" s="169"/>
      <c r="W143" s="11" t="s">
        <v>109</v>
      </c>
      <c r="X143" s="3" t="s">
        <v>109</v>
      </c>
      <c r="Y143" s="22" t="s">
        <v>109</v>
      </c>
      <c r="Z143" s="22" t="s">
        <v>109</v>
      </c>
      <c r="AA143" s="30" t="s">
        <v>109</v>
      </c>
      <c r="AB143" s="37" t="s">
        <v>109</v>
      </c>
      <c r="AC143" s="3" t="s">
        <v>109</v>
      </c>
      <c r="AD143" s="22" t="s">
        <v>109</v>
      </c>
      <c r="AE143" s="30" t="s">
        <v>109</v>
      </c>
      <c r="AF143" s="107" t="s">
        <v>109</v>
      </c>
      <c r="AG143" s="22"/>
      <c r="AH143" s="98"/>
      <c r="AI143" s="30"/>
      <c r="AJ143" s="37" t="s">
        <v>109</v>
      </c>
      <c r="AK143" s="30" t="s">
        <v>109</v>
      </c>
      <c r="AL143" s="24"/>
    </row>
    <row r="144" spans="1:38" ht="16.5" x14ac:dyDescent="0.25">
      <c r="A144" s="3">
        <v>2</v>
      </c>
      <c r="B144" s="21" t="s">
        <v>599</v>
      </c>
      <c r="C144" s="3" t="s">
        <v>297</v>
      </c>
      <c r="D144" s="21" t="s">
        <v>262</v>
      </c>
      <c r="E144" s="23" t="s">
        <v>288</v>
      </c>
      <c r="F144" s="34">
        <v>20016373</v>
      </c>
      <c r="G144" s="43" t="s">
        <v>111</v>
      </c>
      <c r="H144" s="3" t="s">
        <v>631</v>
      </c>
      <c r="I144" s="21" t="s">
        <v>312</v>
      </c>
      <c r="J144" s="28">
        <v>33</v>
      </c>
      <c r="K144" s="70">
        <v>17.02</v>
      </c>
      <c r="L144" s="71">
        <f t="shared" si="11"/>
        <v>561.66</v>
      </c>
      <c r="M144" s="37" t="s">
        <v>109</v>
      </c>
      <c r="N144" s="22" t="s">
        <v>109</v>
      </c>
      <c r="O144" s="3" t="s">
        <v>651</v>
      </c>
      <c r="P144" s="22" t="s">
        <v>641</v>
      </c>
      <c r="Q144" s="146" t="s">
        <v>109</v>
      </c>
      <c r="R144" s="155" t="s">
        <v>109</v>
      </c>
      <c r="S144" s="22" t="s">
        <v>109</v>
      </c>
      <c r="T144" s="161" t="s">
        <v>109</v>
      </c>
      <c r="U144" s="160"/>
      <c r="V144" s="169"/>
      <c r="W144" s="11" t="s">
        <v>109</v>
      </c>
      <c r="X144" s="3" t="s">
        <v>109</v>
      </c>
      <c r="Y144" s="22" t="s">
        <v>109</v>
      </c>
      <c r="Z144" s="22" t="s">
        <v>109</v>
      </c>
      <c r="AA144" s="30" t="s">
        <v>109</v>
      </c>
      <c r="AB144" s="37" t="s">
        <v>109</v>
      </c>
      <c r="AC144" s="3" t="s">
        <v>109</v>
      </c>
      <c r="AD144" s="22" t="s">
        <v>109</v>
      </c>
      <c r="AE144" s="30" t="s">
        <v>109</v>
      </c>
      <c r="AF144" s="107" t="s">
        <v>109</v>
      </c>
      <c r="AG144" s="22">
        <v>80</v>
      </c>
      <c r="AH144" s="106" t="s">
        <v>112</v>
      </c>
      <c r="AI144" s="27" t="s">
        <v>1270</v>
      </c>
      <c r="AJ144" s="37" t="s">
        <v>109</v>
      </c>
      <c r="AK144" s="30" t="s">
        <v>109</v>
      </c>
      <c r="AL144" s="24"/>
    </row>
    <row r="145" spans="1:38" ht="16.5" x14ac:dyDescent="0.25">
      <c r="A145" s="3">
        <v>2</v>
      </c>
      <c r="B145" s="21" t="s">
        <v>599</v>
      </c>
      <c r="C145" s="3" t="s">
        <v>297</v>
      </c>
      <c r="D145" s="21" t="s">
        <v>263</v>
      </c>
      <c r="E145" s="23" t="s">
        <v>288</v>
      </c>
      <c r="F145" s="34">
        <v>20016373</v>
      </c>
      <c r="G145" s="43" t="s">
        <v>111</v>
      </c>
      <c r="H145" s="3" t="s">
        <v>632</v>
      </c>
      <c r="I145" s="21" t="s">
        <v>313</v>
      </c>
      <c r="J145" s="38">
        <v>3</v>
      </c>
      <c r="K145" s="70">
        <v>17.02</v>
      </c>
      <c r="L145" s="71">
        <f t="shared" si="11"/>
        <v>51.06</v>
      </c>
      <c r="M145" s="37" t="s">
        <v>109</v>
      </c>
      <c r="N145" s="22" t="s">
        <v>109</v>
      </c>
      <c r="O145" s="3" t="s">
        <v>652</v>
      </c>
      <c r="P145" s="22" t="s">
        <v>642</v>
      </c>
      <c r="Q145" s="146" t="s">
        <v>109</v>
      </c>
      <c r="R145" s="155" t="s">
        <v>109</v>
      </c>
      <c r="S145" s="22" t="s">
        <v>109</v>
      </c>
      <c r="T145" s="161" t="s">
        <v>109</v>
      </c>
      <c r="U145" s="160"/>
      <c r="V145" s="169"/>
      <c r="W145" s="11" t="s">
        <v>109</v>
      </c>
      <c r="X145" s="3" t="s">
        <v>109</v>
      </c>
      <c r="Y145" s="22" t="s">
        <v>109</v>
      </c>
      <c r="Z145" s="22" t="s">
        <v>109</v>
      </c>
      <c r="AA145" s="30" t="s">
        <v>109</v>
      </c>
      <c r="AB145" s="37" t="s">
        <v>109</v>
      </c>
      <c r="AC145" s="3" t="s">
        <v>109</v>
      </c>
      <c r="AD145" s="22" t="s">
        <v>109</v>
      </c>
      <c r="AE145" s="30" t="s">
        <v>109</v>
      </c>
      <c r="AF145" s="107" t="s">
        <v>109</v>
      </c>
      <c r="AG145" s="22"/>
      <c r="AH145" s="98"/>
      <c r="AI145" s="30"/>
      <c r="AJ145" s="37" t="s">
        <v>109</v>
      </c>
      <c r="AK145" s="30" t="s">
        <v>109</v>
      </c>
      <c r="AL145" s="24"/>
    </row>
    <row r="146" spans="1:38" ht="16.5" x14ac:dyDescent="0.25">
      <c r="A146" s="3">
        <v>2</v>
      </c>
      <c r="B146" s="21" t="s">
        <v>599</v>
      </c>
      <c r="C146" s="3" t="s">
        <v>297</v>
      </c>
      <c r="D146" s="21" t="s">
        <v>264</v>
      </c>
      <c r="E146" s="23" t="s">
        <v>288</v>
      </c>
      <c r="F146" s="34">
        <v>20016373</v>
      </c>
      <c r="G146" s="43" t="s">
        <v>111</v>
      </c>
      <c r="H146" s="3" t="s">
        <v>632</v>
      </c>
      <c r="I146" s="21" t="s">
        <v>313</v>
      </c>
      <c r="J146" s="28">
        <v>33</v>
      </c>
      <c r="K146" s="70">
        <v>17.02</v>
      </c>
      <c r="L146" s="71">
        <f t="shared" si="11"/>
        <v>561.66</v>
      </c>
      <c r="M146" s="37" t="s">
        <v>109</v>
      </c>
      <c r="N146" s="22" t="s">
        <v>109</v>
      </c>
      <c r="O146" s="3" t="s">
        <v>652</v>
      </c>
      <c r="P146" s="22" t="s">
        <v>642</v>
      </c>
      <c r="Q146" s="146" t="s">
        <v>109</v>
      </c>
      <c r="R146" s="155" t="s">
        <v>109</v>
      </c>
      <c r="S146" s="22" t="s">
        <v>109</v>
      </c>
      <c r="T146" s="161" t="s">
        <v>109</v>
      </c>
      <c r="U146" s="160"/>
      <c r="V146" s="169"/>
      <c r="W146" s="11" t="s">
        <v>109</v>
      </c>
      <c r="X146" s="3" t="s">
        <v>109</v>
      </c>
      <c r="Y146" s="22" t="s">
        <v>109</v>
      </c>
      <c r="Z146" s="22" t="s">
        <v>109</v>
      </c>
      <c r="AA146" s="30" t="s">
        <v>109</v>
      </c>
      <c r="AB146" s="37" t="s">
        <v>109</v>
      </c>
      <c r="AC146" s="3" t="s">
        <v>109</v>
      </c>
      <c r="AD146" s="22" t="s">
        <v>109</v>
      </c>
      <c r="AE146" s="30" t="s">
        <v>109</v>
      </c>
      <c r="AF146" s="107" t="s">
        <v>109</v>
      </c>
      <c r="AG146" s="22">
        <v>81</v>
      </c>
      <c r="AH146" s="106" t="s">
        <v>112</v>
      </c>
      <c r="AI146" s="27" t="s">
        <v>1270</v>
      </c>
      <c r="AJ146" s="37" t="s">
        <v>109</v>
      </c>
      <c r="AK146" s="30" t="s">
        <v>109</v>
      </c>
      <c r="AL146" s="24"/>
    </row>
    <row r="147" spans="1:38" ht="16.5" x14ac:dyDescent="0.25">
      <c r="A147" s="3">
        <v>2</v>
      </c>
      <c r="B147" s="21" t="s">
        <v>599</v>
      </c>
      <c r="C147" s="3" t="s">
        <v>297</v>
      </c>
      <c r="D147" s="21" t="s">
        <v>265</v>
      </c>
      <c r="E147" s="23" t="s">
        <v>288</v>
      </c>
      <c r="F147" s="34">
        <v>20016373</v>
      </c>
      <c r="G147" s="43" t="s">
        <v>111</v>
      </c>
      <c r="H147" s="3" t="s">
        <v>633</v>
      </c>
      <c r="I147" s="21" t="s">
        <v>314</v>
      </c>
      <c r="J147" s="38">
        <v>3</v>
      </c>
      <c r="K147" s="70">
        <v>17.02</v>
      </c>
      <c r="L147" s="71">
        <f t="shared" si="11"/>
        <v>51.06</v>
      </c>
      <c r="M147" s="37" t="s">
        <v>109</v>
      </c>
      <c r="N147" s="22" t="s">
        <v>109</v>
      </c>
      <c r="O147" s="3" t="s">
        <v>654</v>
      </c>
      <c r="P147" s="22" t="s">
        <v>643</v>
      </c>
      <c r="Q147" s="146" t="s">
        <v>109</v>
      </c>
      <c r="R147" s="155" t="s">
        <v>109</v>
      </c>
      <c r="S147" s="22" t="s">
        <v>109</v>
      </c>
      <c r="T147" s="161" t="s">
        <v>109</v>
      </c>
      <c r="U147" s="160"/>
      <c r="V147" s="169"/>
      <c r="W147" s="11" t="s">
        <v>109</v>
      </c>
      <c r="X147" s="3" t="s">
        <v>109</v>
      </c>
      <c r="Y147" s="22" t="s">
        <v>109</v>
      </c>
      <c r="Z147" s="22" t="s">
        <v>109</v>
      </c>
      <c r="AA147" s="30" t="s">
        <v>109</v>
      </c>
      <c r="AB147" s="37" t="s">
        <v>109</v>
      </c>
      <c r="AC147" s="3" t="s">
        <v>109</v>
      </c>
      <c r="AD147" s="22" t="s">
        <v>109</v>
      </c>
      <c r="AE147" s="30" t="s">
        <v>109</v>
      </c>
      <c r="AF147" s="107" t="s">
        <v>109</v>
      </c>
      <c r="AG147" s="22"/>
      <c r="AH147" s="98"/>
      <c r="AI147" s="30"/>
      <c r="AJ147" s="37" t="s">
        <v>109</v>
      </c>
      <c r="AK147" s="30" t="s">
        <v>109</v>
      </c>
      <c r="AL147" s="24"/>
    </row>
    <row r="148" spans="1:38" ht="16.5" x14ac:dyDescent="0.25">
      <c r="A148" s="3">
        <v>2</v>
      </c>
      <c r="B148" s="21" t="s">
        <v>599</v>
      </c>
      <c r="C148" s="3" t="s">
        <v>297</v>
      </c>
      <c r="D148" s="21" t="s">
        <v>266</v>
      </c>
      <c r="E148" s="23" t="s">
        <v>288</v>
      </c>
      <c r="F148" s="34">
        <v>20016373</v>
      </c>
      <c r="G148" s="43" t="s">
        <v>111</v>
      </c>
      <c r="H148" s="3" t="s">
        <v>633</v>
      </c>
      <c r="I148" s="21" t="s">
        <v>314</v>
      </c>
      <c r="J148" s="28">
        <v>33</v>
      </c>
      <c r="K148" s="70">
        <v>17.02</v>
      </c>
      <c r="L148" s="71">
        <f t="shared" si="11"/>
        <v>561.66</v>
      </c>
      <c r="M148" s="37" t="s">
        <v>109</v>
      </c>
      <c r="N148" s="22" t="s">
        <v>109</v>
      </c>
      <c r="O148" s="3" t="s">
        <v>654</v>
      </c>
      <c r="P148" s="22" t="s">
        <v>643</v>
      </c>
      <c r="Q148" s="146" t="s">
        <v>109</v>
      </c>
      <c r="R148" s="155" t="s">
        <v>109</v>
      </c>
      <c r="S148" s="22" t="s">
        <v>109</v>
      </c>
      <c r="T148" s="161" t="s">
        <v>109</v>
      </c>
      <c r="U148" s="160"/>
      <c r="V148" s="169"/>
      <c r="W148" s="11" t="s">
        <v>109</v>
      </c>
      <c r="X148" s="3" t="s">
        <v>109</v>
      </c>
      <c r="Y148" s="22" t="s">
        <v>109</v>
      </c>
      <c r="Z148" s="22" t="s">
        <v>109</v>
      </c>
      <c r="AA148" s="30" t="s">
        <v>109</v>
      </c>
      <c r="AB148" s="37" t="s">
        <v>109</v>
      </c>
      <c r="AC148" s="3" t="s">
        <v>109</v>
      </c>
      <c r="AD148" s="22" t="s">
        <v>109</v>
      </c>
      <c r="AE148" s="30" t="s">
        <v>109</v>
      </c>
      <c r="AF148" s="107" t="s">
        <v>109</v>
      </c>
      <c r="AG148" s="22">
        <v>82</v>
      </c>
      <c r="AH148" s="106" t="s">
        <v>112</v>
      </c>
      <c r="AI148" s="27" t="s">
        <v>1270</v>
      </c>
      <c r="AJ148" s="37" t="s">
        <v>109</v>
      </c>
      <c r="AK148" s="30" t="s">
        <v>109</v>
      </c>
      <c r="AL148" s="24"/>
    </row>
    <row r="149" spans="1:38" ht="16.5" x14ac:dyDescent="0.25">
      <c r="A149" s="3">
        <v>2</v>
      </c>
      <c r="B149" s="21" t="s">
        <v>599</v>
      </c>
      <c r="C149" s="3" t="s">
        <v>297</v>
      </c>
      <c r="D149" s="21" t="s">
        <v>267</v>
      </c>
      <c r="E149" s="23" t="s">
        <v>288</v>
      </c>
      <c r="F149" s="34">
        <v>20016373</v>
      </c>
      <c r="G149" s="43" t="s">
        <v>111</v>
      </c>
      <c r="H149" s="3" t="s">
        <v>634</v>
      </c>
      <c r="I149" s="21" t="s">
        <v>315</v>
      </c>
      <c r="J149" s="38">
        <v>3</v>
      </c>
      <c r="K149" s="70">
        <v>17.02</v>
      </c>
      <c r="L149" s="71">
        <f t="shared" si="11"/>
        <v>51.06</v>
      </c>
      <c r="M149" s="37" t="s">
        <v>109</v>
      </c>
      <c r="N149" s="22" t="s">
        <v>109</v>
      </c>
      <c r="O149" s="3" t="s">
        <v>653</v>
      </c>
      <c r="P149" s="22" t="s">
        <v>644</v>
      </c>
      <c r="Q149" s="146" t="s">
        <v>109</v>
      </c>
      <c r="R149" s="155" t="s">
        <v>109</v>
      </c>
      <c r="S149" s="22" t="s">
        <v>109</v>
      </c>
      <c r="T149" s="161" t="s">
        <v>109</v>
      </c>
      <c r="U149" s="160"/>
      <c r="V149" s="169"/>
      <c r="W149" s="11" t="s">
        <v>109</v>
      </c>
      <c r="X149" s="3" t="s">
        <v>109</v>
      </c>
      <c r="Y149" s="22" t="s">
        <v>109</v>
      </c>
      <c r="Z149" s="22" t="s">
        <v>109</v>
      </c>
      <c r="AA149" s="30" t="s">
        <v>109</v>
      </c>
      <c r="AB149" s="37" t="s">
        <v>109</v>
      </c>
      <c r="AC149" s="3" t="s">
        <v>109</v>
      </c>
      <c r="AD149" s="22" t="s">
        <v>109</v>
      </c>
      <c r="AE149" s="30" t="s">
        <v>109</v>
      </c>
      <c r="AF149" s="107" t="s">
        <v>109</v>
      </c>
      <c r="AG149" s="22"/>
      <c r="AH149" s="98"/>
      <c r="AI149" s="30"/>
      <c r="AJ149" s="37" t="s">
        <v>109</v>
      </c>
      <c r="AK149" s="30" t="s">
        <v>109</v>
      </c>
      <c r="AL149" s="24"/>
    </row>
    <row r="150" spans="1:38" ht="16.5" x14ac:dyDescent="0.25">
      <c r="A150" s="3">
        <v>2</v>
      </c>
      <c r="B150" s="21" t="s">
        <v>599</v>
      </c>
      <c r="C150" s="3" t="s">
        <v>297</v>
      </c>
      <c r="D150" s="21" t="s">
        <v>268</v>
      </c>
      <c r="E150" s="23" t="s">
        <v>288</v>
      </c>
      <c r="F150" s="34">
        <v>20016373</v>
      </c>
      <c r="G150" s="43" t="s">
        <v>111</v>
      </c>
      <c r="H150" s="3" t="s">
        <v>634</v>
      </c>
      <c r="I150" s="21" t="s">
        <v>315</v>
      </c>
      <c r="J150" s="28">
        <v>33</v>
      </c>
      <c r="K150" s="70">
        <v>17.02</v>
      </c>
      <c r="L150" s="71">
        <f t="shared" si="11"/>
        <v>561.66</v>
      </c>
      <c r="M150" s="37" t="s">
        <v>109</v>
      </c>
      <c r="N150" s="22" t="s">
        <v>109</v>
      </c>
      <c r="O150" s="3" t="s">
        <v>653</v>
      </c>
      <c r="P150" s="22" t="s">
        <v>644</v>
      </c>
      <c r="Q150" s="146" t="s">
        <v>109</v>
      </c>
      <c r="R150" s="155" t="s">
        <v>109</v>
      </c>
      <c r="S150" s="22" t="s">
        <v>109</v>
      </c>
      <c r="T150" s="161" t="s">
        <v>109</v>
      </c>
      <c r="U150" s="160"/>
      <c r="V150" s="169"/>
      <c r="W150" s="11" t="s">
        <v>109</v>
      </c>
      <c r="X150" s="3" t="s">
        <v>109</v>
      </c>
      <c r="Y150" s="22" t="s">
        <v>109</v>
      </c>
      <c r="Z150" s="22" t="s">
        <v>109</v>
      </c>
      <c r="AA150" s="30" t="s">
        <v>109</v>
      </c>
      <c r="AB150" s="37" t="s">
        <v>109</v>
      </c>
      <c r="AC150" s="3" t="s">
        <v>109</v>
      </c>
      <c r="AD150" s="22" t="s">
        <v>109</v>
      </c>
      <c r="AE150" s="30" t="s">
        <v>109</v>
      </c>
      <c r="AF150" s="107" t="s">
        <v>109</v>
      </c>
      <c r="AG150" s="22">
        <v>83</v>
      </c>
      <c r="AH150" s="106" t="s">
        <v>112</v>
      </c>
      <c r="AI150" s="27" t="s">
        <v>1270</v>
      </c>
      <c r="AJ150" s="37" t="s">
        <v>109</v>
      </c>
      <c r="AK150" s="30" t="s">
        <v>109</v>
      </c>
      <c r="AL150" s="24"/>
    </row>
    <row r="151" spans="1:38" ht="16.5" x14ac:dyDescent="0.25">
      <c r="A151" s="3">
        <v>2</v>
      </c>
      <c r="B151" s="21" t="s">
        <v>599</v>
      </c>
      <c r="C151" s="3" t="s">
        <v>297</v>
      </c>
      <c r="D151" s="21" t="s">
        <v>289</v>
      </c>
      <c r="E151" s="23" t="s">
        <v>288</v>
      </c>
      <c r="F151" s="34">
        <v>20016373</v>
      </c>
      <c r="G151" s="43" t="s">
        <v>111</v>
      </c>
      <c r="H151" s="3" t="s">
        <v>659</v>
      </c>
      <c r="I151" s="21" t="s">
        <v>655</v>
      </c>
      <c r="J151" s="28">
        <v>40</v>
      </c>
      <c r="K151" s="70">
        <v>17.02</v>
      </c>
      <c r="L151" s="71">
        <f t="shared" si="11"/>
        <v>680.8</v>
      </c>
      <c r="M151" s="37" t="s">
        <v>109</v>
      </c>
      <c r="N151" s="22" t="s">
        <v>109</v>
      </c>
      <c r="O151" s="3" t="s">
        <v>667</v>
      </c>
      <c r="P151" s="3" t="s">
        <v>663</v>
      </c>
      <c r="Q151" s="9" t="s">
        <v>109</v>
      </c>
      <c r="R151" s="155" t="s">
        <v>109</v>
      </c>
      <c r="S151" s="22" t="s">
        <v>109</v>
      </c>
      <c r="T151" s="161" t="s">
        <v>109</v>
      </c>
      <c r="U151" s="160"/>
      <c r="V151" s="169"/>
      <c r="W151" s="11" t="s">
        <v>109</v>
      </c>
      <c r="X151" s="3" t="s">
        <v>109</v>
      </c>
      <c r="Y151" s="3">
        <v>1</v>
      </c>
      <c r="Z151" s="3">
        <v>3</v>
      </c>
      <c r="AA151" s="27">
        <f t="shared" ref="AA151:AA156" si="12">Z151*Y151</f>
        <v>3</v>
      </c>
      <c r="AB151" s="37" t="s">
        <v>109</v>
      </c>
      <c r="AC151" s="3" t="s">
        <v>109</v>
      </c>
      <c r="AD151" s="22" t="s">
        <v>109</v>
      </c>
      <c r="AE151" s="30" t="s">
        <v>109</v>
      </c>
      <c r="AF151" s="107" t="s">
        <v>109</v>
      </c>
      <c r="AG151" s="22">
        <v>84</v>
      </c>
      <c r="AH151" s="105" t="s">
        <v>129</v>
      </c>
      <c r="AI151" s="27" t="s">
        <v>1270</v>
      </c>
      <c r="AJ151" s="37" t="s">
        <v>109</v>
      </c>
      <c r="AK151" s="30" t="s">
        <v>109</v>
      </c>
      <c r="AL151" s="24"/>
    </row>
    <row r="152" spans="1:38" ht="16.5" x14ac:dyDescent="0.25">
      <c r="A152" s="3">
        <v>2</v>
      </c>
      <c r="B152" s="21" t="s">
        <v>599</v>
      </c>
      <c r="C152" s="3" t="s">
        <v>297</v>
      </c>
      <c r="D152" s="21" t="s">
        <v>290</v>
      </c>
      <c r="E152" s="23" t="s">
        <v>288</v>
      </c>
      <c r="F152" s="34">
        <v>20016373</v>
      </c>
      <c r="G152" s="43" t="s">
        <v>111</v>
      </c>
      <c r="H152" s="3" t="s">
        <v>660</v>
      </c>
      <c r="I152" s="21" t="s">
        <v>656</v>
      </c>
      <c r="J152" s="28">
        <v>40</v>
      </c>
      <c r="K152" s="70">
        <v>17.02</v>
      </c>
      <c r="L152" s="71">
        <f t="shared" si="11"/>
        <v>680.8</v>
      </c>
      <c r="M152" s="37" t="s">
        <v>109</v>
      </c>
      <c r="N152" s="22" t="s">
        <v>109</v>
      </c>
      <c r="O152" s="3" t="s">
        <v>668</v>
      </c>
      <c r="P152" s="3" t="s">
        <v>664</v>
      </c>
      <c r="Q152" s="9" t="s">
        <v>109</v>
      </c>
      <c r="R152" s="155" t="s">
        <v>109</v>
      </c>
      <c r="S152" s="22" t="s">
        <v>109</v>
      </c>
      <c r="T152" s="161" t="s">
        <v>109</v>
      </c>
      <c r="U152" s="160"/>
      <c r="V152" s="169"/>
      <c r="W152" s="11" t="s">
        <v>109</v>
      </c>
      <c r="X152" s="3" t="s">
        <v>109</v>
      </c>
      <c r="Y152" s="3">
        <v>1</v>
      </c>
      <c r="Z152" s="3">
        <v>3</v>
      </c>
      <c r="AA152" s="27">
        <f t="shared" si="12"/>
        <v>3</v>
      </c>
      <c r="AB152" s="37" t="s">
        <v>109</v>
      </c>
      <c r="AC152" s="3" t="s">
        <v>109</v>
      </c>
      <c r="AD152" s="22" t="s">
        <v>109</v>
      </c>
      <c r="AE152" s="30" t="s">
        <v>109</v>
      </c>
      <c r="AF152" s="107" t="s">
        <v>109</v>
      </c>
      <c r="AG152" s="22">
        <v>85</v>
      </c>
      <c r="AH152" s="105" t="s">
        <v>129</v>
      </c>
      <c r="AI152" s="27" t="s">
        <v>1270</v>
      </c>
      <c r="AJ152" s="37" t="s">
        <v>109</v>
      </c>
      <c r="AK152" s="30" t="s">
        <v>109</v>
      </c>
      <c r="AL152" s="24"/>
    </row>
    <row r="153" spans="1:38" ht="16.5" x14ac:dyDescent="0.25">
      <c r="A153" s="3">
        <v>2</v>
      </c>
      <c r="B153" s="21" t="s">
        <v>599</v>
      </c>
      <c r="C153" s="3" t="s">
        <v>297</v>
      </c>
      <c r="D153" s="21" t="s">
        <v>291</v>
      </c>
      <c r="E153" s="23" t="s">
        <v>288</v>
      </c>
      <c r="F153" s="34">
        <v>20016373</v>
      </c>
      <c r="G153" s="43" t="s">
        <v>111</v>
      </c>
      <c r="H153" s="3" t="s">
        <v>661</v>
      </c>
      <c r="I153" s="21" t="s">
        <v>657</v>
      </c>
      <c r="J153" s="28">
        <v>40</v>
      </c>
      <c r="K153" s="70">
        <v>17.02</v>
      </c>
      <c r="L153" s="71">
        <f t="shared" si="11"/>
        <v>680.8</v>
      </c>
      <c r="M153" s="37" t="s">
        <v>109</v>
      </c>
      <c r="N153" s="22" t="s">
        <v>109</v>
      </c>
      <c r="O153" s="3" t="s">
        <v>669</v>
      </c>
      <c r="P153" s="3" t="s">
        <v>665</v>
      </c>
      <c r="Q153" s="9" t="s">
        <v>109</v>
      </c>
      <c r="R153" s="155" t="s">
        <v>109</v>
      </c>
      <c r="S153" s="22" t="s">
        <v>109</v>
      </c>
      <c r="T153" s="161" t="s">
        <v>109</v>
      </c>
      <c r="U153" s="160"/>
      <c r="V153" s="169"/>
      <c r="W153" s="11" t="s">
        <v>109</v>
      </c>
      <c r="X153" s="3" t="s">
        <v>109</v>
      </c>
      <c r="Y153" s="3">
        <v>1</v>
      </c>
      <c r="Z153" s="3">
        <v>3</v>
      </c>
      <c r="AA153" s="27">
        <f t="shared" si="12"/>
        <v>3</v>
      </c>
      <c r="AB153" s="37" t="s">
        <v>109</v>
      </c>
      <c r="AC153" s="3" t="s">
        <v>109</v>
      </c>
      <c r="AD153" s="22" t="s">
        <v>109</v>
      </c>
      <c r="AE153" s="30" t="s">
        <v>109</v>
      </c>
      <c r="AF153" s="107" t="s">
        <v>109</v>
      </c>
      <c r="AG153" s="22">
        <v>86</v>
      </c>
      <c r="AH153" s="105" t="s">
        <v>129</v>
      </c>
      <c r="AI153" s="27" t="s">
        <v>1270</v>
      </c>
      <c r="AJ153" s="37" t="s">
        <v>109</v>
      </c>
      <c r="AK153" s="30" t="s">
        <v>109</v>
      </c>
      <c r="AL153" s="24"/>
    </row>
    <row r="154" spans="1:38" ht="16.5" x14ac:dyDescent="0.25">
      <c r="A154" s="3">
        <v>2</v>
      </c>
      <c r="B154" s="21" t="s">
        <v>599</v>
      </c>
      <c r="C154" s="3" t="s">
        <v>297</v>
      </c>
      <c r="D154" s="21" t="s">
        <v>292</v>
      </c>
      <c r="E154" s="23" t="s">
        <v>288</v>
      </c>
      <c r="F154" s="34">
        <v>20016373</v>
      </c>
      <c r="G154" s="43" t="s">
        <v>111</v>
      </c>
      <c r="H154" s="3" t="s">
        <v>662</v>
      </c>
      <c r="I154" s="21" t="s">
        <v>658</v>
      </c>
      <c r="J154" s="28">
        <v>40</v>
      </c>
      <c r="K154" s="70">
        <v>17.02</v>
      </c>
      <c r="L154" s="71">
        <f t="shared" si="11"/>
        <v>680.8</v>
      </c>
      <c r="M154" s="37" t="s">
        <v>109</v>
      </c>
      <c r="N154" s="22" t="s">
        <v>109</v>
      </c>
      <c r="O154" s="3" t="s">
        <v>670</v>
      </c>
      <c r="P154" s="3" t="s">
        <v>666</v>
      </c>
      <c r="Q154" s="9" t="s">
        <v>109</v>
      </c>
      <c r="R154" s="155" t="s">
        <v>109</v>
      </c>
      <c r="S154" s="22" t="s">
        <v>109</v>
      </c>
      <c r="T154" s="161" t="s">
        <v>109</v>
      </c>
      <c r="U154" s="160"/>
      <c r="V154" s="169"/>
      <c r="W154" s="11" t="s">
        <v>109</v>
      </c>
      <c r="X154" s="3" t="s">
        <v>109</v>
      </c>
      <c r="Y154" s="3">
        <v>1</v>
      </c>
      <c r="Z154" s="3">
        <v>3</v>
      </c>
      <c r="AA154" s="27">
        <f t="shared" si="12"/>
        <v>3</v>
      </c>
      <c r="AB154" s="37" t="s">
        <v>109</v>
      </c>
      <c r="AC154" s="3" t="s">
        <v>109</v>
      </c>
      <c r="AD154" s="22" t="s">
        <v>109</v>
      </c>
      <c r="AE154" s="30" t="s">
        <v>109</v>
      </c>
      <c r="AF154" s="107" t="s">
        <v>109</v>
      </c>
      <c r="AG154" s="22">
        <v>87</v>
      </c>
      <c r="AH154" s="105" t="s">
        <v>129</v>
      </c>
      <c r="AI154" s="27" t="s">
        <v>1270</v>
      </c>
      <c r="AJ154" s="37" t="s">
        <v>109</v>
      </c>
      <c r="AK154" s="30" t="s">
        <v>109</v>
      </c>
      <c r="AL154" s="24"/>
    </row>
    <row r="155" spans="1:38" ht="16.5" x14ac:dyDescent="0.25">
      <c r="A155" s="3">
        <v>2</v>
      </c>
      <c r="B155" s="21" t="s">
        <v>599</v>
      </c>
      <c r="C155" s="3" t="s">
        <v>297</v>
      </c>
      <c r="D155" s="21" t="s">
        <v>286</v>
      </c>
      <c r="E155" s="23" t="s">
        <v>8</v>
      </c>
      <c r="F155" s="34">
        <v>20016373</v>
      </c>
      <c r="G155" s="43" t="s">
        <v>111</v>
      </c>
      <c r="H155" s="21" t="s">
        <v>673</v>
      </c>
      <c r="I155" s="21" t="s">
        <v>316</v>
      </c>
      <c r="J155" s="28">
        <v>21</v>
      </c>
      <c r="K155" s="70">
        <v>17.02</v>
      </c>
      <c r="L155" s="71">
        <f t="shared" si="11"/>
        <v>357.42</v>
      </c>
      <c r="M155" s="37" t="s">
        <v>109</v>
      </c>
      <c r="N155" s="22" t="s">
        <v>109</v>
      </c>
      <c r="O155" s="3" t="s">
        <v>672</v>
      </c>
      <c r="P155" s="3" t="s">
        <v>671</v>
      </c>
      <c r="Q155" s="9" t="s">
        <v>109</v>
      </c>
      <c r="R155" s="155" t="s">
        <v>109</v>
      </c>
      <c r="S155" s="22" t="s">
        <v>109</v>
      </c>
      <c r="T155" s="161" t="s">
        <v>109</v>
      </c>
      <c r="U155" s="160"/>
      <c r="V155" s="169"/>
      <c r="W155" s="11" t="s">
        <v>109</v>
      </c>
      <c r="X155" s="3" t="s">
        <v>109</v>
      </c>
      <c r="Y155" s="3" t="s">
        <v>109</v>
      </c>
      <c r="Z155" s="3" t="s">
        <v>109</v>
      </c>
      <c r="AA155" s="30" t="s">
        <v>109</v>
      </c>
      <c r="AB155" s="37" t="s">
        <v>109</v>
      </c>
      <c r="AC155" s="3" t="s">
        <v>109</v>
      </c>
      <c r="AD155" s="22" t="s">
        <v>109</v>
      </c>
      <c r="AE155" s="30" t="s">
        <v>109</v>
      </c>
      <c r="AF155" s="107" t="s">
        <v>109</v>
      </c>
      <c r="AG155" s="22">
        <v>88</v>
      </c>
      <c r="AH155" s="105" t="s">
        <v>129</v>
      </c>
      <c r="AI155" s="27" t="s">
        <v>1270</v>
      </c>
      <c r="AJ155" s="37" t="s">
        <v>109</v>
      </c>
      <c r="AK155" s="30" t="s">
        <v>109</v>
      </c>
      <c r="AL155" s="24"/>
    </row>
    <row r="156" spans="1:38" ht="16.5" x14ac:dyDescent="0.25">
      <c r="A156" s="3">
        <v>2</v>
      </c>
      <c r="B156" s="21" t="s">
        <v>599</v>
      </c>
      <c r="C156" s="3" t="s">
        <v>297</v>
      </c>
      <c r="D156" s="21" t="s">
        <v>317</v>
      </c>
      <c r="E156" s="23" t="s">
        <v>288</v>
      </c>
      <c r="F156" s="34">
        <v>20016373</v>
      </c>
      <c r="G156" s="43" t="s">
        <v>111</v>
      </c>
      <c r="H156" s="21" t="s">
        <v>676</v>
      </c>
      <c r="I156" s="21" t="s">
        <v>316</v>
      </c>
      <c r="J156" s="28">
        <v>53</v>
      </c>
      <c r="K156" s="70">
        <v>17.02</v>
      </c>
      <c r="L156" s="71">
        <f t="shared" si="11"/>
        <v>902.06</v>
      </c>
      <c r="M156" s="34">
        <v>30005613</v>
      </c>
      <c r="N156" s="2" t="s">
        <v>125</v>
      </c>
      <c r="O156" s="3" t="s">
        <v>675</v>
      </c>
      <c r="P156" s="3" t="s">
        <v>674</v>
      </c>
      <c r="Q156" s="9" t="s">
        <v>123</v>
      </c>
      <c r="R156" s="155" t="s">
        <v>109</v>
      </c>
      <c r="S156" s="22" t="s">
        <v>109</v>
      </c>
      <c r="T156" s="161" t="s">
        <v>109</v>
      </c>
      <c r="U156" s="160"/>
      <c r="V156" s="169"/>
      <c r="W156" s="11">
        <v>20016490</v>
      </c>
      <c r="X156" s="3" t="s">
        <v>110</v>
      </c>
      <c r="Y156" s="3">
        <v>4</v>
      </c>
      <c r="Z156" s="3">
        <v>2</v>
      </c>
      <c r="AA156" s="27">
        <f t="shared" si="12"/>
        <v>8</v>
      </c>
      <c r="AB156" s="37" t="s">
        <v>109</v>
      </c>
      <c r="AC156" s="3" t="s">
        <v>109</v>
      </c>
      <c r="AD156" s="22" t="s">
        <v>109</v>
      </c>
      <c r="AE156" s="30" t="s">
        <v>109</v>
      </c>
      <c r="AF156" s="106" t="s">
        <v>112</v>
      </c>
      <c r="AG156" s="22">
        <v>89</v>
      </c>
      <c r="AH156" s="106" t="s">
        <v>112</v>
      </c>
      <c r="AI156" s="27" t="s">
        <v>1270</v>
      </c>
      <c r="AJ156" s="37">
        <v>55</v>
      </c>
      <c r="AK156" s="30">
        <f>AJ156+AJ156*12%</f>
        <v>61.6</v>
      </c>
      <c r="AL156" s="24"/>
    </row>
    <row r="157" spans="1:38" ht="16.5" x14ac:dyDescent="0.25">
      <c r="A157" s="3">
        <v>2</v>
      </c>
      <c r="B157" s="21" t="s">
        <v>599</v>
      </c>
      <c r="C157" s="3" t="s">
        <v>297</v>
      </c>
      <c r="D157" s="21" t="s">
        <v>295</v>
      </c>
      <c r="E157" s="9" t="s">
        <v>34</v>
      </c>
      <c r="F157" s="34">
        <v>20014819</v>
      </c>
      <c r="G157" s="16" t="s">
        <v>296</v>
      </c>
      <c r="H157" s="3" t="s">
        <v>679</v>
      </c>
      <c r="I157" s="21" t="s">
        <v>316</v>
      </c>
      <c r="J157" s="28">
        <v>45</v>
      </c>
      <c r="K157" s="70">
        <v>10.98</v>
      </c>
      <c r="L157" s="143">
        <f>J157*K157</f>
        <v>494.1</v>
      </c>
      <c r="M157" s="34" t="s">
        <v>109</v>
      </c>
      <c r="N157" s="3" t="s">
        <v>109</v>
      </c>
      <c r="O157" s="3" t="s">
        <v>109</v>
      </c>
      <c r="P157" s="3" t="s">
        <v>109</v>
      </c>
      <c r="Q157" s="9" t="s">
        <v>109</v>
      </c>
      <c r="R157" s="155" t="s">
        <v>109</v>
      </c>
      <c r="S157" s="22" t="s">
        <v>109</v>
      </c>
      <c r="T157" s="161" t="s">
        <v>109</v>
      </c>
      <c r="U157" s="160"/>
      <c r="V157" s="169"/>
      <c r="W157" s="11" t="s">
        <v>109</v>
      </c>
      <c r="X157" s="3" t="s">
        <v>109</v>
      </c>
      <c r="Y157" s="3" t="s">
        <v>109</v>
      </c>
      <c r="Z157" s="3" t="s">
        <v>109</v>
      </c>
      <c r="AA157" s="28" t="s">
        <v>109</v>
      </c>
      <c r="AB157" s="37" t="s">
        <v>109</v>
      </c>
      <c r="AC157" s="3" t="s">
        <v>109</v>
      </c>
      <c r="AD157" s="22" t="s">
        <v>109</v>
      </c>
      <c r="AE157" s="30" t="s">
        <v>109</v>
      </c>
      <c r="AF157" s="107" t="s">
        <v>109</v>
      </c>
      <c r="AG157" s="22">
        <v>90</v>
      </c>
      <c r="AH157" s="105" t="s">
        <v>129</v>
      </c>
      <c r="AI157" s="27" t="s">
        <v>1270</v>
      </c>
      <c r="AJ157" s="37" t="s">
        <v>109</v>
      </c>
      <c r="AK157" s="30" t="s">
        <v>109</v>
      </c>
      <c r="AL157" s="24"/>
    </row>
    <row r="158" spans="1:38" x14ac:dyDescent="0.25">
      <c r="A158" s="3">
        <v>3</v>
      </c>
      <c r="B158" s="21" t="s">
        <v>458</v>
      </c>
      <c r="C158" s="3" t="s">
        <v>425</v>
      </c>
      <c r="D158" s="21" t="s">
        <v>426</v>
      </c>
      <c r="E158" s="9" t="s">
        <v>34</v>
      </c>
      <c r="F158" s="34">
        <v>20016373</v>
      </c>
      <c r="G158" s="43" t="s">
        <v>111</v>
      </c>
      <c r="H158" s="3"/>
      <c r="I158" s="3"/>
      <c r="J158" s="28">
        <v>31</v>
      </c>
      <c r="K158" s="70">
        <v>17.02</v>
      </c>
      <c r="L158" s="71">
        <f t="shared" ref="L158:L188" si="13">J158*K158</f>
        <v>527.62</v>
      </c>
      <c r="M158" s="34" t="s">
        <v>109</v>
      </c>
      <c r="N158" s="3" t="s">
        <v>109</v>
      </c>
      <c r="O158" s="45"/>
      <c r="P158" s="45"/>
      <c r="Q158" s="9" t="s">
        <v>109</v>
      </c>
      <c r="R158" s="155" t="s">
        <v>109</v>
      </c>
      <c r="S158" s="3" t="s">
        <v>109</v>
      </c>
      <c r="T158" s="158" t="s">
        <v>109</v>
      </c>
      <c r="U158" s="155"/>
      <c r="V158" s="169"/>
      <c r="W158" s="11" t="s">
        <v>109</v>
      </c>
      <c r="X158" s="3" t="s">
        <v>109</v>
      </c>
      <c r="Y158" s="3" t="s">
        <v>109</v>
      </c>
      <c r="Z158" s="3" t="s">
        <v>109</v>
      </c>
      <c r="AA158" s="28" t="s">
        <v>109</v>
      </c>
      <c r="AB158" s="34" t="s">
        <v>109</v>
      </c>
      <c r="AC158" s="3" t="s">
        <v>109</v>
      </c>
      <c r="AD158" s="3" t="s">
        <v>109</v>
      </c>
      <c r="AE158" s="28" t="s">
        <v>109</v>
      </c>
      <c r="AF158" s="107" t="s">
        <v>109</v>
      </c>
      <c r="AG158" s="3">
        <v>91</v>
      </c>
      <c r="AH158" s="106" t="s">
        <v>112</v>
      </c>
      <c r="AI158" s="27" t="s">
        <v>1270</v>
      </c>
      <c r="AJ158" s="34" t="s">
        <v>109</v>
      </c>
      <c r="AK158" s="28" t="s">
        <v>109</v>
      </c>
      <c r="AL158" s="52"/>
    </row>
    <row r="159" spans="1:38" x14ac:dyDescent="0.25">
      <c r="A159" s="3">
        <v>3</v>
      </c>
      <c r="B159" s="21" t="s">
        <v>458</v>
      </c>
      <c r="C159" s="3" t="s">
        <v>425</v>
      </c>
      <c r="D159" s="21" t="s">
        <v>427</v>
      </c>
      <c r="E159" s="9" t="s">
        <v>34</v>
      </c>
      <c r="F159" s="34">
        <v>20016373</v>
      </c>
      <c r="G159" s="43" t="s">
        <v>111</v>
      </c>
      <c r="H159" s="3"/>
      <c r="I159" s="3"/>
      <c r="J159" s="28">
        <v>31</v>
      </c>
      <c r="K159" s="70">
        <v>17.02</v>
      </c>
      <c r="L159" s="71">
        <f t="shared" si="13"/>
        <v>527.62</v>
      </c>
      <c r="M159" s="34" t="s">
        <v>109</v>
      </c>
      <c r="N159" s="3" t="s">
        <v>109</v>
      </c>
      <c r="O159" s="45"/>
      <c r="P159" s="45"/>
      <c r="Q159" s="9" t="s">
        <v>109</v>
      </c>
      <c r="R159" s="155" t="s">
        <v>109</v>
      </c>
      <c r="S159" s="3" t="s">
        <v>109</v>
      </c>
      <c r="T159" s="158" t="s">
        <v>109</v>
      </c>
      <c r="U159" s="155"/>
      <c r="V159" s="169"/>
      <c r="W159" s="11" t="s">
        <v>109</v>
      </c>
      <c r="X159" s="3" t="s">
        <v>109</v>
      </c>
      <c r="Y159" s="3" t="s">
        <v>109</v>
      </c>
      <c r="Z159" s="3" t="s">
        <v>109</v>
      </c>
      <c r="AA159" s="28" t="s">
        <v>109</v>
      </c>
      <c r="AB159" s="34" t="s">
        <v>109</v>
      </c>
      <c r="AC159" s="3" t="s">
        <v>109</v>
      </c>
      <c r="AD159" s="3" t="s">
        <v>109</v>
      </c>
      <c r="AE159" s="28" t="s">
        <v>109</v>
      </c>
      <c r="AF159" s="107" t="s">
        <v>109</v>
      </c>
      <c r="AG159" s="3">
        <v>92</v>
      </c>
      <c r="AH159" s="106" t="s">
        <v>112</v>
      </c>
      <c r="AI159" s="27" t="s">
        <v>1270</v>
      </c>
      <c r="AJ159" s="34" t="s">
        <v>109</v>
      </c>
      <c r="AK159" s="28" t="s">
        <v>109</v>
      </c>
      <c r="AL159" s="52"/>
    </row>
    <row r="160" spans="1:38" x14ac:dyDescent="0.25">
      <c r="A160" s="3">
        <v>3</v>
      </c>
      <c r="B160" s="21" t="s">
        <v>458</v>
      </c>
      <c r="C160" s="3" t="s">
        <v>425</v>
      </c>
      <c r="D160" s="21" t="s">
        <v>428</v>
      </c>
      <c r="E160" s="9" t="s">
        <v>34</v>
      </c>
      <c r="F160" s="34">
        <v>20016373</v>
      </c>
      <c r="G160" s="43" t="s">
        <v>111</v>
      </c>
      <c r="H160" s="3"/>
      <c r="I160" s="3"/>
      <c r="J160" s="28">
        <v>31</v>
      </c>
      <c r="K160" s="70">
        <v>17.02</v>
      </c>
      <c r="L160" s="71">
        <f t="shared" si="13"/>
        <v>527.62</v>
      </c>
      <c r="M160" s="34" t="s">
        <v>109</v>
      </c>
      <c r="N160" s="3" t="s">
        <v>109</v>
      </c>
      <c r="O160" s="45"/>
      <c r="P160" s="45"/>
      <c r="Q160" s="9" t="s">
        <v>109</v>
      </c>
      <c r="R160" s="155" t="s">
        <v>109</v>
      </c>
      <c r="S160" s="3" t="s">
        <v>109</v>
      </c>
      <c r="T160" s="158" t="s">
        <v>109</v>
      </c>
      <c r="U160" s="155"/>
      <c r="V160" s="169"/>
      <c r="W160" s="11" t="s">
        <v>109</v>
      </c>
      <c r="X160" s="3" t="s">
        <v>109</v>
      </c>
      <c r="Y160" s="3" t="s">
        <v>109</v>
      </c>
      <c r="Z160" s="3" t="s">
        <v>109</v>
      </c>
      <c r="AA160" s="28" t="s">
        <v>109</v>
      </c>
      <c r="AB160" s="34" t="s">
        <v>109</v>
      </c>
      <c r="AC160" s="3" t="s">
        <v>109</v>
      </c>
      <c r="AD160" s="3" t="s">
        <v>109</v>
      </c>
      <c r="AE160" s="28" t="s">
        <v>109</v>
      </c>
      <c r="AF160" s="107" t="s">
        <v>109</v>
      </c>
      <c r="AG160" s="3">
        <v>93</v>
      </c>
      <c r="AH160" s="106" t="s">
        <v>112</v>
      </c>
      <c r="AI160" s="27" t="s">
        <v>1270</v>
      </c>
      <c r="AJ160" s="34" t="s">
        <v>109</v>
      </c>
      <c r="AK160" s="28" t="s">
        <v>109</v>
      </c>
      <c r="AL160" s="52"/>
    </row>
    <row r="161" spans="1:38" x14ac:dyDescent="0.25">
      <c r="A161" s="3">
        <v>3</v>
      </c>
      <c r="B161" s="21" t="s">
        <v>458</v>
      </c>
      <c r="C161" s="3" t="s">
        <v>425</v>
      </c>
      <c r="D161" s="21" t="s">
        <v>429</v>
      </c>
      <c r="E161" s="9" t="s">
        <v>34</v>
      </c>
      <c r="F161" s="34">
        <v>20016373</v>
      </c>
      <c r="G161" s="43" t="s">
        <v>111</v>
      </c>
      <c r="H161" s="3"/>
      <c r="I161" s="3"/>
      <c r="J161" s="28">
        <v>31</v>
      </c>
      <c r="K161" s="70">
        <v>17.02</v>
      </c>
      <c r="L161" s="71">
        <f t="shared" si="13"/>
        <v>527.62</v>
      </c>
      <c r="M161" s="34" t="s">
        <v>109</v>
      </c>
      <c r="N161" s="3" t="s">
        <v>109</v>
      </c>
      <c r="O161" s="45"/>
      <c r="P161" s="45"/>
      <c r="Q161" s="9" t="s">
        <v>109</v>
      </c>
      <c r="R161" s="155" t="s">
        <v>109</v>
      </c>
      <c r="S161" s="3" t="s">
        <v>109</v>
      </c>
      <c r="T161" s="158" t="s">
        <v>109</v>
      </c>
      <c r="U161" s="155"/>
      <c r="V161" s="169"/>
      <c r="W161" s="11" t="s">
        <v>109</v>
      </c>
      <c r="X161" s="3" t="s">
        <v>109</v>
      </c>
      <c r="Y161" s="3" t="s">
        <v>109</v>
      </c>
      <c r="Z161" s="3" t="s">
        <v>109</v>
      </c>
      <c r="AA161" s="28" t="s">
        <v>109</v>
      </c>
      <c r="AB161" s="34" t="s">
        <v>109</v>
      </c>
      <c r="AC161" s="3" t="s">
        <v>109</v>
      </c>
      <c r="AD161" s="3" t="s">
        <v>109</v>
      </c>
      <c r="AE161" s="28" t="s">
        <v>109</v>
      </c>
      <c r="AF161" s="107" t="s">
        <v>109</v>
      </c>
      <c r="AG161" s="3">
        <v>94</v>
      </c>
      <c r="AH161" s="106" t="s">
        <v>112</v>
      </c>
      <c r="AI161" s="27" t="s">
        <v>1270</v>
      </c>
      <c r="AJ161" s="34" t="s">
        <v>109</v>
      </c>
      <c r="AK161" s="28" t="s">
        <v>109</v>
      </c>
      <c r="AL161" s="52"/>
    </row>
    <row r="162" spans="1:38" x14ac:dyDescent="0.25">
      <c r="A162" s="3">
        <v>3</v>
      </c>
      <c r="B162" s="21" t="s">
        <v>458</v>
      </c>
      <c r="C162" s="3" t="s">
        <v>425</v>
      </c>
      <c r="D162" s="21" t="s">
        <v>430</v>
      </c>
      <c r="E162" s="9" t="s">
        <v>34</v>
      </c>
      <c r="F162" s="34">
        <v>20016373</v>
      </c>
      <c r="G162" s="43" t="s">
        <v>111</v>
      </c>
      <c r="H162" s="3"/>
      <c r="I162" s="3"/>
      <c r="J162" s="28">
        <v>31</v>
      </c>
      <c r="K162" s="70">
        <v>17.02</v>
      </c>
      <c r="L162" s="71">
        <f t="shared" si="13"/>
        <v>527.62</v>
      </c>
      <c r="M162" s="34" t="s">
        <v>109</v>
      </c>
      <c r="N162" s="3" t="s">
        <v>109</v>
      </c>
      <c r="O162" s="45"/>
      <c r="P162" s="45"/>
      <c r="Q162" s="9" t="s">
        <v>109</v>
      </c>
      <c r="R162" s="155" t="s">
        <v>109</v>
      </c>
      <c r="S162" s="3" t="s">
        <v>109</v>
      </c>
      <c r="T162" s="158" t="s">
        <v>109</v>
      </c>
      <c r="U162" s="155"/>
      <c r="V162" s="169"/>
      <c r="W162" s="11" t="s">
        <v>109</v>
      </c>
      <c r="X162" s="3" t="s">
        <v>109</v>
      </c>
      <c r="Y162" s="3" t="s">
        <v>109</v>
      </c>
      <c r="Z162" s="3" t="s">
        <v>109</v>
      </c>
      <c r="AA162" s="28" t="s">
        <v>109</v>
      </c>
      <c r="AB162" s="34" t="s">
        <v>109</v>
      </c>
      <c r="AC162" s="3" t="s">
        <v>109</v>
      </c>
      <c r="AD162" s="3" t="s">
        <v>109</v>
      </c>
      <c r="AE162" s="28" t="s">
        <v>109</v>
      </c>
      <c r="AF162" s="107" t="s">
        <v>109</v>
      </c>
      <c r="AG162" s="3">
        <v>95</v>
      </c>
      <c r="AH162" s="106" t="s">
        <v>112</v>
      </c>
      <c r="AI162" s="27" t="s">
        <v>1270</v>
      </c>
      <c r="AJ162" s="34" t="s">
        <v>109</v>
      </c>
      <c r="AK162" s="28" t="s">
        <v>109</v>
      </c>
      <c r="AL162" s="52"/>
    </row>
    <row r="163" spans="1:38" x14ac:dyDescent="0.25">
      <c r="A163" s="3">
        <v>3</v>
      </c>
      <c r="B163" s="21" t="s">
        <v>458</v>
      </c>
      <c r="C163" s="3" t="s">
        <v>425</v>
      </c>
      <c r="D163" s="21" t="s">
        <v>431</v>
      </c>
      <c r="E163" s="9" t="s">
        <v>34</v>
      </c>
      <c r="F163" s="34">
        <v>20016373</v>
      </c>
      <c r="G163" s="43" t="s">
        <v>111</v>
      </c>
      <c r="H163" s="3"/>
      <c r="I163" s="3"/>
      <c r="J163" s="28">
        <v>31</v>
      </c>
      <c r="K163" s="70">
        <v>17.02</v>
      </c>
      <c r="L163" s="71">
        <f t="shared" si="13"/>
        <v>527.62</v>
      </c>
      <c r="M163" s="34" t="s">
        <v>109</v>
      </c>
      <c r="N163" s="3" t="s">
        <v>109</v>
      </c>
      <c r="O163" s="45"/>
      <c r="P163" s="45"/>
      <c r="Q163" s="9" t="s">
        <v>109</v>
      </c>
      <c r="R163" s="155" t="s">
        <v>109</v>
      </c>
      <c r="S163" s="3" t="s">
        <v>109</v>
      </c>
      <c r="T163" s="158" t="s">
        <v>109</v>
      </c>
      <c r="U163" s="155"/>
      <c r="V163" s="169"/>
      <c r="W163" s="11" t="s">
        <v>109</v>
      </c>
      <c r="X163" s="3" t="s">
        <v>109</v>
      </c>
      <c r="Y163" s="3" t="s">
        <v>109</v>
      </c>
      <c r="Z163" s="3" t="s">
        <v>109</v>
      </c>
      <c r="AA163" s="28" t="s">
        <v>109</v>
      </c>
      <c r="AB163" s="34" t="s">
        <v>109</v>
      </c>
      <c r="AC163" s="3" t="s">
        <v>109</v>
      </c>
      <c r="AD163" s="3" t="s">
        <v>109</v>
      </c>
      <c r="AE163" s="28" t="s">
        <v>109</v>
      </c>
      <c r="AF163" s="107" t="s">
        <v>109</v>
      </c>
      <c r="AG163" s="3">
        <v>96</v>
      </c>
      <c r="AH163" s="106" t="s">
        <v>112</v>
      </c>
      <c r="AI163" s="27" t="s">
        <v>1270</v>
      </c>
      <c r="AJ163" s="34" t="s">
        <v>109</v>
      </c>
      <c r="AK163" s="28" t="s">
        <v>109</v>
      </c>
      <c r="AL163" s="52"/>
    </row>
    <row r="164" spans="1:38" x14ac:dyDescent="0.25">
      <c r="A164" s="3">
        <v>3</v>
      </c>
      <c r="B164" s="21" t="s">
        <v>458</v>
      </c>
      <c r="C164" s="3" t="s">
        <v>425</v>
      </c>
      <c r="D164" s="21" t="s">
        <v>432</v>
      </c>
      <c r="E164" s="9" t="s">
        <v>34</v>
      </c>
      <c r="F164" s="34">
        <v>20016373</v>
      </c>
      <c r="G164" s="43" t="s">
        <v>111</v>
      </c>
      <c r="H164" s="3"/>
      <c r="I164" s="3"/>
      <c r="J164" s="28">
        <v>31</v>
      </c>
      <c r="K164" s="70">
        <v>17.02</v>
      </c>
      <c r="L164" s="71">
        <f t="shared" si="13"/>
        <v>527.62</v>
      </c>
      <c r="M164" s="34" t="s">
        <v>109</v>
      </c>
      <c r="N164" s="3" t="s">
        <v>109</v>
      </c>
      <c r="O164" s="45"/>
      <c r="P164" s="45"/>
      <c r="Q164" s="9" t="s">
        <v>109</v>
      </c>
      <c r="R164" s="155" t="s">
        <v>109</v>
      </c>
      <c r="S164" s="3" t="s">
        <v>109</v>
      </c>
      <c r="T164" s="158" t="s">
        <v>109</v>
      </c>
      <c r="U164" s="155"/>
      <c r="V164" s="169"/>
      <c r="W164" s="11" t="s">
        <v>109</v>
      </c>
      <c r="X164" s="3" t="s">
        <v>109</v>
      </c>
      <c r="Y164" s="3" t="s">
        <v>109</v>
      </c>
      <c r="Z164" s="3" t="s">
        <v>109</v>
      </c>
      <c r="AA164" s="28" t="s">
        <v>109</v>
      </c>
      <c r="AB164" s="34" t="s">
        <v>109</v>
      </c>
      <c r="AC164" s="3" t="s">
        <v>109</v>
      </c>
      <c r="AD164" s="3" t="s">
        <v>109</v>
      </c>
      <c r="AE164" s="28" t="s">
        <v>109</v>
      </c>
      <c r="AF164" s="107" t="s">
        <v>109</v>
      </c>
      <c r="AG164" s="3">
        <v>97</v>
      </c>
      <c r="AH164" s="106" t="s">
        <v>112</v>
      </c>
      <c r="AI164" s="27" t="s">
        <v>1270</v>
      </c>
      <c r="AJ164" s="34" t="s">
        <v>109</v>
      </c>
      <c r="AK164" s="28" t="s">
        <v>109</v>
      </c>
      <c r="AL164" s="52"/>
    </row>
    <row r="165" spans="1:38" x14ac:dyDescent="0.25">
      <c r="A165" s="3">
        <v>3</v>
      </c>
      <c r="B165" s="21" t="s">
        <v>458</v>
      </c>
      <c r="C165" s="3" t="s">
        <v>425</v>
      </c>
      <c r="D165" s="21" t="s">
        <v>433</v>
      </c>
      <c r="E165" s="9" t="s">
        <v>34</v>
      </c>
      <c r="F165" s="34">
        <v>20016373</v>
      </c>
      <c r="G165" s="43" t="s">
        <v>111</v>
      </c>
      <c r="H165" s="3"/>
      <c r="I165" s="3"/>
      <c r="J165" s="28">
        <v>31</v>
      </c>
      <c r="K165" s="70">
        <v>17.02</v>
      </c>
      <c r="L165" s="71">
        <f t="shared" si="13"/>
        <v>527.62</v>
      </c>
      <c r="M165" s="34" t="s">
        <v>109</v>
      </c>
      <c r="N165" s="3" t="s">
        <v>109</v>
      </c>
      <c r="O165" s="45"/>
      <c r="P165" s="45"/>
      <c r="Q165" s="9" t="s">
        <v>109</v>
      </c>
      <c r="R165" s="155" t="s">
        <v>109</v>
      </c>
      <c r="S165" s="3" t="s">
        <v>109</v>
      </c>
      <c r="T165" s="158" t="s">
        <v>109</v>
      </c>
      <c r="U165" s="155"/>
      <c r="V165" s="169"/>
      <c r="W165" s="11" t="s">
        <v>109</v>
      </c>
      <c r="X165" s="3" t="s">
        <v>109</v>
      </c>
      <c r="Y165" s="3" t="s">
        <v>109</v>
      </c>
      <c r="Z165" s="3" t="s">
        <v>109</v>
      </c>
      <c r="AA165" s="28" t="s">
        <v>109</v>
      </c>
      <c r="AB165" s="34" t="s">
        <v>109</v>
      </c>
      <c r="AC165" s="3" t="s">
        <v>109</v>
      </c>
      <c r="AD165" s="3" t="s">
        <v>109</v>
      </c>
      <c r="AE165" s="28" t="s">
        <v>109</v>
      </c>
      <c r="AF165" s="107" t="s">
        <v>109</v>
      </c>
      <c r="AG165" s="3">
        <v>98</v>
      </c>
      <c r="AH165" s="106" t="s">
        <v>112</v>
      </c>
      <c r="AI165" s="27" t="s">
        <v>1270</v>
      </c>
      <c r="AJ165" s="34" t="s">
        <v>109</v>
      </c>
      <c r="AK165" s="28" t="s">
        <v>109</v>
      </c>
      <c r="AL165" s="52"/>
    </row>
    <row r="166" spans="1:38" x14ac:dyDescent="0.25">
      <c r="A166" s="3">
        <v>3</v>
      </c>
      <c r="B166" s="21" t="s">
        <v>458</v>
      </c>
      <c r="C166" s="3" t="s">
        <v>425</v>
      </c>
      <c r="D166" s="21" t="s">
        <v>434</v>
      </c>
      <c r="E166" s="9" t="s">
        <v>34</v>
      </c>
      <c r="F166" s="34">
        <v>20016373</v>
      </c>
      <c r="G166" s="43" t="s">
        <v>111</v>
      </c>
      <c r="H166" s="3"/>
      <c r="I166" s="3"/>
      <c r="J166" s="28">
        <v>31</v>
      </c>
      <c r="K166" s="70">
        <v>17.02</v>
      </c>
      <c r="L166" s="71">
        <f t="shared" si="13"/>
        <v>527.62</v>
      </c>
      <c r="M166" s="34" t="s">
        <v>109</v>
      </c>
      <c r="N166" s="3" t="s">
        <v>109</v>
      </c>
      <c r="O166" s="45"/>
      <c r="P166" s="45"/>
      <c r="Q166" s="9" t="s">
        <v>109</v>
      </c>
      <c r="R166" s="155" t="s">
        <v>109</v>
      </c>
      <c r="S166" s="3" t="s">
        <v>109</v>
      </c>
      <c r="T166" s="158" t="s">
        <v>109</v>
      </c>
      <c r="U166" s="155"/>
      <c r="V166" s="169"/>
      <c r="W166" s="11" t="s">
        <v>109</v>
      </c>
      <c r="X166" s="3" t="s">
        <v>109</v>
      </c>
      <c r="Y166" s="3" t="s">
        <v>109</v>
      </c>
      <c r="Z166" s="3" t="s">
        <v>109</v>
      </c>
      <c r="AA166" s="28" t="s">
        <v>109</v>
      </c>
      <c r="AB166" s="34" t="s">
        <v>109</v>
      </c>
      <c r="AC166" s="3" t="s">
        <v>109</v>
      </c>
      <c r="AD166" s="3" t="s">
        <v>109</v>
      </c>
      <c r="AE166" s="28" t="s">
        <v>109</v>
      </c>
      <c r="AF166" s="107" t="s">
        <v>109</v>
      </c>
      <c r="AG166" s="3">
        <v>99</v>
      </c>
      <c r="AH166" s="106" t="s">
        <v>112</v>
      </c>
      <c r="AI166" s="27" t="s">
        <v>1270</v>
      </c>
      <c r="AJ166" s="34" t="s">
        <v>109</v>
      </c>
      <c r="AK166" s="28" t="s">
        <v>109</v>
      </c>
      <c r="AL166" s="52"/>
    </row>
    <row r="167" spans="1:38" x14ac:dyDescent="0.25">
      <c r="A167" s="3">
        <v>3</v>
      </c>
      <c r="B167" s="21" t="s">
        <v>458</v>
      </c>
      <c r="C167" s="3" t="s">
        <v>425</v>
      </c>
      <c r="D167" s="21" t="s">
        <v>435</v>
      </c>
      <c r="E167" s="9" t="s">
        <v>34</v>
      </c>
      <c r="F167" s="34">
        <v>20016373</v>
      </c>
      <c r="G167" s="43" t="s">
        <v>111</v>
      </c>
      <c r="H167" s="3"/>
      <c r="I167" s="3"/>
      <c r="J167" s="28">
        <v>31</v>
      </c>
      <c r="K167" s="70">
        <v>17.02</v>
      </c>
      <c r="L167" s="71">
        <f t="shared" si="13"/>
        <v>527.62</v>
      </c>
      <c r="M167" s="34" t="s">
        <v>109</v>
      </c>
      <c r="N167" s="3" t="s">
        <v>109</v>
      </c>
      <c r="O167" s="45"/>
      <c r="P167" s="45"/>
      <c r="Q167" s="9" t="s">
        <v>109</v>
      </c>
      <c r="R167" s="155" t="s">
        <v>109</v>
      </c>
      <c r="S167" s="3" t="s">
        <v>109</v>
      </c>
      <c r="T167" s="158" t="s">
        <v>109</v>
      </c>
      <c r="U167" s="155"/>
      <c r="V167" s="169"/>
      <c r="W167" s="11" t="s">
        <v>109</v>
      </c>
      <c r="X167" s="3" t="s">
        <v>109</v>
      </c>
      <c r="Y167" s="3" t="s">
        <v>109</v>
      </c>
      <c r="Z167" s="3" t="s">
        <v>109</v>
      </c>
      <c r="AA167" s="28" t="s">
        <v>109</v>
      </c>
      <c r="AB167" s="34" t="s">
        <v>109</v>
      </c>
      <c r="AC167" s="3" t="s">
        <v>109</v>
      </c>
      <c r="AD167" s="3" t="s">
        <v>109</v>
      </c>
      <c r="AE167" s="28" t="s">
        <v>109</v>
      </c>
      <c r="AF167" s="107" t="s">
        <v>109</v>
      </c>
      <c r="AG167" s="3">
        <v>100</v>
      </c>
      <c r="AH167" s="106" t="s">
        <v>112</v>
      </c>
      <c r="AI167" s="27" t="s">
        <v>1270</v>
      </c>
      <c r="AJ167" s="34" t="s">
        <v>109</v>
      </c>
      <c r="AK167" s="28" t="s">
        <v>109</v>
      </c>
      <c r="AL167" s="52"/>
    </row>
    <row r="168" spans="1:38" x14ac:dyDescent="0.25">
      <c r="A168" s="3">
        <v>3</v>
      </c>
      <c r="B168" s="21" t="s">
        <v>458</v>
      </c>
      <c r="C168" s="3" t="s">
        <v>425</v>
      </c>
      <c r="D168" s="21" t="s">
        <v>436</v>
      </c>
      <c r="E168" s="9" t="s">
        <v>34</v>
      </c>
      <c r="F168" s="34">
        <v>20016373</v>
      </c>
      <c r="G168" s="43" t="s">
        <v>111</v>
      </c>
      <c r="H168" s="3"/>
      <c r="I168" s="3"/>
      <c r="J168" s="28">
        <v>31</v>
      </c>
      <c r="K168" s="70">
        <v>17.02</v>
      </c>
      <c r="L168" s="71">
        <f t="shared" si="13"/>
        <v>527.62</v>
      </c>
      <c r="M168" s="34" t="s">
        <v>109</v>
      </c>
      <c r="N168" s="3" t="s">
        <v>109</v>
      </c>
      <c r="O168" s="45"/>
      <c r="P168" s="45"/>
      <c r="Q168" s="9" t="s">
        <v>109</v>
      </c>
      <c r="R168" s="155" t="s">
        <v>109</v>
      </c>
      <c r="S168" s="3" t="s">
        <v>109</v>
      </c>
      <c r="T168" s="158" t="s">
        <v>109</v>
      </c>
      <c r="U168" s="155"/>
      <c r="V168" s="169"/>
      <c r="W168" s="11" t="s">
        <v>109</v>
      </c>
      <c r="X168" s="3" t="s">
        <v>109</v>
      </c>
      <c r="Y168" s="3" t="s">
        <v>109</v>
      </c>
      <c r="Z168" s="3" t="s">
        <v>109</v>
      </c>
      <c r="AA168" s="28" t="s">
        <v>109</v>
      </c>
      <c r="AB168" s="34" t="s">
        <v>109</v>
      </c>
      <c r="AC168" s="3" t="s">
        <v>109</v>
      </c>
      <c r="AD168" s="3" t="s">
        <v>109</v>
      </c>
      <c r="AE168" s="28" t="s">
        <v>109</v>
      </c>
      <c r="AF168" s="107" t="s">
        <v>109</v>
      </c>
      <c r="AG168" s="3">
        <v>101</v>
      </c>
      <c r="AH168" s="106" t="s">
        <v>112</v>
      </c>
      <c r="AI168" s="27" t="s">
        <v>1270</v>
      </c>
      <c r="AJ168" s="34" t="s">
        <v>109</v>
      </c>
      <c r="AK168" s="28" t="s">
        <v>109</v>
      </c>
      <c r="AL168" s="52"/>
    </row>
    <row r="169" spans="1:38" x14ac:dyDescent="0.25">
      <c r="A169" s="3">
        <v>3</v>
      </c>
      <c r="B169" s="21" t="s">
        <v>458</v>
      </c>
      <c r="C169" s="3" t="s">
        <v>425</v>
      </c>
      <c r="D169" s="21" t="s">
        <v>437</v>
      </c>
      <c r="E169" s="9" t="s">
        <v>34</v>
      </c>
      <c r="F169" s="34">
        <v>20016373</v>
      </c>
      <c r="G169" s="43" t="s">
        <v>111</v>
      </c>
      <c r="H169" s="3"/>
      <c r="I169" s="3"/>
      <c r="J169" s="28">
        <v>31</v>
      </c>
      <c r="K169" s="70">
        <v>17.02</v>
      </c>
      <c r="L169" s="71">
        <f t="shared" si="13"/>
        <v>527.62</v>
      </c>
      <c r="M169" s="34" t="s">
        <v>109</v>
      </c>
      <c r="N169" s="3" t="s">
        <v>109</v>
      </c>
      <c r="O169" s="45"/>
      <c r="P169" s="45"/>
      <c r="Q169" s="9" t="s">
        <v>109</v>
      </c>
      <c r="R169" s="155" t="s">
        <v>109</v>
      </c>
      <c r="S169" s="3" t="s">
        <v>109</v>
      </c>
      <c r="T169" s="158" t="s">
        <v>109</v>
      </c>
      <c r="U169" s="155"/>
      <c r="V169" s="169"/>
      <c r="W169" s="11" t="s">
        <v>109</v>
      </c>
      <c r="X169" s="3" t="s">
        <v>109</v>
      </c>
      <c r="Y169" s="3" t="s">
        <v>109</v>
      </c>
      <c r="Z169" s="3" t="s">
        <v>109</v>
      </c>
      <c r="AA169" s="28" t="s">
        <v>109</v>
      </c>
      <c r="AB169" s="34" t="s">
        <v>109</v>
      </c>
      <c r="AC169" s="3" t="s">
        <v>109</v>
      </c>
      <c r="AD169" s="3" t="s">
        <v>109</v>
      </c>
      <c r="AE169" s="28" t="s">
        <v>109</v>
      </c>
      <c r="AF169" s="107" t="s">
        <v>109</v>
      </c>
      <c r="AG169" s="3">
        <v>102</v>
      </c>
      <c r="AH169" s="106" t="s">
        <v>112</v>
      </c>
      <c r="AI169" s="27" t="s">
        <v>1270</v>
      </c>
      <c r="AJ169" s="34" t="s">
        <v>109</v>
      </c>
      <c r="AK169" s="28" t="s">
        <v>109</v>
      </c>
      <c r="AL169" s="52"/>
    </row>
    <row r="170" spans="1:38" x14ac:dyDescent="0.25">
      <c r="A170" s="3">
        <v>3</v>
      </c>
      <c r="B170" s="21" t="s">
        <v>458</v>
      </c>
      <c r="C170" s="3" t="s">
        <v>425</v>
      </c>
      <c r="D170" s="21" t="s">
        <v>438</v>
      </c>
      <c r="E170" s="9" t="s">
        <v>34</v>
      </c>
      <c r="F170" s="34">
        <v>20016373</v>
      </c>
      <c r="G170" s="43" t="s">
        <v>111</v>
      </c>
      <c r="H170" s="3"/>
      <c r="I170" s="3"/>
      <c r="J170" s="28">
        <v>31</v>
      </c>
      <c r="K170" s="70">
        <v>17.02</v>
      </c>
      <c r="L170" s="71">
        <f t="shared" si="13"/>
        <v>527.62</v>
      </c>
      <c r="M170" s="34" t="s">
        <v>109</v>
      </c>
      <c r="N170" s="3" t="s">
        <v>109</v>
      </c>
      <c r="O170" s="45"/>
      <c r="P170" s="45"/>
      <c r="Q170" s="9" t="s">
        <v>109</v>
      </c>
      <c r="R170" s="155" t="s">
        <v>109</v>
      </c>
      <c r="S170" s="3" t="s">
        <v>109</v>
      </c>
      <c r="T170" s="158" t="s">
        <v>109</v>
      </c>
      <c r="U170" s="155"/>
      <c r="V170" s="169"/>
      <c r="W170" s="11" t="s">
        <v>109</v>
      </c>
      <c r="X170" s="3" t="s">
        <v>109</v>
      </c>
      <c r="Y170" s="3" t="s">
        <v>109</v>
      </c>
      <c r="Z170" s="3" t="s">
        <v>109</v>
      </c>
      <c r="AA170" s="28" t="s">
        <v>109</v>
      </c>
      <c r="AB170" s="34" t="s">
        <v>109</v>
      </c>
      <c r="AC170" s="3" t="s">
        <v>109</v>
      </c>
      <c r="AD170" s="3" t="s">
        <v>109</v>
      </c>
      <c r="AE170" s="28" t="s">
        <v>109</v>
      </c>
      <c r="AF170" s="107" t="s">
        <v>109</v>
      </c>
      <c r="AG170" s="3">
        <v>103</v>
      </c>
      <c r="AH170" s="106" t="s">
        <v>112</v>
      </c>
      <c r="AI170" s="27" t="s">
        <v>1270</v>
      </c>
      <c r="AJ170" s="34" t="s">
        <v>109</v>
      </c>
      <c r="AK170" s="28" t="s">
        <v>109</v>
      </c>
      <c r="AL170" s="52"/>
    </row>
    <row r="171" spans="1:38" x14ac:dyDescent="0.25">
      <c r="A171" s="3">
        <v>3</v>
      </c>
      <c r="B171" s="21" t="s">
        <v>458</v>
      </c>
      <c r="C171" s="3" t="s">
        <v>425</v>
      </c>
      <c r="D171" s="21" t="s">
        <v>439</v>
      </c>
      <c r="E171" s="9" t="s">
        <v>34</v>
      </c>
      <c r="F171" s="34">
        <v>20016373</v>
      </c>
      <c r="G171" s="43" t="s">
        <v>111</v>
      </c>
      <c r="H171" s="3"/>
      <c r="I171" s="3"/>
      <c r="J171" s="28">
        <v>31</v>
      </c>
      <c r="K171" s="70">
        <v>17.02</v>
      </c>
      <c r="L171" s="71">
        <f t="shared" si="13"/>
        <v>527.62</v>
      </c>
      <c r="M171" s="34" t="s">
        <v>109</v>
      </c>
      <c r="N171" s="3" t="s">
        <v>109</v>
      </c>
      <c r="O171" s="45"/>
      <c r="P171" s="45"/>
      <c r="Q171" s="9" t="s">
        <v>109</v>
      </c>
      <c r="R171" s="155" t="s">
        <v>109</v>
      </c>
      <c r="S171" s="3" t="s">
        <v>109</v>
      </c>
      <c r="T171" s="158" t="s">
        <v>109</v>
      </c>
      <c r="U171" s="155"/>
      <c r="V171" s="169"/>
      <c r="W171" s="11" t="s">
        <v>109</v>
      </c>
      <c r="X171" s="3" t="s">
        <v>109</v>
      </c>
      <c r="Y171" s="3" t="s">
        <v>109</v>
      </c>
      <c r="Z171" s="3" t="s">
        <v>109</v>
      </c>
      <c r="AA171" s="28" t="s">
        <v>109</v>
      </c>
      <c r="AB171" s="34" t="s">
        <v>109</v>
      </c>
      <c r="AC171" s="3" t="s">
        <v>109</v>
      </c>
      <c r="AD171" s="3" t="s">
        <v>109</v>
      </c>
      <c r="AE171" s="28" t="s">
        <v>109</v>
      </c>
      <c r="AF171" s="107" t="s">
        <v>109</v>
      </c>
      <c r="AG171" s="3">
        <v>104</v>
      </c>
      <c r="AH171" s="106" t="s">
        <v>112</v>
      </c>
      <c r="AI171" s="27" t="s">
        <v>1270</v>
      </c>
      <c r="AJ171" s="34" t="s">
        <v>109</v>
      </c>
      <c r="AK171" s="28" t="s">
        <v>109</v>
      </c>
      <c r="AL171" s="52"/>
    </row>
    <row r="172" spans="1:38" x14ac:dyDescent="0.25">
      <c r="A172" s="3">
        <v>3</v>
      </c>
      <c r="B172" s="21" t="s">
        <v>458</v>
      </c>
      <c r="C172" s="3" t="s">
        <v>425</v>
      </c>
      <c r="D172" s="21" t="s">
        <v>440</v>
      </c>
      <c r="E172" s="9" t="s">
        <v>34</v>
      </c>
      <c r="F172" s="34">
        <v>20016373</v>
      </c>
      <c r="G172" s="43" t="s">
        <v>111</v>
      </c>
      <c r="H172" s="3"/>
      <c r="I172" s="3"/>
      <c r="J172" s="28">
        <v>31</v>
      </c>
      <c r="K172" s="70">
        <v>17.02</v>
      </c>
      <c r="L172" s="71">
        <f t="shared" si="13"/>
        <v>527.62</v>
      </c>
      <c r="M172" s="34" t="s">
        <v>109</v>
      </c>
      <c r="N172" s="3" t="s">
        <v>109</v>
      </c>
      <c r="O172" s="45"/>
      <c r="P172" s="45"/>
      <c r="Q172" s="9" t="s">
        <v>109</v>
      </c>
      <c r="R172" s="155" t="s">
        <v>109</v>
      </c>
      <c r="S172" s="3" t="s">
        <v>109</v>
      </c>
      <c r="T172" s="158" t="s">
        <v>109</v>
      </c>
      <c r="U172" s="155"/>
      <c r="V172" s="169"/>
      <c r="W172" s="11" t="s">
        <v>109</v>
      </c>
      <c r="X172" s="3" t="s">
        <v>109</v>
      </c>
      <c r="Y172" s="3" t="s">
        <v>109</v>
      </c>
      <c r="Z172" s="3" t="s">
        <v>109</v>
      </c>
      <c r="AA172" s="28" t="s">
        <v>109</v>
      </c>
      <c r="AB172" s="34" t="s">
        <v>109</v>
      </c>
      <c r="AC172" s="3" t="s">
        <v>109</v>
      </c>
      <c r="AD172" s="3" t="s">
        <v>109</v>
      </c>
      <c r="AE172" s="28" t="s">
        <v>109</v>
      </c>
      <c r="AF172" s="107" t="s">
        <v>109</v>
      </c>
      <c r="AG172" s="3">
        <v>105</v>
      </c>
      <c r="AH172" s="106" t="s">
        <v>112</v>
      </c>
      <c r="AI172" s="27" t="s">
        <v>1270</v>
      </c>
      <c r="AJ172" s="34" t="s">
        <v>109</v>
      </c>
      <c r="AK172" s="28" t="s">
        <v>109</v>
      </c>
      <c r="AL172" s="52"/>
    </row>
    <row r="173" spans="1:38" x14ac:dyDescent="0.25">
      <c r="A173" s="3">
        <v>3</v>
      </c>
      <c r="B173" s="21" t="s">
        <v>458</v>
      </c>
      <c r="C173" s="3" t="s">
        <v>425</v>
      </c>
      <c r="D173" s="21" t="s">
        <v>441</v>
      </c>
      <c r="E173" s="9" t="s">
        <v>34</v>
      </c>
      <c r="F173" s="34">
        <v>20016373</v>
      </c>
      <c r="G173" s="43" t="s">
        <v>111</v>
      </c>
      <c r="H173" s="3"/>
      <c r="I173" s="3"/>
      <c r="J173" s="28">
        <v>31</v>
      </c>
      <c r="K173" s="70">
        <v>17.02</v>
      </c>
      <c r="L173" s="71">
        <f t="shared" si="13"/>
        <v>527.62</v>
      </c>
      <c r="M173" s="34" t="s">
        <v>109</v>
      </c>
      <c r="N173" s="3" t="s">
        <v>109</v>
      </c>
      <c r="O173" s="45"/>
      <c r="P173" s="45"/>
      <c r="Q173" s="9" t="s">
        <v>109</v>
      </c>
      <c r="R173" s="155" t="s">
        <v>109</v>
      </c>
      <c r="S173" s="3" t="s">
        <v>109</v>
      </c>
      <c r="T173" s="158" t="s">
        <v>109</v>
      </c>
      <c r="U173" s="155"/>
      <c r="V173" s="169"/>
      <c r="W173" s="11" t="s">
        <v>109</v>
      </c>
      <c r="X173" s="3" t="s">
        <v>109</v>
      </c>
      <c r="Y173" s="3" t="s">
        <v>109</v>
      </c>
      <c r="Z173" s="3" t="s">
        <v>109</v>
      </c>
      <c r="AA173" s="28" t="s">
        <v>109</v>
      </c>
      <c r="AB173" s="34" t="s">
        <v>109</v>
      </c>
      <c r="AC173" s="3" t="s">
        <v>109</v>
      </c>
      <c r="AD173" s="3" t="s">
        <v>109</v>
      </c>
      <c r="AE173" s="28" t="s">
        <v>109</v>
      </c>
      <c r="AF173" s="107" t="s">
        <v>109</v>
      </c>
      <c r="AG173" s="3">
        <v>106</v>
      </c>
      <c r="AH173" s="106" t="s">
        <v>112</v>
      </c>
      <c r="AI173" s="27" t="s">
        <v>1270</v>
      </c>
      <c r="AJ173" s="34" t="s">
        <v>109</v>
      </c>
      <c r="AK173" s="28" t="s">
        <v>109</v>
      </c>
      <c r="AL173" s="52"/>
    </row>
    <row r="174" spans="1:38" x14ac:dyDescent="0.25">
      <c r="A174" s="3">
        <v>3</v>
      </c>
      <c r="B174" s="21" t="s">
        <v>458</v>
      </c>
      <c r="C174" s="3" t="s">
        <v>425</v>
      </c>
      <c r="D174" s="21" t="s">
        <v>442</v>
      </c>
      <c r="E174" s="9" t="s">
        <v>34</v>
      </c>
      <c r="F174" s="34">
        <v>20016373</v>
      </c>
      <c r="G174" s="43" t="s">
        <v>111</v>
      </c>
      <c r="H174" s="3"/>
      <c r="I174" s="3"/>
      <c r="J174" s="28">
        <v>31</v>
      </c>
      <c r="K174" s="70">
        <v>17.02</v>
      </c>
      <c r="L174" s="71">
        <f t="shared" si="13"/>
        <v>527.62</v>
      </c>
      <c r="M174" s="34" t="s">
        <v>109</v>
      </c>
      <c r="N174" s="3" t="s">
        <v>109</v>
      </c>
      <c r="O174" s="45"/>
      <c r="P174" s="45"/>
      <c r="Q174" s="9" t="s">
        <v>109</v>
      </c>
      <c r="R174" s="155" t="s">
        <v>109</v>
      </c>
      <c r="S174" s="3" t="s">
        <v>109</v>
      </c>
      <c r="T174" s="158" t="s">
        <v>109</v>
      </c>
      <c r="U174" s="155"/>
      <c r="V174" s="169"/>
      <c r="W174" s="11" t="s">
        <v>109</v>
      </c>
      <c r="X174" s="3" t="s">
        <v>109</v>
      </c>
      <c r="Y174" s="3" t="s">
        <v>109</v>
      </c>
      <c r="Z174" s="3" t="s">
        <v>109</v>
      </c>
      <c r="AA174" s="28" t="s">
        <v>109</v>
      </c>
      <c r="AB174" s="34" t="s">
        <v>109</v>
      </c>
      <c r="AC174" s="3" t="s">
        <v>109</v>
      </c>
      <c r="AD174" s="3" t="s">
        <v>109</v>
      </c>
      <c r="AE174" s="28" t="s">
        <v>109</v>
      </c>
      <c r="AF174" s="107" t="s">
        <v>109</v>
      </c>
      <c r="AG174" s="3">
        <v>107</v>
      </c>
      <c r="AH174" s="106" t="s">
        <v>112</v>
      </c>
      <c r="AI174" s="27" t="s">
        <v>1270</v>
      </c>
      <c r="AJ174" s="34" t="s">
        <v>109</v>
      </c>
      <c r="AK174" s="28" t="s">
        <v>109</v>
      </c>
      <c r="AL174" s="52"/>
    </row>
    <row r="175" spans="1:38" x14ac:dyDescent="0.25">
      <c r="A175" s="3">
        <v>3</v>
      </c>
      <c r="B175" s="21" t="s">
        <v>458</v>
      </c>
      <c r="C175" s="3" t="s">
        <v>425</v>
      </c>
      <c r="D175" s="21" t="s">
        <v>443</v>
      </c>
      <c r="E175" s="9" t="s">
        <v>34</v>
      </c>
      <c r="F175" s="34">
        <v>20016373</v>
      </c>
      <c r="G175" s="43" t="s">
        <v>111</v>
      </c>
      <c r="H175" s="3"/>
      <c r="I175" s="3"/>
      <c r="J175" s="28">
        <v>31</v>
      </c>
      <c r="K175" s="70">
        <v>17.02</v>
      </c>
      <c r="L175" s="71">
        <f t="shared" si="13"/>
        <v>527.62</v>
      </c>
      <c r="M175" s="34" t="s">
        <v>109</v>
      </c>
      <c r="N175" s="3" t="s">
        <v>109</v>
      </c>
      <c r="O175" s="45"/>
      <c r="P175" s="45"/>
      <c r="Q175" s="9" t="s">
        <v>109</v>
      </c>
      <c r="R175" s="155" t="s">
        <v>109</v>
      </c>
      <c r="S175" s="3" t="s">
        <v>109</v>
      </c>
      <c r="T175" s="158" t="s">
        <v>109</v>
      </c>
      <c r="U175" s="155"/>
      <c r="V175" s="169"/>
      <c r="W175" s="11" t="s">
        <v>109</v>
      </c>
      <c r="X175" s="3" t="s">
        <v>109</v>
      </c>
      <c r="Y175" s="3" t="s">
        <v>109</v>
      </c>
      <c r="Z175" s="3" t="s">
        <v>109</v>
      </c>
      <c r="AA175" s="28" t="s">
        <v>109</v>
      </c>
      <c r="AB175" s="34" t="s">
        <v>109</v>
      </c>
      <c r="AC175" s="3" t="s">
        <v>109</v>
      </c>
      <c r="AD175" s="3" t="s">
        <v>109</v>
      </c>
      <c r="AE175" s="28" t="s">
        <v>109</v>
      </c>
      <c r="AF175" s="107" t="s">
        <v>109</v>
      </c>
      <c r="AG175" s="3">
        <v>108</v>
      </c>
      <c r="AH175" s="106" t="s">
        <v>112</v>
      </c>
      <c r="AI175" s="27" t="s">
        <v>1270</v>
      </c>
      <c r="AJ175" s="34" t="s">
        <v>109</v>
      </c>
      <c r="AK175" s="28" t="s">
        <v>109</v>
      </c>
      <c r="AL175" s="52"/>
    </row>
    <row r="176" spans="1:38" x14ac:dyDescent="0.25">
      <c r="A176" s="3">
        <v>3</v>
      </c>
      <c r="B176" s="21" t="s">
        <v>458</v>
      </c>
      <c r="C176" s="3" t="s">
        <v>425</v>
      </c>
      <c r="D176" s="21" t="s">
        <v>444</v>
      </c>
      <c r="E176" s="9" t="s">
        <v>34</v>
      </c>
      <c r="F176" s="34">
        <v>20016373</v>
      </c>
      <c r="G176" s="43" t="s">
        <v>111</v>
      </c>
      <c r="H176" s="3"/>
      <c r="I176" s="3"/>
      <c r="J176" s="28">
        <v>31</v>
      </c>
      <c r="K176" s="70">
        <v>17.02</v>
      </c>
      <c r="L176" s="71">
        <f t="shared" si="13"/>
        <v>527.62</v>
      </c>
      <c r="M176" s="34" t="s">
        <v>109</v>
      </c>
      <c r="N176" s="3" t="s">
        <v>109</v>
      </c>
      <c r="O176" s="45"/>
      <c r="P176" s="45"/>
      <c r="Q176" s="9" t="s">
        <v>109</v>
      </c>
      <c r="R176" s="155" t="s">
        <v>109</v>
      </c>
      <c r="S176" s="3" t="s">
        <v>109</v>
      </c>
      <c r="T176" s="158" t="s">
        <v>109</v>
      </c>
      <c r="U176" s="155"/>
      <c r="V176" s="169"/>
      <c r="W176" s="11" t="s">
        <v>109</v>
      </c>
      <c r="X176" s="3" t="s">
        <v>109</v>
      </c>
      <c r="Y176" s="3" t="s">
        <v>109</v>
      </c>
      <c r="Z176" s="3" t="s">
        <v>109</v>
      </c>
      <c r="AA176" s="28" t="s">
        <v>109</v>
      </c>
      <c r="AB176" s="34" t="s">
        <v>109</v>
      </c>
      <c r="AC176" s="3" t="s">
        <v>109</v>
      </c>
      <c r="AD176" s="3" t="s">
        <v>109</v>
      </c>
      <c r="AE176" s="28" t="s">
        <v>109</v>
      </c>
      <c r="AF176" s="107" t="s">
        <v>109</v>
      </c>
      <c r="AG176" s="3">
        <v>109</v>
      </c>
      <c r="AH176" s="106" t="s">
        <v>112</v>
      </c>
      <c r="AI176" s="27" t="s">
        <v>1270</v>
      </c>
      <c r="AJ176" s="34" t="s">
        <v>109</v>
      </c>
      <c r="AK176" s="28" t="s">
        <v>109</v>
      </c>
      <c r="AL176" s="52"/>
    </row>
    <row r="177" spans="1:38" x14ac:dyDescent="0.25">
      <c r="A177" s="3">
        <v>3</v>
      </c>
      <c r="B177" s="21" t="s">
        <v>458</v>
      </c>
      <c r="C177" s="3" t="s">
        <v>425</v>
      </c>
      <c r="D177" s="21" t="s">
        <v>445</v>
      </c>
      <c r="E177" s="9" t="s">
        <v>34</v>
      </c>
      <c r="F177" s="34">
        <v>20016373</v>
      </c>
      <c r="G177" s="43" t="s">
        <v>111</v>
      </c>
      <c r="H177" s="3"/>
      <c r="I177" s="3"/>
      <c r="J177" s="28">
        <v>31</v>
      </c>
      <c r="K177" s="70">
        <v>17.02</v>
      </c>
      <c r="L177" s="71">
        <f t="shared" si="13"/>
        <v>527.62</v>
      </c>
      <c r="M177" s="34" t="s">
        <v>109</v>
      </c>
      <c r="N177" s="3" t="s">
        <v>109</v>
      </c>
      <c r="O177" s="45"/>
      <c r="P177" s="45"/>
      <c r="Q177" s="9" t="s">
        <v>109</v>
      </c>
      <c r="R177" s="155" t="s">
        <v>109</v>
      </c>
      <c r="S177" s="3" t="s">
        <v>109</v>
      </c>
      <c r="T177" s="158" t="s">
        <v>109</v>
      </c>
      <c r="U177" s="155"/>
      <c r="V177" s="169"/>
      <c r="W177" s="11" t="s">
        <v>109</v>
      </c>
      <c r="X177" s="3" t="s">
        <v>109</v>
      </c>
      <c r="Y177" s="3" t="s">
        <v>109</v>
      </c>
      <c r="Z177" s="3" t="s">
        <v>109</v>
      </c>
      <c r="AA177" s="28" t="s">
        <v>109</v>
      </c>
      <c r="AB177" s="34" t="s">
        <v>109</v>
      </c>
      <c r="AC177" s="3" t="s">
        <v>109</v>
      </c>
      <c r="AD177" s="3" t="s">
        <v>109</v>
      </c>
      <c r="AE177" s="28" t="s">
        <v>109</v>
      </c>
      <c r="AF177" s="107" t="s">
        <v>109</v>
      </c>
      <c r="AG177" s="3">
        <v>110</v>
      </c>
      <c r="AH177" s="106" t="s">
        <v>112</v>
      </c>
      <c r="AI177" s="27" t="s">
        <v>1270</v>
      </c>
      <c r="AJ177" s="34" t="s">
        <v>109</v>
      </c>
      <c r="AK177" s="28" t="s">
        <v>109</v>
      </c>
      <c r="AL177" s="52"/>
    </row>
    <row r="178" spans="1:38" x14ac:dyDescent="0.25">
      <c r="A178" s="3">
        <v>3</v>
      </c>
      <c r="B178" s="21" t="s">
        <v>458</v>
      </c>
      <c r="C178" s="3" t="s">
        <v>425</v>
      </c>
      <c r="D178" s="21" t="s">
        <v>446</v>
      </c>
      <c r="E178" s="9" t="s">
        <v>34</v>
      </c>
      <c r="F178" s="34">
        <v>20016373</v>
      </c>
      <c r="G178" s="43" t="s">
        <v>111</v>
      </c>
      <c r="H178" s="3"/>
      <c r="I178" s="3"/>
      <c r="J178" s="28">
        <v>31</v>
      </c>
      <c r="K178" s="70">
        <v>17.02</v>
      </c>
      <c r="L178" s="71">
        <f t="shared" si="13"/>
        <v>527.62</v>
      </c>
      <c r="M178" s="34" t="s">
        <v>109</v>
      </c>
      <c r="N178" s="3" t="s">
        <v>109</v>
      </c>
      <c r="O178" s="45"/>
      <c r="P178" s="45"/>
      <c r="Q178" s="9" t="s">
        <v>109</v>
      </c>
      <c r="R178" s="155" t="s">
        <v>109</v>
      </c>
      <c r="S178" s="3" t="s">
        <v>109</v>
      </c>
      <c r="T178" s="158" t="s">
        <v>109</v>
      </c>
      <c r="U178" s="155"/>
      <c r="V178" s="169"/>
      <c r="W178" s="11" t="s">
        <v>109</v>
      </c>
      <c r="X178" s="3" t="s">
        <v>109</v>
      </c>
      <c r="Y178" s="3" t="s">
        <v>109</v>
      </c>
      <c r="Z178" s="3" t="s">
        <v>109</v>
      </c>
      <c r="AA178" s="28" t="s">
        <v>109</v>
      </c>
      <c r="AB178" s="34" t="s">
        <v>109</v>
      </c>
      <c r="AC178" s="3" t="s">
        <v>109</v>
      </c>
      <c r="AD178" s="3" t="s">
        <v>109</v>
      </c>
      <c r="AE178" s="28" t="s">
        <v>109</v>
      </c>
      <c r="AF178" s="107" t="s">
        <v>109</v>
      </c>
      <c r="AG178" s="3">
        <v>111</v>
      </c>
      <c r="AH178" s="106" t="s">
        <v>112</v>
      </c>
      <c r="AI178" s="27" t="s">
        <v>1270</v>
      </c>
      <c r="AJ178" s="34" t="s">
        <v>109</v>
      </c>
      <c r="AK178" s="28" t="s">
        <v>109</v>
      </c>
      <c r="AL178" s="52"/>
    </row>
    <row r="179" spans="1:38" x14ac:dyDescent="0.25">
      <c r="A179" s="3">
        <v>3</v>
      </c>
      <c r="B179" s="21" t="s">
        <v>458</v>
      </c>
      <c r="C179" s="3" t="s">
        <v>425</v>
      </c>
      <c r="D179" s="21" t="s">
        <v>447</v>
      </c>
      <c r="E179" s="9" t="s">
        <v>34</v>
      </c>
      <c r="F179" s="34">
        <v>20016373</v>
      </c>
      <c r="G179" s="43" t="s">
        <v>111</v>
      </c>
      <c r="H179" s="3"/>
      <c r="I179" s="3"/>
      <c r="J179" s="28">
        <v>31</v>
      </c>
      <c r="K179" s="70">
        <v>17.02</v>
      </c>
      <c r="L179" s="71">
        <f t="shared" si="13"/>
        <v>527.62</v>
      </c>
      <c r="M179" s="34" t="s">
        <v>109</v>
      </c>
      <c r="N179" s="3" t="s">
        <v>109</v>
      </c>
      <c r="O179" s="45"/>
      <c r="P179" s="45"/>
      <c r="Q179" s="9" t="s">
        <v>109</v>
      </c>
      <c r="R179" s="155" t="s">
        <v>109</v>
      </c>
      <c r="S179" s="3" t="s">
        <v>109</v>
      </c>
      <c r="T179" s="158" t="s">
        <v>109</v>
      </c>
      <c r="U179" s="155"/>
      <c r="V179" s="169"/>
      <c r="W179" s="11" t="s">
        <v>109</v>
      </c>
      <c r="X179" s="3" t="s">
        <v>109</v>
      </c>
      <c r="Y179" s="3" t="s">
        <v>109</v>
      </c>
      <c r="Z179" s="3" t="s">
        <v>109</v>
      </c>
      <c r="AA179" s="28" t="s">
        <v>109</v>
      </c>
      <c r="AB179" s="34" t="s">
        <v>109</v>
      </c>
      <c r="AC179" s="3" t="s">
        <v>109</v>
      </c>
      <c r="AD179" s="3" t="s">
        <v>109</v>
      </c>
      <c r="AE179" s="28" t="s">
        <v>109</v>
      </c>
      <c r="AF179" s="107" t="s">
        <v>109</v>
      </c>
      <c r="AG179" s="3">
        <v>112</v>
      </c>
      <c r="AH179" s="106" t="s">
        <v>112</v>
      </c>
      <c r="AI179" s="27" t="s">
        <v>1270</v>
      </c>
      <c r="AJ179" s="34" t="s">
        <v>109</v>
      </c>
      <c r="AK179" s="28" t="s">
        <v>109</v>
      </c>
      <c r="AL179" s="52"/>
    </row>
    <row r="180" spans="1:38" x14ac:dyDescent="0.25">
      <c r="A180" s="3">
        <v>3</v>
      </c>
      <c r="B180" s="21" t="s">
        <v>458</v>
      </c>
      <c r="C180" s="3" t="s">
        <v>425</v>
      </c>
      <c r="D180" s="21" t="s">
        <v>448</v>
      </c>
      <c r="E180" s="9" t="s">
        <v>34</v>
      </c>
      <c r="F180" s="34">
        <v>20016373</v>
      </c>
      <c r="G180" s="43" t="s">
        <v>111</v>
      </c>
      <c r="H180" s="3"/>
      <c r="I180" s="3"/>
      <c r="J180" s="28">
        <v>31</v>
      </c>
      <c r="K180" s="70">
        <v>17.02</v>
      </c>
      <c r="L180" s="71">
        <f t="shared" si="13"/>
        <v>527.62</v>
      </c>
      <c r="M180" s="34" t="s">
        <v>109</v>
      </c>
      <c r="N180" s="3" t="s">
        <v>109</v>
      </c>
      <c r="O180" s="45"/>
      <c r="P180" s="45"/>
      <c r="Q180" s="9" t="s">
        <v>109</v>
      </c>
      <c r="R180" s="155" t="s">
        <v>109</v>
      </c>
      <c r="S180" s="3" t="s">
        <v>109</v>
      </c>
      <c r="T180" s="158" t="s">
        <v>109</v>
      </c>
      <c r="U180" s="155"/>
      <c r="V180" s="169"/>
      <c r="W180" s="11" t="s">
        <v>109</v>
      </c>
      <c r="X180" s="3" t="s">
        <v>109</v>
      </c>
      <c r="Y180" s="3" t="s">
        <v>109</v>
      </c>
      <c r="Z180" s="3" t="s">
        <v>109</v>
      </c>
      <c r="AA180" s="28" t="s">
        <v>109</v>
      </c>
      <c r="AB180" s="34" t="s">
        <v>109</v>
      </c>
      <c r="AC180" s="3" t="s">
        <v>109</v>
      </c>
      <c r="AD180" s="3" t="s">
        <v>109</v>
      </c>
      <c r="AE180" s="28" t="s">
        <v>109</v>
      </c>
      <c r="AF180" s="107" t="s">
        <v>109</v>
      </c>
      <c r="AG180" s="3">
        <v>113</v>
      </c>
      <c r="AH180" s="106" t="s">
        <v>112</v>
      </c>
      <c r="AI180" s="27" t="s">
        <v>1270</v>
      </c>
      <c r="AJ180" s="34" t="s">
        <v>109</v>
      </c>
      <c r="AK180" s="28" t="s">
        <v>109</v>
      </c>
      <c r="AL180" s="52"/>
    </row>
    <row r="181" spans="1:38" x14ac:dyDescent="0.25">
      <c r="A181" s="3">
        <v>3</v>
      </c>
      <c r="B181" s="21" t="s">
        <v>458</v>
      </c>
      <c r="C181" s="3" t="s">
        <v>425</v>
      </c>
      <c r="D181" s="21" t="s">
        <v>449</v>
      </c>
      <c r="E181" s="9" t="s">
        <v>34</v>
      </c>
      <c r="F181" s="34">
        <v>20016373</v>
      </c>
      <c r="G181" s="43" t="s">
        <v>111</v>
      </c>
      <c r="H181" s="3"/>
      <c r="I181" s="3"/>
      <c r="J181" s="28">
        <v>31</v>
      </c>
      <c r="K181" s="70">
        <v>17.02</v>
      </c>
      <c r="L181" s="71">
        <f t="shared" si="13"/>
        <v>527.62</v>
      </c>
      <c r="M181" s="34" t="s">
        <v>109</v>
      </c>
      <c r="N181" s="3" t="s">
        <v>109</v>
      </c>
      <c r="O181" s="45"/>
      <c r="P181" s="45"/>
      <c r="Q181" s="9" t="s">
        <v>109</v>
      </c>
      <c r="R181" s="155" t="s">
        <v>109</v>
      </c>
      <c r="S181" s="3" t="s">
        <v>109</v>
      </c>
      <c r="T181" s="158" t="s">
        <v>109</v>
      </c>
      <c r="U181" s="155"/>
      <c r="V181" s="169"/>
      <c r="W181" s="11" t="s">
        <v>109</v>
      </c>
      <c r="X181" s="3" t="s">
        <v>109</v>
      </c>
      <c r="Y181" s="3" t="s">
        <v>109</v>
      </c>
      <c r="Z181" s="3" t="s">
        <v>109</v>
      </c>
      <c r="AA181" s="28" t="s">
        <v>109</v>
      </c>
      <c r="AB181" s="34" t="s">
        <v>109</v>
      </c>
      <c r="AC181" s="3" t="s">
        <v>109</v>
      </c>
      <c r="AD181" s="3" t="s">
        <v>109</v>
      </c>
      <c r="AE181" s="28" t="s">
        <v>109</v>
      </c>
      <c r="AF181" s="107" t="s">
        <v>109</v>
      </c>
      <c r="AG181" s="3">
        <v>114</v>
      </c>
      <c r="AH181" s="106" t="s">
        <v>112</v>
      </c>
      <c r="AI181" s="27" t="s">
        <v>1270</v>
      </c>
      <c r="AJ181" s="34" t="s">
        <v>109</v>
      </c>
      <c r="AK181" s="28" t="s">
        <v>109</v>
      </c>
      <c r="AL181" s="52"/>
    </row>
    <row r="182" spans="1:38" x14ac:dyDescent="0.25">
      <c r="A182" s="3">
        <v>3</v>
      </c>
      <c r="B182" s="21" t="s">
        <v>458</v>
      </c>
      <c r="C182" s="3" t="s">
        <v>425</v>
      </c>
      <c r="D182" s="21" t="s">
        <v>450</v>
      </c>
      <c r="E182" s="9" t="s">
        <v>34</v>
      </c>
      <c r="F182" s="34">
        <v>20016373</v>
      </c>
      <c r="G182" s="43" t="s">
        <v>111</v>
      </c>
      <c r="H182" s="3"/>
      <c r="I182" s="3"/>
      <c r="J182" s="28">
        <v>10</v>
      </c>
      <c r="K182" s="70">
        <v>17.02</v>
      </c>
      <c r="L182" s="71">
        <f t="shared" si="13"/>
        <v>170.2</v>
      </c>
      <c r="M182" s="34">
        <v>30005613</v>
      </c>
      <c r="N182" s="2" t="s">
        <v>125</v>
      </c>
      <c r="O182" s="3" t="s">
        <v>687</v>
      </c>
      <c r="P182" s="3" t="s">
        <v>686</v>
      </c>
      <c r="Q182" s="9" t="s">
        <v>457</v>
      </c>
      <c r="R182" s="155" t="s">
        <v>109</v>
      </c>
      <c r="S182" s="3" t="s">
        <v>109</v>
      </c>
      <c r="T182" s="158" t="s">
        <v>109</v>
      </c>
      <c r="U182" s="155"/>
      <c r="V182" s="169"/>
      <c r="W182" s="11" t="s">
        <v>109</v>
      </c>
      <c r="X182" s="3" t="s">
        <v>109</v>
      </c>
      <c r="Y182" s="3" t="s">
        <v>109</v>
      </c>
      <c r="Z182" s="3" t="s">
        <v>109</v>
      </c>
      <c r="AA182" s="28" t="s">
        <v>109</v>
      </c>
      <c r="AB182" s="34" t="s">
        <v>109</v>
      </c>
      <c r="AC182" s="3" t="s">
        <v>109</v>
      </c>
      <c r="AD182" s="3" t="s">
        <v>109</v>
      </c>
      <c r="AE182" s="28" t="s">
        <v>109</v>
      </c>
      <c r="AF182" s="107" t="s">
        <v>109</v>
      </c>
      <c r="AG182" s="3"/>
      <c r="AH182" s="96"/>
      <c r="AI182" s="76"/>
      <c r="AJ182" s="34" t="s">
        <v>109</v>
      </c>
      <c r="AK182" s="28" t="s">
        <v>109</v>
      </c>
      <c r="AL182" s="52"/>
    </row>
    <row r="183" spans="1:38" x14ac:dyDescent="0.25">
      <c r="A183" s="3">
        <v>3</v>
      </c>
      <c r="B183" s="21" t="s">
        <v>458</v>
      </c>
      <c r="C183" s="3" t="s">
        <v>425</v>
      </c>
      <c r="D183" s="21" t="s">
        <v>451</v>
      </c>
      <c r="E183" s="9" t="s">
        <v>34</v>
      </c>
      <c r="F183" s="34">
        <v>20016373</v>
      </c>
      <c r="G183" s="43" t="s">
        <v>111</v>
      </c>
      <c r="H183" s="3"/>
      <c r="I183" s="3"/>
      <c r="J183" s="28">
        <v>10</v>
      </c>
      <c r="K183" s="70">
        <v>17.02</v>
      </c>
      <c r="L183" s="71">
        <f t="shared" si="13"/>
        <v>170.2</v>
      </c>
      <c r="M183" s="34">
        <v>30005613</v>
      </c>
      <c r="N183" s="2" t="s">
        <v>125</v>
      </c>
      <c r="O183" s="3" t="s">
        <v>688</v>
      </c>
      <c r="P183" s="3" t="s">
        <v>686</v>
      </c>
      <c r="Q183" s="9" t="s">
        <v>457</v>
      </c>
      <c r="R183" s="155" t="s">
        <v>109</v>
      </c>
      <c r="S183" s="3" t="s">
        <v>109</v>
      </c>
      <c r="T183" s="158" t="s">
        <v>109</v>
      </c>
      <c r="U183" s="155"/>
      <c r="V183" s="169"/>
      <c r="W183" s="11" t="s">
        <v>109</v>
      </c>
      <c r="X183" s="3" t="s">
        <v>109</v>
      </c>
      <c r="Y183" s="3" t="s">
        <v>109</v>
      </c>
      <c r="Z183" s="3" t="s">
        <v>109</v>
      </c>
      <c r="AA183" s="28" t="s">
        <v>109</v>
      </c>
      <c r="AB183" s="34" t="s">
        <v>109</v>
      </c>
      <c r="AC183" s="3" t="s">
        <v>109</v>
      </c>
      <c r="AD183" s="3" t="s">
        <v>109</v>
      </c>
      <c r="AE183" s="28" t="s">
        <v>109</v>
      </c>
      <c r="AF183" s="107" t="s">
        <v>109</v>
      </c>
      <c r="AG183" s="3"/>
      <c r="AH183" s="96"/>
      <c r="AI183" s="76"/>
      <c r="AJ183" s="34" t="s">
        <v>109</v>
      </c>
      <c r="AK183" s="28" t="s">
        <v>109</v>
      </c>
      <c r="AL183" s="52"/>
    </row>
    <row r="184" spans="1:38" ht="16.5" customHeight="1" x14ac:dyDescent="0.25">
      <c r="A184" s="3">
        <v>3</v>
      </c>
      <c r="B184" s="21" t="s">
        <v>458</v>
      </c>
      <c r="C184" s="3" t="s">
        <v>425</v>
      </c>
      <c r="D184" s="21" t="s">
        <v>452</v>
      </c>
      <c r="E184" s="23" t="s">
        <v>8</v>
      </c>
      <c r="F184" s="34">
        <v>20016373</v>
      </c>
      <c r="G184" s="43" t="s">
        <v>111</v>
      </c>
      <c r="H184" s="3"/>
      <c r="I184" s="3"/>
      <c r="J184" s="28">
        <v>21</v>
      </c>
      <c r="K184" s="70">
        <v>17.02</v>
      </c>
      <c r="L184" s="71">
        <f t="shared" si="13"/>
        <v>357.42</v>
      </c>
      <c r="M184" s="34" t="s">
        <v>109</v>
      </c>
      <c r="N184" s="3" t="s">
        <v>109</v>
      </c>
      <c r="O184" s="45"/>
      <c r="P184" s="45"/>
      <c r="Q184" s="9" t="s">
        <v>109</v>
      </c>
      <c r="R184" s="155" t="s">
        <v>109</v>
      </c>
      <c r="S184" s="3" t="s">
        <v>109</v>
      </c>
      <c r="T184" s="158" t="s">
        <v>109</v>
      </c>
      <c r="U184" s="155"/>
      <c r="V184" s="169"/>
      <c r="W184" s="11" t="s">
        <v>109</v>
      </c>
      <c r="X184" s="3" t="s">
        <v>109</v>
      </c>
      <c r="Y184" s="3" t="s">
        <v>109</v>
      </c>
      <c r="Z184" s="3" t="s">
        <v>109</v>
      </c>
      <c r="AA184" s="28" t="s">
        <v>109</v>
      </c>
      <c r="AB184" s="34" t="s">
        <v>109</v>
      </c>
      <c r="AC184" s="3" t="s">
        <v>109</v>
      </c>
      <c r="AD184" s="3" t="s">
        <v>109</v>
      </c>
      <c r="AE184" s="28" t="s">
        <v>109</v>
      </c>
      <c r="AF184" s="107" t="s">
        <v>109</v>
      </c>
      <c r="AG184" s="3">
        <v>115</v>
      </c>
      <c r="AH184" s="105" t="s">
        <v>129</v>
      </c>
      <c r="AI184" s="27" t="s">
        <v>1270</v>
      </c>
      <c r="AJ184" s="34" t="s">
        <v>109</v>
      </c>
      <c r="AK184" s="28" t="s">
        <v>109</v>
      </c>
      <c r="AL184" s="52"/>
    </row>
    <row r="185" spans="1:38" x14ac:dyDescent="0.25">
      <c r="A185" s="3">
        <v>3</v>
      </c>
      <c r="B185" s="21" t="s">
        <v>458</v>
      </c>
      <c r="C185" s="3" t="s">
        <v>425</v>
      </c>
      <c r="D185" s="21" t="s">
        <v>456</v>
      </c>
      <c r="E185" s="23" t="s">
        <v>8</v>
      </c>
      <c r="F185" s="34">
        <v>20016378</v>
      </c>
      <c r="G185" s="55" t="s">
        <v>455</v>
      </c>
      <c r="H185" s="21" t="s">
        <v>456</v>
      </c>
      <c r="I185" s="3"/>
      <c r="J185" s="28">
        <v>68</v>
      </c>
      <c r="K185" s="70">
        <v>16.3</v>
      </c>
      <c r="L185" s="71">
        <f t="shared" si="13"/>
        <v>1108.4000000000001</v>
      </c>
      <c r="M185" s="34">
        <v>30005613</v>
      </c>
      <c r="N185" s="2" t="s">
        <v>125</v>
      </c>
      <c r="O185" s="45"/>
      <c r="P185" s="3"/>
      <c r="Q185" s="9" t="s">
        <v>176</v>
      </c>
      <c r="R185" s="155" t="s">
        <v>109</v>
      </c>
      <c r="S185" s="3" t="s">
        <v>109</v>
      </c>
      <c r="T185" s="158" t="s">
        <v>109</v>
      </c>
      <c r="U185" s="155"/>
      <c r="V185" s="169"/>
      <c r="W185" s="11">
        <v>20016490</v>
      </c>
      <c r="X185" s="3" t="s">
        <v>110</v>
      </c>
      <c r="Y185" s="3">
        <v>4</v>
      </c>
      <c r="Z185" s="3">
        <v>2</v>
      </c>
      <c r="AA185" s="28">
        <v>8</v>
      </c>
      <c r="AB185" s="34" t="s">
        <v>109</v>
      </c>
      <c r="AC185" s="3" t="s">
        <v>109</v>
      </c>
      <c r="AD185" s="3" t="s">
        <v>109</v>
      </c>
      <c r="AE185" s="28" t="s">
        <v>109</v>
      </c>
      <c r="AF185" s="105" t="s">
        <v>129</v>
      </c>
      <c r="AG185" s="3">
        <v>116</v>
      </c>
      <c r="AH185" s="105" t="s">
        <v>129</v>
      </c>
      <c r="AI185" s="27" t="s">
        <v>1270</v>
      </c>
      <c r="AJ185" s="34">
        <v>66</v>
      </c>
      <c r="AK185" s="28">
        <f>AJ185+AJ185*12%</f>
        <v>73.92</v>
      </c>
      <c r="AL185" s="52"/>
    </row>
    <row r="186" spans="1:38" x14ac:dyDescent="0.25">
      <c r="A186" s="3">
        <v>3</v>
      </c>
      <c r="B186" s="21" t="s">
        <v>512</v>
      </c>
      <c r="C186" s="3" t="s">
        <v>425</v>
      </c>
      <c r="D186" s="21" t="s">
        <v>682</v>
      </c>
      <c r="E186" s="23" t="s">
        <v>288</v>
      </c>
      <c r="F186" s="34">
        <v>20016378</v>
      </c>
      <c r="G186" s="55" t="s">
        <v>455</v>
      </c>
      <c r="H186" s="3" t="s">
        <v>690</v>
      </c>
      <c r="I186" s="3" t="s">
        <v>689</v>
      </c>
      <c r="J186" s="28">
        <v>600</v>
      </c>
      <c r="K186" s="70">
        <v>16.3</v>
      </c>
      <c r="L186" s="71">
        <f t="shared" si="13"/>
        <v>9780</v>
      </c>
      <c r="M186" s="34">
        <v>30005613</v>
      </c>
      <c r="N186" s="2" t="s">
        <v>125</v>
      </c>
      <c r="O186" s="45"/>
      <c r="P186" s="3"/>
      <c r="Q186" s="9" t="s">
        <v>213</v>
      </c>
      <c r="R186" s="155" t="s">
        <v>109</v>
      </c>
      <c r="S186" s="3" t="s">
        <v>109</v>
      </c>
      <c r="T186" s="158" t="s">
        <v>109</v>
      </c>
      <c r="U186" s="155"/>
      <c r="V186" s="169"/>
      <c r="W186" s="11">
        <v>20016490</v>
      </c>
      <c r="X186" s="3" t="s">
        <v>110</v>
      </c>
      <c r="Y186" s="3">
        <v>11</v>
      </c>
      <c r="Z186" s="3">
        <v>1</v>
      </c>
      <c r="AA186" s="28">
        <f>Y186*Z186</f>
        <v>11</v>
      </c>
      <c r="AB186" s="34" t="s">
        <v>109</v>
      </c>
      <c r="AC186" s="3" t="s">
        <v>109</v>
      </c>
      <c r="AD186" s="3" t="s">
        <v>109</v>
      </c>
      <c r="AE186" s="28" t="s">
        <v>109</v>
      </c>
      <c r="AF186" s="106" t="s">
        <v>112</v>
      </c>
      <c r="AG186" s="3">
        <v>117</v>
      </c>
      <c r="AH186" s="106" t="s">
        <v>112</v>
      </c>
      <c r="AI186" s="27" t="s">
        <v>1270</v>
      </c>
      <c r="AJ186" s="34">
        <v>72</v>
      </c>
      <c r="AK186" s="28">
        <f>AJ186+AJ186*12%</f>
        <v>80.64</v>
      </c>
      <c r="AL186" s="52"/>
    </row>
    <row r="187" spans="1:38" x14ac:dyDescent="0.25">
      <c r="A187" s="3">
        <v>3</v>
      </c>
      <c r="B187" s="21" t="s">
        <v>458</v>
      </c>
      <c r="C187" s="3" t="s">
        <v>425</v>
      </c>
      <c r="D187" s="21" t="s">
        <v>685</v>
      </c>
      <c r="E187" s="23" t="s">
        <v>288</v>
      </c>
      <c r="F187" s="34">
        <v>20016378</v>
      </c>
      <c r="G187" s="55" t="s">
        <v>455</v>
      </c>
      <c r="H187" s="3" t="s">
        <v>692</v>
      </c>
      <c r="I187" s="3" t="s">
        <v>691</v>
      </c>
      <c r="J187" s="28">
        <v>600</v>
      </c>
      <c r="K187" s="70">
        <v>16.3</v>
      </c>
      <c r="L187" s="71">
        <f t="shared" si="13"/>
        <v>9780</v>
      </c>
      <c r="M187" s="34">
        <v>30005613</v>
      </c>
      <c r="N187" s="2" t="s">
        <v>125</v>
      </c>
      <c r="O187" s="45"/>
      <c r="P187" s="45"/>
      <c r="Q187" s="9" t="s">
        <v>213</v>
      </c>
      <c r="R187" s="155" t="s">
        <v>109</v>
      </c>
      <c r="S187" s="3" t="s">
        <v>109</v>
      </c>
      <c r="T187" s="158" t="s">
        <v>109</v>
      </c>
      <c r="U187" s="155"/>
      <c r="V187" s="169"/>
      <c r="W187" s="11">
        <v>20016490</v>
      </c>
      <c r="X187" s="3" t="s">
        <v>110</v>
      </c>
      <c r="Y187" s="3">
        <v>11</v>
      </c>
      <c r="Z187" s="3">
        <v>1</v>
      </c>
      <c r="AA187" s="28">
        <f>Y187*Z187</f>
        <v>11</v>
      </c>
      <c r="AB187" s="34" t="s">
        <v>109</v>
      </c>
      <c r="AC187" s="3" t="s">
        <v>109</v>
      </c>
      <c r="AD187" s="3" t="s">
        <v>109</v>
      </c>
      <c r="AE187" s="28" t="s">
        <v>109</v>
      </c>
      <c r="AF187" s="106" t="s">
        <v>112</v>
      </c>
      <c r="AG187" s="3">
        <v>118</v>
      </c>
      <c r="AH187" s="106" t="s">
        <v>112</v>
      </c>
      <c r="AI187" s="27" t="s">
        <v>1270</v>
      </c>
      <c r="AJ187" s="34">
        <v>69</v>
      </c>
      <c r="AK187" s="28">
        <f>AJ187+AJ187*12%</f>
        <v>77.28</v>
      </c>
      <c r="AL187" s="52"/>
    </row>
    <row r="188" spans="1:38" x14ac:dyDescent="0.25">
      <c r="A188" s="3">
        <v>3</v>
      </c>
      <c r="B188" s="21" t="s">
        <v>458</v>
      </c>
      <c r="C188" s="3" t="s">
        <v>425</v>
      </c>
      <c r="D188" s="21" t="s">
        <v>683</v>
      </c>
      <c r="E188" s="9" t="s">
        <v>34</v>
      </c>
      <c r="F188" s="34">
        <v>20016378</v>
      </c>
      <c r="G188" s="55" t="s">
        <v>455</v>
      </c>
      <c r="H188" s="3" t="s">
        <v>694</v>
      </c>
      <c r="I188" s="3" t="s">
        <v>693</v>
      </c>
      <c r="J188" s="28">
        <v>300</v>
      </c>
      <c r="K188" s="70">
        <v>16.3</v>
      </c>
      <c r="L188" s="71">
        <f t="shared" si="13"/>
        <v>4890</v>
      </c>
      <c r="M188" s="34">
        <v>30005613</v>
      </c>
      <c r="N188" s="2" t="s">
        <v>125</v>
      </c>
      <c r="O188" s="3" t="s">
        <v>696</v>
      </c>
      <c r="P188" s="3" t="s">
        <v>695</v>
      </c>
      <c r="Q188" s="9" t="s">
        <v>123</v>
      </c>
      <c r="R188" s="155" t="s">
        <v>109</v>
      </c>
      <c r="S188" s="3" t="s">
        <v>109</v>
      </c>
      <c r="T188" s="158" t="s">
        <v>109</v>
      </c>
      <c r="U188" s="155"/>
      <c r="V188" s="169"/>
      <c r="W188" s="11" t="s">
        <v>109</v>
      </c>
      <c r="X188" s="3" t="s">
        <v>109</v>
      </c>
      <c r="Y188" s="3" t="s">
        <v>109</v>
      </c>
      <c r="Z188" s="3" t="s">
        <v>109</v>
      </c>
      <c r="AA188" s="28" t="s">
        <v>109</v>
      </c>
      <c r="AB188" s="34" t="s">
        <v>109</v>
      </c>
      <c r="AC188" s="3" t="s">
        <v>109</v>
      </c>
      <c r="AD188" s="3" t="s">
        <v>109</v>
      </c>
      <c r="AE188" s="28" t="s">
        <v>109</v>
      </c>
      <c r="AF188" s="105" t="s">
        <v>129</v>
      </c>
      <c r="AG188" s="3">
        <v>119</v>
      </c>
      <c r="AH188" s="105" t="s">
        <v>129</v>
      </c>
      <c r="AI188" s="27" t="s">
        <v>1270</v>
      </c>
      <c r="AJ188" s="34">
        <v>64</v>
      </c>
      <c r="AK188" s="28">
        <f>AJ188+AJ188*12%</f>
        <v>71.680000000000007</v>
      </c>
      <c r="AL188" s="52"/>
    </row>
    <row r="189" spans="1:38" x14ac:dyDescent="0.25">
      <c r="A189" s="3">
        <v>3</v>
      </c>
      <c r="B189" s="21" t="s">
        <v>458</v>
      </c>
      <c r="C189" s="3" t="s">
        <v>425</v>
      </c>
      <c r="D189" s="21" t="s">
        <v>684</v>
      </c>
      <c r="E189" s="9" t="s">
        <v>34</v>
      </c>
      <c r="F189" s="34">
        <v>20016373</v>
      </c>
      <c r="G189" s="43" t="s">
        <v>111</v>
      </c>
      <c r="H189" s="3"/>
      <c r="I189" s="3"/>
      <c r="J189" s="28">
        <v>10</v>
      </c>
      <c r="K189" s="70">
        <v>17.02</v>
      </c>
      <c r="L189" s="71">
        <f t="shared" ref="L189:L191" si="14">J189*K189</f>
        <v>170.2</v>
      </c>
      <c r="M189" s="34">
        <v>30005613</v>
      </c>
      <c r="N189" s="2" t="s">
        <v>125</v>
      </c>
      <c r="O189" s="45"/>
      <c r="P189" s="45"/>
      <c r="Q189" s="9" t="s">
        <v>123</v>
      </c>
      <c r="R189" s="155" t="s">
        <v>109</v>
      </c>
      <c r="S189" s="3" t="s">
        <v>109</v>
      </c>
      <c r="T189" s="158" t="s">
        <v>109</v>
      </c>
      <c r="U189" s="155"/>
      <c r="V189" s="169"/>
      <c r="W189" s="11" t="s">
        <v>109</v>
      </c>
      <c r="X189" s="3" t="s">
        <v>109</v>
      </c>
      <c r="Y189" s="3" t="s">
        <v>109</v>
      </c>
      <c r="Z189" s="3" t="s">
        <v>109</v>
      </c>
      <c r="AA189" s="28" t="s">
        <v>109</v>
      </c>
      <c r="AB189" s="34" t="s">
        <v>109</v>
      </c>
      <c r="AC189" s="3" t="s">
        <v>109</v>
      </c>
      <c r="AD189" s="3" t="s">
        <v>109</v>
      </c>
      <c r="AE189" s="28" t="s">
        <v>109</v>
      </c>
      <c r="AF189" s="107" t="s">
        <v>109</v>
      </c>
      <c r="AG189" s="3"/>
      <c r="AH189" s="96"/>
      <c r="AI189" s="76"/>
      <c r="AJ189" s="34" t="s">
        <v>109</v>
      </c>
      <c r="AK189" s="28" t="s">
        <v>109</v>
      </c>
      <c r="AL189" s="52"/>
    </row>
    <row r="190" spans="1:38" x14ac:dyDescent="0.25">
      <c r="A190" s="3">
        <v>3</v>
      </c>
      <c r="B190" s="21" t="s">
        <v>458</v>
      </c>
      <c r="C190" s="3" t="s">
        <v>425</v>
      </c>
      <c r="D190" s="21" t="s">
        <v>453</v>
      </c>
      <c r="E190" s="9" t="s">
        <v>34</v>
      </c>
      <c r="F190" s="34">
        <v>20014819</v>
      </c>
      <c r="G190" s="16" t="s">
        <v>296</v>
      </c>
      <c r="H190" s="3"/>
      <c r="I190" s="3"/>
      <c r="J190" s="28">
        <v>45</v>
      </c>
      <c r="K190" s="70">
        <v>10.98</v>
      </c>
      <c r="L190" s="71">
        <f t="shared" si="14"/>
        <v>494.1</v>
      </c>
      <c r="M190" s="34" t="s">
        <v>109</v>
      </c>
      <c r="N190" s="3" t="s">
        <v>109</v>
      </c>
      <c r="O190" s="3" t="s">
        <v>109</v>
      </c>
      <c r="P190" s="3" t="s">
        <v>109</v>
      </c>
      <c r="Q190" s="9" t="s">
        <v>109</v>
      </c>
      <c r="R190" s="155" t="s">
        <v>109</v>
      </c>
      <c r="S190" s="3" t="s">
        <v>109</v>
      </c>
      <c r="T190" s="158" t="s">
        <v>109</v>
      </c>
      <c r="U190" s="155"/>
      <c r="V190" s="169"/>
      <c r="W190" s="11" t="s">
        <v>109</v>
      </c>
      <c r="X190" s="3" t="s">
        <v>109</v>
      </c>
      <c r="Y190" s="3" t="s">
        <v>109</v>
      </c>
      <c r="Z190" s="3" t="s">
        <v>109</v>
      </c>
      <c r="AA190" s="28" t="s">
        <v>109</v>
      </c>
      <c r="AB190" s="34" t="s">
        <v>109</v>
      </c>
      <c r="AC190" s="3" t="s">
        <v>109</v>
      </c>
      <c r="AD190" s="3" t="s">
        <v>109</v>
      </c>
      <c r="AE190" s="28" t="s">
        <v>109</v>
      </c>
      <c r="AF190" s="105" t="s">
        <v>129</v>
      </c>
      <c r="AG190" s="3">
        <v>120</v>
      </c>
      <c r="AH190" s="105" t="s">
        <v>129</v>
      </c>
      <c r="AI190" s="27" t="s">
        <v>1270</v>
      </c>
      <c r="AJ190" s="34" t="s">
        <v>109</v>
      </c>
      <c r="AK190" s="28" t="s">
        <v>109</v>
      </c>
      <c r="AL190" s="52"/>
    </row>
    <row r="191" spans="1:38" x14ac:dyDescent="0.25">
      <c r="A191" s="3">
        <v>3</v>
      </c>
      <c r="B191" s="21" t="s">
        <v>458</v>
      </c>
      <c r="C191" s="3" t="s">
        <v>425</v>
      </c>
      <c r="D191" s="21" t="s">
        <v>454</v>
      </c>
      <c r="E191" s="9" t="s">
        <v>34</v>
      </c>
      <c r="F191" s="34">
        <v>20014819</v>
      </c>
      <c r="G191" s="16" t="s">
        <v>296</v>
      </c>
      <c r="H191" s="3"/>
      <c r="I191" s="3"/>
      <c r="J191" s="28">
        <v>45</v>
      </c>
      <c r="K191" s="70">
        <v>10.98</v>
      </c>
      <c r="L191" s="71">
        <f t="shared" si="14"/>
        <v>494.1</v>
      </c>
      <c r="M191" s="34" t="s">
        <v>109</v>
      </c>
      <c r="N191" s="3" t="s">
        <v>109</v>
      </c>
      <c r="O191" s="3" t="s">
        <v>109</v>
      </c>
      <c r="P191" s="3" t="s">
        <v>109</v>
      </c>
      <c r="Q191" s="9" t="s">
        <v>109</v>
      </c>
      <c r="R191" s="155" t="s">
        <v>109</v>
      </c>
      <c r="S191" s="3" t="s">
        <v>109</v>
      </c>
      <c r="T191" s="158" t="s">
        <v>109</v>
      </c>
      <c r="U191" s="155"/>
      <c r="V191" s="169"/>
      <c r="W191" s="11" t="s">
        <v>109</v>
      </c>
      <c r="X191" s="3" t="s">
        <v>109</v>
      </c>
      <c r="Y191" s="3" t="s">
        <v>109</v>
      </c>
      <c r="Z191" s="3" t="s">
        <v>109</v>
      </c>
      <c r="AA191" s="28" t="s">
        <v>109</v>
      </c>
      <c r="AB191" s="34" t="s">
        <v>109</v>
      </c>
      <c r="AC191" s="3" t="s">
        <v>109</v>
      </c>
      <c r="AD191" s="3" t="s">
        <v>109</v>
      </c>
      <c r="AE191" s="28" t="s">
        <v>109</v>
      </c>
      <c r="AF191" s="105" t="s">
        <v>129</v>
      </c>
      <c r="AG191" s="3">
        <v>121</v>
      </c>
      <c r="AH191" s="105" t="s">
        <v>129</v>
      </c>
      <c r="AI191" s="27" t="s">
        <v>1270</v>
      </c>
      <c r="AJ191" s="34" t="s">
        <v>109</v>
      </c>
      <c r="AK191" s="28" t="s">
        <v>109</v>
      </c>
      <c r="AL191" s="52"/>
    </row>
    <row r="192" spans="1:38" x14ac:dyDescent="0.25">
      <c r="A192" s="3">
        <v>3</v>
      </c>
      <c r="B192" s="21" t="s">
        <v>207</v>
      </c>
      <c r="C192" s="3" t="s">
        <v>206</v>
      </c>
      <c r="D192" s="21" t="s">
        <v>483</v>
      </c>
      <c r="E192" s="9" t="s">
        <v>34</v>
      </c>
      <c r="F192" s="34">
        <v>20016373</v>
      </c>
      <c r="G192" s="43" t="s">
        <v>111</v>
      </c>
      <c r="H192" s="3" t="s">
        <v>488</v>
      </c>
      <c r="I192" s="3" t="s">
        <v>109</v>
      </c>
      <c r="J192" s="28">
        <v>5</v>
      </c>
      <c r="K192" s="70">
        <v>17.02</v>
      </c>
      <c r="L192" s="71">
        <f t="shared" ref="L192:L197" si="15">J192*K192</f>
        <v>85.1</v>
      </c>
      <c r="M192" s="33" t="s">
        <v>109</v>
      </c>
      <c r="N192" s="2" t="s">
        <v>109</v>
      </c>
      <c r="O192" s="19" t="s">
        <v>487</v>
      </c>
      <c r="P192" s="3" t="s">
        <v>495</v>
      </c>
      <c r="Q192" s="144" t="s">
        <v>109</v>
      </c>
      <c r="R192" s="157" t="s">
        <v>109</v>
      </c>
      <c r="S192" s="2" t="s">
        <v>109</v>
      </c>
      <c r="T192" s="156" t="s">
        <v>109</v>
      </c>
      <c r="U192" s="157"/>
      <c r="V192" s="169"/>
      <c r="W192" s="11">
        <v>20016490</v>
      </c>
      <c r="X192" s="2" t="s">
        <v>110</v>
      </c>
      <c r="Y192" s="3">
        <v>2</v>
      </c>
      <c r="Z192" s="3">
        <v>1</v>
      </c>
      <c r="AA192" s="27">
        <f t="shared" ref="AA192:AA215" si="16">Z192*Y192</f>
        <v>2</v>
      </c>
      <c r="AB192" s="33" t="s">
        <v>109</v>
      </c>
      <c r="AC192" s="3" t="s">
        <v>109</v>
      </c>
      <c r="AD192" s="2" t="s">
        <v>109</v>
      </c>
      <c r="AE192" s="27" t="s">
        <v>109</v>
      </c>
      <c r="AF192" s="107" t="s">
        <v>109</v>
      </c>
      <c r="AG192" s="2"/>
      <c r="AH192" s="95"/>
      <c r="AI192" s="76"/>
      <c r="AJ192" s="33" t="s">
        <v>109</v>
      </c>
      <c r="AK192" s="27" t="s">
        <v>109</v>
      </c>
      <c r="AL192" s="52"/>
    </row>
    <row r="193" spans="1:38" x14ac:dyDescent="0.25">
      <c r="A193" s="3">
        <v>3</v>
      </c>
      <c r="B193" s="21" t="s">
        <v>207</v>
      </c>
      <c r="C193" s="3" t="s">
        <v>206</v>
      </c>
      <c r="D193" s="21" t="s">
        <v>484</v>
      </c>
      <c r="E193" s="9" t="s">
        <v>34</v>
      </c>
      <c r="F193" s="34">
        <v>20016373</v>
      </c>
      <c r="G193" s="43" t="s">
        <v>111</v>
      </c>
      <c r="H193" s="3" t="s">
        <v>489</v>
      </c>
      <c r="I193" s="3" t="s">
        <v>109</v>
      </c>
      <c r="J193" s="28">
        <v>5</v>
      </c>
      <c r="K193" s="70">
        <v>17.02</v>
      </c>
      <c r="L193" s="71">
        <f t="shared" si="15"/>
        <v>85.1</v>
      </c>
      <c r="M193" s="33" t="s">
        <v>109</v>
      </c>
      <c r="N193" s="2" t="s">
        <v>109</v>
      </c>
      <c r="O193" s="19" t="s">
        <v>492</v>
      </c>
      <c r="P193" s="3" t="s">
        <v>496</v>
      </c>
      <c r="Q193" s="144" t="s">
        <v>109</v>
      </c>
      <c r="R193" s="157" t="s">
        <v>109</v>
      </c>
      <c r="S193" s="2" t="s">
        <v>109</v>
      </c>
      <c r="T193" s="156" t="s">
        <v>109</v>
      </c>
      <c r="U193" s="157"/>
      <c r="V193" s="169"/>
      <c r="W193" s="11">
        <v>20016490</v>
      </c>
      <c r="X193" s="2" t="s">
        <v>110</v>
      </c>
      <c r="Y193" s="3">
        <v>2</v>
      </c>
      <c r="Z193" s="3">
        <v>1</v>
      </c>
      <c r="AA193" s="27">
        <f t="shared" si="16"/>
        <v>2</v>
      </c>
      <c r="AB193" s="33" t="s">
        <v>109</v>
      </c>
      <c r="AC193" s="3" t="s">
        <v>109</v>
      </c>
      <c r="AD193" s="2" t="s">
        <v>109</v>
      </c>
      <c r="AE193" s="27" t="s">
        <v>109</v>
      </c>
      <c r="AF193" s="107" t="s">
        <v>109</v>
      </c>
      <c r="AG193" s="2"/>
      <c r="AH193" s="95"/>
      <c r="AI193" s="76"/>
      <c r="AJ193" s="33" t="s">
        <v>109</v>
      </c>
      <c r="AK193" s="27" t="s">
        <v>109</v>
      </c>
      <c r="AL193" s="52"/>
    </row>
    <row r="194" spans="1:38" x14ac:dyDescent="0.25">
      <c r="A194" s="3">
        <v>3</v>
      </c>
      <c r="B194" s="21" t="s">
        <v>207</v>
      </c>
      <c r="C194" s="3" t="s">
        <v>206</v>
      </c>
      <c r="D194" s="21" t="s">
        <v>485</v>
      </c>
      <c r="E194" s="9" t="s">
        <v>34</v>
      </c>
      <c r="F194" s="34">
        <v>20016373</v>
      </c>
      <c r="G194" s="43" t="s">
        <v>111</v>
      </c>
      <c r="H194" s="3" t="s">
        <v>490</v>
      </c>
      <c r="I194" s="3" t="s">
        <v>109</v>
      </c>
      <c r="J194" s="28">
        <v>5</v>
      </c>
      <c r="K194" s="70">
        <v>17.02</v>
      </c>
      <c r="L194" s="71">
        <f t="shared" si="15"/>
        <v>85.1</v>
      </c>
      <c r="M194" s="33" t="s">
        <v>109</v>
      </c>
      <c r="N194" s="2" t="s">
        <v>109</v>
      </c>
      <c r="O194" s="19" t="s">
        <v>493</v>
      </c>
      <c r="P194" s="3" t="s">
        <v>497</v>
      </c>
      <c r="Q194" s="144" t="s">
        <v>109</v>
      </c>
      <c r="R194" s="157" t="s">
        <v>109</v>
      </c>
      <c r="S194" s="2" t="s">
        <v>109</v>
      </c>
      <c r="T194" s="156" t="s">
        <v>109</v>
      </c>
      <c r="U194" s="157"/>
      <c r="V194" s="169"/>
      <c r="W194" s="11">
        <v>20016490</v>
      </c>
      <c r="X194" s="2" t="s">
        <v>110</v>
      </c>
      <c r="Y194" s="3">
        <v>2</v>
      </c>
      <c r="Z194" s="3">
        <v>1</v>
      </c>
      <c r="AA194" s="27">
        <f t="shared" si="16"/>
        <v>2</v>
      </c>
      <c r="AB194" s="33" t="s">
        <v>109</v>
      </c>
      <c r="AC194" s="3" t="s">
        <v>109</v>
      </c>
      <c r="AD194" s="2" t="s">
        <v>109</v>
      </c>
      <c r="AE194" s="27" t="s">
        <v>109</v>
      </c>
      <c r="AF194" s="107" t="s">
        <v>109</v>
      </c>
      <c r="AG194" s="2"/>
      <c r="AH194" s="95"/>
      <c r="AI194" s="76"/>
      <c r="AJ194" s="33" t="s">
        <v>109</v>
      </c>
      <c r="AK194" s="27" t="s">
        <v>109</v>
      </c>
      <c r="AL194" s="52"/>
    </row>
    <row r="195" spans="1:38" x14ac:dyDescent="0.25">
      <c r="A195" s="3">
        <v>3</v>
      </c>
      <c r="B195" s="21" t="s">
        <v>207</v>
      </c>
      <c r="C195" s="3" t="s">
        <v>206</v>
      </c>
      <c r="D195" s="21" t="s">
        <v>486</v>
      </c>
      <c r="E195" s="9" t="s">
        <v>34</v>
      </c>
      <c r="F195" s="34">
        <v>20016373</v>
      </c>
      <c r="G195" s="43" t="s">
        <v>111</v>
      </c>
      <c r="H195" s="3" t="s">
        <v>491</v>
      </c>
      <c r="I195" s="3" t="s">
        <v>109</v>
      </c>
      <c r="J195" s="28">
        <v>10</v>
      </c>
      <c r="K195" s="70">
        <v>17.02</v>
      </c>
      <c r="L195" s="71">
        <f t="shared" si="15"/>
        <v>170.2</v>
      </c>
      <c r="M195" s="33" t="s">
        <v>109</v>
      </c>
      <c r="N195" s="2" t="s">
        <v>109</v>
      </c>
      <c r="O195" s="19" t="s">
        <v>494</v>
      </c>
      <c r="P195" s="3" t="s">
        <v>498</v>
      </c>
      <c r="Q195" s="144" t="s">
        <v>109</v>
      </c>
      <c r="R195" s="157" t="s">
        <v>109</v>
      </c>
      <c r="S195" s="2" t="s">
        <v>109</v>
      </c>
      <c r="T195" s="156" t="s">
        <v>109</v>
      </c>
      <c r="U195" s="157"/>
      <c r="V195" s="169"/>
      <c r="W195" s="11">
        <v>20016490</v>
      </c>
      <c r="X195" s="2" t="s">
        <v>110</v>
      </c>
      <c r="Y195" s="3">
        <v>2</v>
      </c>
      <c r="Z195" s="3">
        <v>1</v>
      </c>
      <c r="AA195" s="27">
        <f t="shared" si="16"/>
        <v>2</v>
      </c>
      <c r="AB195" s="33" t="s">
        <v>109</v>
      </c>
      <c r="AC195" s="3" t="s">
        <v>109</v>
      </c>
      <c r="AD195" s="2" t="s">
        <v>109</v>
      </c>
      <c r="AE195" s="27" t="s">
        <v>109</v>
      </c>
      <c r="AF195" s="107" t="s">
        <v>109</v>
      </c>
      <c r="AG195" s="2"/>
      <c r="AH195" s="95"/>
      <c r="AI195" s="76"/>
      <c r="AJ195" s="33" t="s">
        <v>109</v>
      </c>
      <c r="AK195" s="27" t="s">
        <v>109</v>
      </c>
      <c r="AL195" s="52"/>
    </row>
    <row r="196" spans="1:38" ht="16.5" x14ac:dyDescent="0.25">
      <c r="A196" s="3">
        <v>2</v>
      </c>
      <c r="B196" s="21" t="s">
        <v>599</v>
      </c>
      <c r="C196" s="3" t="s">
        <v>297</v>
      </c>
      <c r="D196" s="21" t="s">
        <v>515</v>
      </c>
      <c r="E196" s="23" t="s">
        <v>288</v>
      </c>
      <c r="F196" s="34">
        <v>20016373</v>
      </c>
      <c r="G196" s="43" t="s">
        <v>111</v>
      </c>
      <c r="H196" s="3" t="s">
        <v>677</v>
      </c>
      <c r="I196" s="21" t="s">
        <v>297</v>
      </c>
      <c r="J196" s="28">
        <v>30</v>
      </c>
      <c r="K196" s="70">
        <v>17.02</v>
      </c>
      <c r="L196" s="71">
        <f t="shared" si="15"/>
        <v>510.59999999999997</v>
      </c>
      <c r="M196" s="34">
        <v>30005613</v>
      </c>
      <c r="N196" s="2" t="s">
        <v>125</v>
      </c>
      <c r="O196" s="3" t="s">
        <v>680</v>
      </c>
      <c r="P196" s="21" t="s">
        <v>297</v>
      </c>
      <c r="Q196" s="9" t="s">
        <v>123</v>
      </c>
      <c r="R196" s="155" t="s">
        <v>109</v>
      </c>
      <c r="S196" s="22" t="s">
        <v>109</v>
      </c>
      <c r="T196" s="161" t="s">
        <v>109</v>
      </c>
      <c r="U196" s="160"/>
      <c r="V196" s="169"/>
      <c r="W196" s="11">
        <v>20016490</v>
      </c>
      <c r="X196" s="3" t="s">
        <v>110</v>
      </c>
      <c r="Y196" s="3">
        <v>2</v>
      </c>
      <c r="Z196" s="3">
        <v>2</v>
      </c>
      <c r="AA196" s="27">
        <f t="shared" si="16"/>
        <v>4</v>
      </c>
      <c r="AB196" s="37" t="s">
        <v>109</v>
      </c>
      <c r="AC196" s="3" t="s">
        <v>109</v>
      </c>
      <c r="AD196" s="22" t="s">
        <v>109</v>
      </c>
      <c r="AE196" s="30" t="s">
        <v>109</v>
      </c>
      <c r="AF196" s="106" t="s">
        <v>112</v>
      </c>
      <c r="AG196" s="22">
        <v>122</v>
      </c>
      <c r="AH196" s="106" t="s">
        <v>112</v>
      </c>
      <c r="AI196" s="27" t="s">
        <v>1270</v>
      </c>
      <c r="AJ196" s="34">
        <v>58</v>
      </c>
      <c r="AK196" s="30">
        <f>AJ196+AJ196*12%</f>
        <v>64.959999999999994</v>
      </c>
      <c r="AL196" s="52"/>
    </row>
    <row r="197" spans="1:38" ht="16.5" x14ac:dyDescent="0.25">
      <c r="A197" s="3">
        <v>2</v>
      </c>
      <c r="B197" s="21" t="s">
        <v>599</v>
      </c>
      <c r="C197" s="3" t="s">
        <v>297</v>
      </c>
      <c r="D197" s="21" t="s">
        <v>516</v>
      </c>
      <c r="E197" s="23" t="s">
        <v>288</v>
      </c>
      <c r="F197" s="34">
        <v>20016373</v>
      </c>
      <c r="G197" s="43" t="s">
        <v>111</v>
      </c>
      <c r="H197" s="3" t="s">
        <v>678</v>
      </c>
      <c r="I197" s="21" t="s">
        <v>316</v>
      </c>
      <c r="J197" s="28">
        <v>30</v>
      </c>
      <c r="K197" s="70">
        <v>17.02</v>
      </c>
      <c r="L197" s="71">
        <f t="shared" si="15"/>
        <v>510.59999999999997</v>
      </c>
      <c r="M197" s="34">
        <v>30005613</v>
      </c>
      <c r="N197" s="2" t="s">
        <v>125</v>
      </c>
      <c r="O197" s="3" t="s">
        <v>681</v>
      </c>
      <c r="P197" s="21" t="s">
        <v>297</v>
      </c>
      <c r="Q197" s="9" t="s">
        <v>123</v>
      </c>
      <c r="R197" s="155" t="s">
        <v>109</v>
      </c>
      <c r="S197" s="22" t="s">
        <v>109</v>
      </c>
      <c r="T197" s="161" t="s">
        <v>109</v>
      </c>
      <c r="U197" s="160"/>
      <c r="V197" s="169"/>
      <c r="W197" s="11">
        <v>20016490</v>
      </c>
      <c r="X197" s="3" t="s">
        <v>110</v>
      </c>
      <c r="Y197" s="3">
        <v>2</v>
      </c>
      <c r="Z197" s="3">
        <v>2</v>
      </c>
      <c r="AA197" s="27">
        <f t="shared" si="16"/>
        <v>4</v>
      </c>
      <c r="AB197" s="37" t="s">
        <v>109</v>
      </c>
      <c r="AC197" s="3" t="s">
        <v>109</v>
      </c>
      <c r="AD197" s="22" t="s">
        <v>109</v>
      </c>
      <c r="AE197" s="30" t="s">
        <v>109</v>
      </c>
      <c r="AF197" s="106" t="s">
        <v>112</v>
      </c>
      <c r="AG197" s="22">
        <v>123</v>
      </c>
      <c r="AH197" s="106" t="s">
        <v>112</v>
      </c>
      <c r="AI197" s="27" t="s">
        <v>1270</v>
      </c>
      <c r="AJ197" s="34">
        <v>56</v>
      </c>
      <c r="AK197" s="30">
        <f>AJ197+AJ197*12%</f>
        <v>62.72</v>
      </c>
      <c r="AL197" s="52"/>
    </row>
    <row r="198" spans="1:38" ht="16.5" x14ac:dyDescent="0.25">
      <c r="A198" s="3">
        <v>3</v>
      </c>
      <c r="B198" s="3" t="s">
        <v>774</v>
      </c>
      <c r="C198" s="3" t="s">
        <v>32</v>
      </c>
      <c r="D198" s="21" t="s">
        <v>770</v>
      </c>
      <c r="E198" s="23" t="s">
        <v>34</v>
      </c>
      <c r="F198" s="34">
        <v>20016373</v>
      </c>
      <c r="G198" s="43" t="s">
        <v>111</v>
      </c>
      <c r="H198" s="3" t="s">
        <v>775</v>
      </c>
      <c r="I198" s="3" t="s">
        <v>32</v>
      </c>
      <c r="J198" s="28">
        <v>5.4</v>
      </c>
      <c r="K198" s="70">
        <v>17.02</v>
      </c>
      <c r="L198" s="71">
        <f t="shared" ref="L198:L202" si="17">J198*K198</f>
        <v>91.908000000000001</v>
      </c>
      <c r="M198" s="34" t="s">
        <v>109</v>
      </c>
      <c r="N198" s="3" t="s">
        <v>109</v>
      </c>
      <c r="O198" s="3" t="s">
        <v>779</v>
      </c>
      <c r="P198" s="21" t="s">
        <v>784</v>
      </c>
      <c r="Q198" s="9" t="s">
        <v>109</v>
      </c>
      <c r="R198" s="155" t="s">
        <v>109</v>
      </c>
      <c r="S198" s="22" t="s">
        <v>109</v>
      </c>
      <c r="T198" s="161" t="s">
        <v>109</v>
      </c>
      <c r="U198" s="160"/>
      <c r="V198" s="169"/>
      <c r="W198" s="11">
        <v>20016490</v>
      </c>
      <c r="X198" s="2" t="s">
        <v>110</v>
      </c>
      <c r="Y198" s="3">
        <v>1</v>
      </c>
      <c r="Z198" s="3">
        <v>1</v>
      </c>
      <c r="AA198" s="27">
        <f t="shared" si="16"/>
        <v>1</v>
      </c>
      <c r="AB198" s="33" t="s">
        <v>109</v>
      </c>
      <c r="AC198" s="2" t="s">
        <v>109</v>
      </c>
      <c r="AD198" s="2" t="s">
        <v>109</v>
      </c>
      <c r="AE198" s="27" t="s">
        <v>109</v>
      </c>
      <c r="AF198" s="107" t="s">
        <v>109</v>
      </c>
      <c r="AG198" s="22"/>
      <c r="AH198" s="98"/>
      <c r="AI198" s="76"/>
      <c r="AJ198" s="34" t="s">
        <v>109</v>
      </c>
      <c r="AK198" s="30" t="s">
        <v>109</v>
      </c>
      <c r="AL198" s="52"/>
    </row>
    <row r="199" spans="1:38" ht="16.5" x14ac:dyDescent="0.25">
      <c r="A199" s="3">
        <v>3</v>
      </c>
      <c r="B199" s="3" t="s">
        <v>774</v>
      </c>
      <c r="C199" s="3" t="s">
        <v>32</v>
      </c>
      <c r="D199" s="21" t="s">
        <v>771</v>
      </c>
      <c r="E199" s="23" t="s">
        <v>34</v>
      </c>
      <c r="F199" s="34">
        <v>20016373</v>
      </c>
      <c r="G199" s="43" t="s">
        <v>111</v>
      </c>
      <c r="H199" s="3" t="s">
        <v>776</v>
      </c>
      <c r="I199" s="3" t="s">
        <v>32</v>
      </c>
      <c r="J199" s="28">
        <v>5.4</v>
      </c>
      <c r="K199" s="70">
        <v>17.02</v>
      </c>
      <c r="L199" s="71">
        <f t="shared" si="17"/>
        <v>91.908000000000001</v>
      </c>
      <c r="M199" s="34" t="s">
        <v>109</v>
      </c>
      <c r="N199" s="3" t="s">
        <v>109</v>
      </c>
      <c r="O199" s="3" t="s">
        <v>780</v>
      </c>
      <c r="P199" s="21" t="s">
        <v>785</v>
      </c>
      <c r="Q199" s="9" t="s">
        <v>109</v>
      </c>
      <c r="R199" s="155" t="s">
        <v>109</v>
      </c>
      <c r="S199" s="22" t="s">
        <v>109</v>
      </c>
      <c r="T199" s="161" t="s">
        <v>109</v>
      </c>
      <c r="U199" s="160"/>
      <c r="V199" s="169"/>
      <c r="W199" s="11">
        <v>20016490</v>
      </c>
      <c r="X199" s="2" t="s">
        <v>110</v>
      </c>
      <c r="Y199" s="3">
        <v>1</v>
      </c>
      <c r="Z199" s="3">
        <v>1</v>
      </c>
      <c r="AA199" s="27">
        <f t="shared" si="16"/>
        <v>1</v>
      </c>
      <c r="AB199" s="33" t="s">
        <v>109</v>
      </c>
      <c r="AC199" s="2" t="s">
        <v>109</v>
      </c>
      <c r="AD199" s="2" t="s">
        <v>109</v>
      </c>
      <c r="AE199" s="27" t="s">
        <v>109</v>
      </c>
      <c r="AF199" s="107" t="s">
        <v>109</v>
      </c>
      <c r="AG199" s="22"/>
      <c r="AH199" s="98"/>
      <c r="AI199" s="76"/>
      <c r="AJ199" s="34" t="s">
        <v>109</v>
      </c>
      <c r="AK199" s="30" t="s">
        <v>109</v>
      </c>
      <c r="AL199" s="52"/>
    </row>
    <row r="200" spans="1:38" ht="16.5" x14ac:dyDescent="0.25">
      <c r="A200" s="3">
        <v>3</v>
      </c>
      <c r="B200" s="3" t="s">
        <v>774</v>
      </c>
      <c r="C200" s="3" t="s">
        <v>32</v>
      </c>
      <c r="D200" s="21" t="s">
        <v>772</v>
      </c>
      <c r="E200" s="23" t="s">
        <v>34</v>
      </c>
      <c r="F200" s="34">
        <v>20016373</v>
      </c>
      <c r="G200" s="43" t="s">
        <v>111</v>
      </c>
      <c r="H200" s="3" t="s">
        <v>777</v>
      </c>
      <c r="I200" s="3" t="s">
        <v>32</v>
      </c>
      <c r="J200" s="28">
        <v>5.4</v>
      </c>
      <c r="K200" s="70">
        <v>17.02</v>
      </c>
      <c r="L200" s="71">
        <f t="shared" si="17"/>
        <v>91.908000000000001</v>
      </c>
      <c r="M200" s="34" t="s">
        <v>109</v>
      </c>
      <c r="N200" s="3" t="s">
        <v>109</v>
      </c>
      <c r="O200" s="3" t="s">
        <v>781</v>
      </c>
      <c r="P200" s="21" t="s">
        <v>786</v>
      </c>
      <c r="Q200" s="9" t="s">
        <v>109</v>
      </c>
      <c r="R200" s="155" t="s">
        <v>109</v>
      </c>
      <c r="S200" s="22" t="s">
        <v>109</v>
      </c>
      <c r="T200" s="161" t="s">
        <v>109</v>
      </c>
      <c r="U200" s="160"/>
      <c r="V200" s="169"/>
      <c r="W200" s="11">
        <v>20016490</v>
      </c>
      <c r="X200" s="2" t="s">
        <v>110</v>
      </c>
      <c r="Y200" s="3">
        <v>1</v>
      </c>
      <c r="Z200" s="3">
        <v>1</v>
      </c>
      <c r="AA200" s="27">
        <f t="shared" si="16"/>
        <v>1</v>
      </c>
      <c r="AB200" s="33" t="s">
        <v>109</v>
      </c>
      <c r="AC200" s="2" t="s">
        <v>109</v>
      </c>
      <c r="AD200" s="2" t="s">
        <v>109</v>
      </c>
      <c r="AE200" s="27" t="s">
        <v>109</v>
      </c>
      <c r="AF200" s="107" t="s">
        <v>109</v>
      </c>
      <c r="AG200" s="22"/>
      <c r="AH200" s="98"/>
      <c r="AI200" s="76"/>
      <c r="AJ200" s="34" t="s">
        <v>109</v>
      </c>
      <c r="AK200" s="30" t="s">
        <v>109</v>
      </c>
      <c r="AL200" s="52"/>
    </row>
    <row r="201" spans="1:38" ht="16.5" x14ac:dyDescent="0.25">
      <c r="A201" s="3">
        <v>3</v>
      </c>
      <c r="B201" s="3" t="s">
        <v>774</v>
      </c>
      <c r="C201" s="3" t="s">
        <v>32</v>
      </c>
      <c r="D201" s="21" t="s">
        <v>773</v>
      </c>
      <c r="E201" s="23" t="s">
        <v>34</v>
      </c>
      <c r="F201" s="34">
        <v>20016373</v>
      </c>
      <c r="G201" s="43" t="s">
        <v>111</v>
      </c>
      <c r="H201" s="3" t="s">
        <v>778</v>
      </c>
      <c r="I201" s="3" t="s">
        <v>32</v>
      </c>
      <c r="J201" s="28">
        <v>5.4</v>
      </c>
      <c r="K201" s="70">
        <v>17.02</v>
      </c>
      <c r="L201" s="71">
        <f t="shared" si="17"/>
        <v>91.908000000000001</v>
      </c>
      <c r="M201" s="34" t="s">
        <v>109</v>
      </c>
      <c r="N201" s="3" t="s">
        <v>109</v>
      </c>
      <c r="O201" s="3" t="s">
        <v>782</v>
      </c>
      <c r="P201" s="21" t="s">
        <v>787</v>
      </c>
      <c r="Q201" s="9" t="s">
        <v>109</v>
      </c>
      <c r="R201" s="155" t="s">
        <v>109</v>
      </c>
      <c r="S201" s="22" t="s">
        <v>109</v>
      </c>
      <c r="T201" s="161" t="s">
        <v>109</v>
      </c>
      <c r="U201" s="160"/>
      <c r="V201" s="169"/>
      <c r="W201" s="11">
        <v>20016490</v>
      </c>
      <c r="X201" s="2" t="s">
        <v>110</v>
      </c>
      <c r="Y201" s="3">
        <v>1</v>
      </c>
      <c r="Z201" s="3">
        <v>1</v>
      </c>
      <c r="AA201" s="27">
        <f t="shared" si="16"/>
        <v>1</v>
      </c>
      <c r="AB201" s="33" t="s">
        <v>109</v>
      </c>
      <c r="AC201" s="2" t="s">
        <v>109</v>
      </c>
      <c r="AD201" s="2" t="s">
        <v>109</v>
      </c>
      <c r="AE201" s="27" t="s">
        <v>109</v>
      </c>
      <c r="AF201" s="107" t="s">
        <v>109</v>
      </c>
      <c r="AG201" s="22"/>
      <c r="AH201" s="98"/>
      <c r="AI201" s="76"/>
      <c r="AJ201" s="34" t="s">
        <v>109</v>
      </c>
      <c r="AK201" s="30" t="s">
        <v>109</v>
      </c>
      <c r="AL201" s="52"/>
    </row>
    <row r="202" spans="1:38" x14ac:dyDescent="0.25">
      <c r="A202" s="3">
        <v>3</v>
      </c>
      <c r="B202" s="3" t="s">
        <v>765</v>
      </c>
      <c r="C202" s="3" t="s">
        <v>764</v>
      </c>
      <c r="D202" s="21" t="s">
        <v>318</v>
      </c>
      <c r="E202" s="67" t="s">
        <v>8</v>
      </c>
      <c r="F202" s="34">
        <v>20002899</v>
      </c>
      <c r="G202" s="44" t="s">
        <v>334</v>
      </c>
      <c r="H202" s="3" t="s">
        <v>767</v>
      </c>
      <c r="I202" s="3" t="s">
        <v>766</v>
      </c>
      <c r="J202" s="28">
        <v>36</v>
      </c>
      <c r="K202" s="70">
        <v>60.31</v>
      </c>
      <c r="L202" s="71">
        <f t="shared" si="17"/>
        <v>2171.16</v>
      </c>
      <c r="M202" s="34">
        <v>30005613</v>
      </c>
      <c r="N202" s="2" t="s">
        <v>125</v>
      </c>
      <c r="O202" s="3" t="s">
        <v>768</v>
      </c>
      <c r="P202" s="3" t="s">
        <v>769</v>
      </c>
      <c r="Q202" s="9" t="s">
        <v>176</v>
      </c>
      <c r="R202" s="155">
        <v>30093974</v>
      </c>
      <c r="S202" s="2" t="s">
        <v>128</v>
      </c>
      <c r="T202" s="158">
        <v>20</v>
      </c>
      <c r="U202" s="157">
        <v>15.31</v>
      </c>
      <c r="V202" s="169">
        <f t="shared" ref="V202:V225" si="18">T202*U202</f>
        <v>306.2</v>
      </c>
      <c r="W202" s="11">
        <v>20016490</v>
      </c>
      <c r="X202" s="2" t="s">
        <v>110</v>
      </c>
      <c r="Y202" s="3">
        <v>4</v>
      </c>
      <c r="Z202" s="3">
        <v>2</v>
      </c>
      <c r="AA202" s="27">
        <f t="shared" si="16"/>
        <v>8</v>
      </c>
      <c r="AB202" s="33" t="s">
        <v>109</v>
      </c>
      <c r="AC202" s="2" t="s">
        <v>109</v>
      </c>
      <c r="AD202" s="2" t="s">
        <v>109</v>
      </c>
      <c r="AE202" s="27" t="s">
        <v>109</v>
      </c>
      <c r="AF202" s="106" t="s">
        <v>112</v>
      </c>
      <c r="AG202" s="3">
        <v>125</v>
      </c>
      <c r="AH202" s="106" t="s">
        <v>112</v>
      </c>
      <c r="AI202" s="27" t="s">
        <v>1270</v>
      </c>
      <c r="AJ202" s="34">
        <v>62</v>
      </c>
      <c r="AK202" s="27">
        <f>AJ202+AJ202*12%</f>
        <v>69.44</v>
      </c>
      <c r="AL202" s="52"/>
    </row>
    <row r="203" spans="1:38" x14ac:dyDescent="0.25">
      <c r="A203" s="3">
        <v>3</v>
      </c>
      <c r="B203" s="3" t="s">
        <v>789</v>
      </c>
      <c r="C203" s="3" t="s">
        <v>788</v>
      </c>
      <c r="D203" s="21" t="s">
        <v>318</v>
      </c>
      <c r="E203" s="67" t="s">
        <v>8</v>
      </c>
      <c r="F203" s="34">
        <v>20016373</v>
      </c>
      <c r="G203" s="43" t="s">
        <v>111</v>
      </c>
      <c r="H203" s="3" t="s">
        <v>791</v>
      </c>
      <c r="I203" s="21" t="s">
        <v>790</v>
      </c>
      <c r="J203" s="28">
        <v>39</v>
      </c>
      <c r="K203" s="70">
        <v>17.02</v>
      </c>
      <c r="L203" s="71">
        <f t="shared" ref="L203:L205" si="19">J203*K203</f>
        <v>663.78</v>
      </c>
      <c r="M203" s="34">
        <v>30005613</v>
      </c>
      <c r="N203" s="2" t="s">
        <v>125</v>
      </c>
      <c r="O203" s="3" t="s">
        <v>793</v>
      </c>
      <c r="P203" s="3" t="s">
        <v>792</v>
      </c>
      <c r="Q203" s="9" t="s">
        <v>124</v>
      </c>
      <c r="R203" s="155">
        <v>30093974</v>
      </c>
      <c r="S203" s="2" t="s">
        <v>128</v>
      </c>
      <c r="T203" s="158">
        <v>7</v>
      </c>
      <c r="U203" s="157">
        <v>15.31</v>
      </c>
      <c r="V203" s="169">
        <f t="shared" si="18"/>
        <v>107.17</v>
      </c>
      <c r="W203" s="11">
        <v>20016490</v>
      </c>
      <c r="X203" s="2" t="s">
        <v>110</v>
      </c>
      <c r="Y203" s="3">
        <v>4</v>
      </c>
      <c r="Z203" s="3">
        <v>2</v>
      </c>
      <c r="AA203" s="27">
        <f t="shared" si="16"/>
        <v>8</v>
      </c>
      <c r="AB203" s="33" t="s">
        <v>109</v>
      </c>
      <c r="AC203" s="2" t="s">
        <v>109</v>
      </c>
      <c r="AD203" s="2" t="s">
        <v>109</v>
      </c>
      <c r="AE203" s="27" t="s">
        <v>109</v>
      </c>
      <c r="AF203" s="106" t="s">
        <v>112</v>
      </c>
      <c r="AG203" s="3">
        <v>126</v>
      </c>
      <c r="AH203" s="106" t="s">
        <v>112</v>
      </c>
      <c r="AI203" s="27" t="s">
        <v>1270</v>
      </c>
      <c r="AJ203" s="34">
        <v>65</v>
      </c>
      <c r="AK203" s="27">
        <f>AJ203+AJ203*12%</f>
        <v>72.8</v>
      </c>
      <c r="AL203" s="52"/>
    </row>
    <row r="204" spans="1:38" x14ac:dyDescent="0.25">
      <c r="A204" s="3">
        <v>3</v>
      </c>
      <c r="B204" s="3" t="s">
        <v>795</v>
      </c>
      <c r="C204" s="3" t="s">
        <v>794</v>
      </c>
      <c r="D204" s="21" t="s">
        <v>318</v>
      </c>
      <c r="E204" s="67" t="s">
        <v>8</v>
      </c>
      <c r="F204" s="34">
        <v>20016373</v>
      </c>
      <c r="G204" s="43" t="s">
        <v>111</v>
      </c>
      <c r="H204" s="3" t="s">
        <v>826</v>
      </c>
      <c r="I204" s="21" t="s">
        <v>796</v>
      </c>
      <c r="J204" s="28">
        <v>53</v>
      </c>
      <c r="K204" s="70">
        <v>17.02</v>
      </c>
      <c r="L204" s="71">
        <f t="shared" si="19"/>
        <v>902.06</v>
      </c>
      <c r="M204" s="34">
        <v>30005613</v>
      </c>
      <c r="N204" s="2" t="s">
        <v>125</v>
      </c>
      <c r="O204" s="3" t="s">
        <v>827</v>
      </c>
      <c r="P204" s="3" t="s">
        <v>828</v>
      </c>
      <c r="Q204" s="9" t="s">
        <v>176</v>
      </c>
      <c r="R204" s="155">
        <v>30093974</v>
      </c>
      <c r="S204" s="2" t="s">
        <v>128</v>
      </c>
      <c r="T204" s="162">
        <v>16</v>
      </c>
      <c r="U204" s="157">
        <v>15.31</v>
      </c>
      <c r="V204" s="169">
        <f t="shared" si="18"/>
        <v>244.96</v>
      </c>
      <c r="W204" s="11">
        <v>20016490</v>
      </c>
      <c r="X204" s="2" t="s">
        <v>110</v>
      </c>
      <c r="Y204" s="3">
        <v>10</v>
      </c>
      <c r="Z204" s="3">
        <v>2</v>
      </c>
      <c r="AA204" s="38">
        <f t="shared" si="16"/>
        <v>20</v>
      </c>
      <c r="AB204" s="33" t="s">
        <v>109</v>
      </c>
      <c r="AC204" s="2" t="s">
        <v>109</v>
      </c>
      <c r="AD204" s="2" t="s">
        <v>109</v>
      </c>
      <c r="AE204" s="27" t="s">
        <v>109</v>
      </c>
      <c r="AF204" s="106" t="s">
        <v>112</v>
      </c>
      <c r="AG204" s="3">
        <v>127</v>
      </c>
      <c r="AH204" s="106" t="s">
        <v>112</v>
      </c>
      <c r="AI204" s="27" t="s">
        <v>1270</v>
      </c>
      <c r="AJ204" s="34">
        <v>61</v>
      </c>
      <c r="AK204" s="27">
        <f>AJ204+AJ204*12%</f>
        <v>68.319999999999993</v>
      </c>
      <c r="AL204" s="52"/>
    </row>
    <row r="205" spans="1:38" x14ac:dyDescent="0.25">
      <c r="A205" s="3">
        <v>3</v>
      </c>
      <c r="B205" s="3" t="s">
        <v>802</v>
      </c>
      <c r="C205" s="68" t="s">
        <v>797</v>
      </c>
      <c r="D205" s="21" t="s">
        <v>318</v>
      </c>
      <c r="E205" s="67" t="s">
        <v>8</v>
      </c>
      <c r="F205" s="34">
        <v>20016041</v>
      </c>
      <c r="G205" s="55" t="s">
        <v>455</v>
      </c>
      <c r="H205" s="3" t="s">
        <v>804</v>
      </c>
      <c r="I205" s="3" t="s">
        <v>803</v>
      </c>
      <c r="J205" s="28">
        <v>60</v>
      </c>
      <c r="K205" s="70">
        <v>16.3</v>
      </c>
      <c r="L205" s="71">
        <f t="shared" si="19"/>
        <v>978</v>
      </c>
      <c r="M205" s="34">
        <v>30005613</v>
      </c>
      <c r="N205" s="2" t="s">
        <v>125</v>
      </c>
      <c r="O205" s="3" t="s">
        <v>805</v>
      </c>
      <c r="P205" s="21" t="s">
        <v>806</v>
      </c>
      <c r="Q205" s="9" t="s">
        <v>176</v>
      </c>
      <c r="R205" s="155">
        <v>30093974</v>
      </c>
      <c r="S205" s="2" t="s">
        <v>128</v>
      </c>
      <c r="T205" s="162">
        <v>14</v>
      </c>
      <c r="U205" s="157">
        <v>15.31</v>
      </c>
      <c r="V205" s="169">
        <f t="shared" si="18"/>
        <v>214.34</v>
      </c>
      <c r="W205" s="11">
        <v>20016490</v>
      </c>
      <c r="X205" s="2" t="s">
        <v>110</v>
      </c>
      <c r="Y205" s="3">
        <v>10</v>
      </c>
      <c r="Z205" s="3">
        <v>2</v>
      </c>
      <c r="AA205" s="38">
        <f t="shared" si="16"/>
        <v>20</v>
      </c>
      <c r="AB205" s="33" t="s">
        <v>109</v>
      </c>
      <c r="AC205" s="2" t="s">
        <v>109</v>
      </c>
      <c r="AD205" s="2" t="s">
        <v>109</v>
      </c>
      <c r="AE205" s="27" t="s">
        <v>109</v>
      </c>
      <c r="AF205" s="106" t="s">
        <v>112</v>
      </c>
      <c r="AG205" s="3">
        <v>128</v>
      </c>
      <c r="AH205" s="106" t="s">
        <v>112</v>
      </c>
      <c r="AI205" s="27" t="s">
        <v>1270</v>
      </c>
      <c r="AJ205" s="34">
        <v>68</v>
      </c>
      <c r="AK205" s="27">
        <f>AJ205+AJ205*12%</f>
        <v>76.16</v>
      </c>
      <c r="AL205" s="52"/>
    </row>
    <row r="206" spans="1:38" x14ac:dyDescent="0.25">
      <c r="A206" s="3">
        <v>3</v>
      </c>
      <c r="B206" s="3" t="s">
        <v>802</v>
      </c>
      <c r="C206" s="68" t="s">
        <v>797</v>
      </c>
      <c r="D206" s="21" t="s">
        <v>770</v>
      </c>
      <c r="E206" s="23" t="s">
        <v>34</v>
      </c>
      <c r="F206" s="34">
        <v>20016373</v>
      </c>
      <c r="G206" s="43" t="s">
        <v>111</v>
      </c>
      <c r="H206" s="3" t="s">
        <v>807</v>
      </c>
      <c r="I206" s="3" t="s">
        <v>808</v>
      </c>
      <c r="J206" s="28">
        <v>5.4</v>
      </c>
      <c r="K206" s="70">
        <v>17.02</v>
      </c>
      <c r="L206" s="71">
        <f t="shared" ref="L206:L258" si="20">J206*K206</f>
        <v>91.908000000000001</v>
      </c>
      <c r="M206" s="34" t="s">
        <v>109</v>
      </c>
      <c r="N206" s="3" t="s">
        <v>109</v>
      </c>
      <c r="O206" s="3" t="s">
        <v>815</v>
      </c>
      <c r="P206" s="21" t="s">
        <v>819</v>
      </c>
      <c r="Q206" s="9" t="s">
        <v>109</v>
      </c>
      <c r="R206" s="155" t="s">
        <v>109</v>
      </c>
      <c r="S206" s="3" t="s">
        <v>109</v>
      </c>
      <c r="T206" s="158" t="s">
        <v>109</v>
      </c>
      <c r="U206" s="155"/>
      <c r="V206" s="169"/>
      <c r="W206" s="11">
        <v>20016490</v>
      </c>
      <c r="X206" s="2" t="s">
        <v>110</v>
      </c>
      <c r="Y206" s="3">
        <v>1</v>
      </c>
      <c r="Z206" s="3">
        <v>1</v>
      </c>
      <c r="AA206" s="38">
        <f t="shared" si="16"/>
        <v>1</v>
      </c>
      <c r="AB206" s="33" t="s">
        <v>109</v>
      </c>
      <c r="AC206" s="2" t="s">
        <v>109</v>
      </c>
      <c r="AD206" s="2" t="s">
        <v>109</v>
      </c>
      <c r="AE206" s="27" t="s">
        <v>109</v>
      </c>
      <c r="AF206" s="107" t="s">
        <v>109</v>
      </c>
      <c r="AG206" s="2"/>
      <c r="AH206" s="95"/>
      <c r="AI206" s="76"/>
      <c r="AJ206" s="33" t="s">
        <v>109</v>
      </c>
      <c r="AK206" s="27" t="s">
        <v>109</v>
      </c>
      <c r="AL206" s="52"/>
    </row>
    <row r="207" spans="1:38" x14ac:dyDescent="0.25">
      <c r="A207" s="3">
        <v>3</v>
      </c>
      <c r="B207" s="3" t="s">
        <v>802</v>
      </c>
      <c r="C207" s="68" t="s">
        <v>797</v>
      </c>
      <c r="D207" s="21" t="s">
        <v>771</v>
      </c>
      <c r="E207" s="23" t="s">
        <v>34</v>
      </c>
      <c r="F207" s="34">
        <v>20016373</v>
      </c>
      <c r="G207" s="43" t="s">
        <v>111</v>
      </c>
      <c r="H207" s="3" t="s">
        <v>809</v>
      </c>
      <c r="I207" s="3" t="s">
        <v>812</v>
      </c>
      <c r="J207" s="28">
        <v>5.4</v>
      </c>
      <c r="K207" s="70">
        <v>17.02</v>
      </c>
      <c r="L207" s="71">
        <f t="shared" si="20"/>
        <v>91.908000000000001</v>
      </c>
      <c r="M207" s="34" t="s">
        <v>109</v>
      </c>
      <c r="N207" s="3" t="s">
        <v>109</v>
      </c>
      <c r="O207" s="3" t="s">
        <v>816</v>
      </c>
      <c r="P207" s="21" t="s">
        <v>820</v>
      </c>
      <c r="Q207" s="9" t="s">
        <v>109</v>
      </c>
      <c r="R207" s="155" t="s">
        <v>109</v>
      </c>
      <c r="S207" s="3" t="s">
        <v>109</v>
      </c>
      <c r="T207" s="158" t="s">
        <v>109</v>
      </c>
      <c r="U207" s="155"/>
      <c r="V207" s="169"/>
      <c r="W207" s="11">
        <v>20016490</v>
      </c>
      <c r="X207" s="2" t="s">
        <v>110</v>
      </c>
      <c r="Y207" s="3">
        <v>1</v>
      </c>
      <c r="Z207" s="3">
        <v>1</v>
      </c>
      <c r="AA207" s="38">
        <f t="shared" si="16"/>
        <v>1</v>
      </c>
      <c r="AB207" s="33" t="s">
        <v>109</v>
      </c>
      <c r="AC207" s="2" t="s">
        <v>109</v>
      </c>
      <c r="AD207" s="2" t="s">
        <v>109</v>
      </c>
      <c r="AE207" s="27" t="s">
        <v>109</v>
      </c>
      <c r="AF207" s="107" t="s">
        <v>109</v>
      </c>
      <c r="AG207" s="2"/>
      <c r="AH207" s="95"/>
      <c r="AI207" s="76"/>
      <c r="AJ207" s="33" t="s">
        <v>109</v>
      </c>
      <c r="AK207" s="27" t="s">
        <v>109</v>
      </c>
      <c r="AL207" s="52"/>
    </row>
    <row r="208" spans="1:38" x14ac:dyDescent="0.25">
      <c r="A208" s="3">
        <v>3</v>
      </c>
      <c r="B208" s="3" t="s">
        <v>802</v>
      </c>
      <c r="C208" s="68" t="s">
        <v>797</v>
      </c>
      <c r="D208" s="21" t="s">
        <v>772</v>
      </c>
      <c r="E208" s="23" t="s">
        <v>34</v>
      </c>
      <c r="F208" s="34">
        <v>20016373</v>
      </c>
      <c r="G208" s="43" t="s">
        <v>111</v>
      </c>
      <c r="H208" s="3" t="s">
        <v>810</v>
      </c>
      <c r="I208" s="3" t="s">
        <v>813</v>
      </c>
      <c r="J208" s="28">
        <v>5.4</v>
      </c>
      <c r="K208" s="70">
        <v>17.02</v>
      </c>
      <c r="L208" s="71">
        <f t="shared" si="20"/>
        <v>91.908000000000001</v>
      </c>
      <c r="M208" s="34" t="s">
        <v>109</v>
      </c>
      <c r="N208" s="3" t="s">
        <v>109</v>
      </c>
      <c r="O208" s="3" t="s">
        <v>817</v>
      </c>
      <c r="P208" s="21" t="s">
        <v>821</v>
      </c>
      <c r="Q208" s="9" t="s">
        <v>109</v>
      </c>
      <c r="R208" s="155" t="s">
        <v>109</v>
      </c>
      <c r="S208" s="3" t="s">
        <v>109</v>
      </c>
      <c r="T208" s="158" t="s">
        <v>109</v>
      </c>
      <c r="U208" s="155"/>
      <c r="V208" s="169"/>
      <c r="W208" s="11">
        <v>20016490</v>
      </c>
      <c r="X208" s="2" t="s">
        <v>110</v>
      </c>
      <c r="Y208" s="3">
        <v>1</v>
      </c>
      <c r="Z208" s="3">
        <v>1</v>
      </c>
      <c r="AA208" s="38">
        <f t="shared" si="16"/>
        <v>1</v>
      </c>
      <c r="AB208" s="33" t="s">
        <v>109</v>
      </c>
      <c r="AC208" s="2" t="s">
        <v>109</v>
      </c>
      <c r="AD208" s="2" t="s">
        <v>109</v>
      </c>
      <c r="AE208" s="27" t="s">
        <v>109</v>
      </c>
      <c r="AF208" s="107" t="s">
        <v>109</v>
      </c>
      <c r="AG208" s="2"/>
      <c r="AH208" s="95"/>
      <c r="AI208" s="76"/>
      <c r="AJ208" s="33" t="s">
        <v>109</v>
      </c>
      <c r="AK208" s="27" t="s">
        <v>109</v>
      </c>
      <c r="AL208" s="52"/>
    </row>
    <row r="209" spans="1:38" x14ac:dyDescent="0.25">
      <c r="A209" s="3">
        <v>3</v>
      </c>
      <c r="B209" s="3" t="s">
        <v>802</v>
      </c>
      <c r="C209" s="68" t="s">
        <v>797</v>
      </c>
      <c r="D209" s="21" t="s">
        <v>773</v>
      </c>
      <c r="E209" s="23" t="s">
        <v>34</v>
      </c>
      <c r="F209" s="34">
        <v>20016373</v>
      </c>
      <c r="G209" s="43" t="s">
        <v>111</v>
      </c>
      <c r="H209" s="3" t="s">
        <v>811</v>
      </c>
      <c r="I209" s="3" t="s">
        <v>814</v>
      </c>
      <c r="J209" s="28">
        <v>5.4</v>
      </c>
      <c r="K209" s="70">
        <v>17.02</v>
      </c>
      <c r="L209" s="71">
        <f t="shared" si="20"/>
        <v>91.908000000000001</v>
      </c>
      <c r="M209" s="34" t="s">
        <v>109</v>
      </c>
      <c r="N209" s="3" t="s">
        <v>109</v>
      </c>
      <c r="O209" s="3" t="s">
        <v>818</v>
      </c>
      <c r="P209" s="21" t="s">
        <v>822</v>
      </c>
      <c r="Q209" s="9" t="s">
        <v>109</v>
      </c>
      <c r="R209" s="155" t="s">
        <v>109</v>
      </c>
      <c r="S209" s="3" t="s">
        <v>109</v>
      </c>
      <c r="T209" s="158" t="s">
        <v>109</v>
      </c>
      <c r="U209" s="155"/>
      <c r="V209" s="169"/>
      <c r="W209" s="11">
        <v>20016490</v>
      </c>
      <c r="X209" s="2" t="s">
        <v>110</v>
      </c>
      <c r="Y209" s="3">
        <v>1</v>
      </c>
      <c r="Z209" s="3">
        <v>1</v>
      </c>
      <c r="AA209" s="38">
        <f t="shared" si="16"/>
        <v>1</v>
      </c>
      <c r="AB209" s="33" t="s">
        <v>109</v>
      </c>
      <c r="AC209" s="2" t="s">
        <v>109</v>
      </c>
      <c r="AD209" s="2" t="s">
        <v>109</v>
      </c>
      <c r="AE209" s="27" t="s">
        <v>109</v>
      </c>
      <c r="AF209" s="107" t="s">
        <v>109</v>
      </c>
      <c r="AG209" s="2"/>
      <c r="AH209" s="95"/>
      <c r="AI209" s="76"/>
      <c r="AJ209" s="33" t="s">
        <v>109</v>
      </c>
      <c r="AK209" s="27" t="s">
        <v>109</v>
      </c>
      <c r="AL209" s="52"/>
    </row>
    <row r="210" spans="1:38" x14ac:dyDescent="0.25">
      <c r="A210" s="3">
        <v>3</v>
      </c>
      <c r="B210" s="3" t="s">
        <v>802</v>
      </c>
      <c r="C210" s="68" t="s">
        <v>797</v>
      </c>
      <c r="D210" s="21" t="s">
        <v>965</v>
      </c>
      <c r="E210" s="23" t="s">
        <v>34</v>
      </c>
      <c r="F210" s="34">
        <v>20016373</v>
      </c>
      <c r="G210" s="43" t="s">
        <v>111</v>
      </c>
      <c r="H210" s="3" t="s">
        <v>966</v>
      </c>
      <c r="I210" s="3" t="s">
        <v>967</v>
      </c>
      <c r="J210" s="28">
        <v>20</v>
      </c>
      <c r="K210" s="70">
        <v>17.02</v>
      </c>
      <c r="L210" s="71">
        <f t="shared" si="20"/>
        <v>340.4</v>
      </c>
      <c r="M210" s="34">
        <v>30005613</v>
      </c>
      <c r="N210" s="2" t="s">
        <v>125</v>
      </c>
      <c r="O210" s="3" t="s">
        <v>968</v>
      </c>
      <c r="P210" s="21" t="s">
        <v>969</v>
      </c>
      <c r="Q210" s="9" t="s">
        <v>124</v>
      </c>
      <c r="R210" s="155" t="s">
        <v>109</v>
      </c>
      <c r="S210" s="3" t="s">
        <v>109</v>
      </c>
      <c r="T210" s="158" t="s">
        <v>109</v>
      </c>
      <c r="U210" s="155"/>
      <c r="V210" s="169"/>
      <c r="W210" s="11">
        <v>20016490</v>
      </c>
      <c r="X210" s="2" t="s">
        <v>110</v>
      </c>
      <c r="Y210" s="3">
        <v>2</v>
      </c>
      <c r="Z210" s="3">
        <v>2</v>
      </c>
      <c r="AA210" s="38">
        <f t="shared" si="16"/>
        <v>4</v>
      </c>
      <c r="AB210" s="33" t="s">
        <v>109</v>
      </c>
      <c r="AC210" s="2" t="s">
        <v>109</v>
      </c>
      <c r="AD210" s="2" t="s">
        <v>109</v>
      </c>
      <c r="AE210" s="27" t="s">
        <v>109</v>
      </c>
      <c r="AF210" s="107" t="s">
        <v>109</v>
      </c>
      <c r="AG210" s="2">
        <v>129</v>
      </c>
      <c r="AH210" s="97" t="s">
        <v>129</v>
      </c>
      <c r="AI210" s="27" t="s">
        <v>1270</v>
      </c>
      <c r="AJ210" s="33" t="s">
        <v>109</v>
      </c>
      <c r="AK210" s="27" t="s">
        <v>109</v>
      </c>
      <c r="AL210" s="52"/>
    </row>
    <row r="211" spans="1:38" x14ac:dyDescent="0.25">
      <c r="A211" s="3">
        <v>3</v>
      </c>
      <c r="B211" s="3" t="s">
        <v>798</v>
      </c>
      <c r="C211" s="3" t="s">
        <v>800</v>
      </c>
      <c r="D211" s="21" t="s">
        <v>318</v>
      </c>
      <c r="E211" s="67" t="s">
        <v>8</v>
      </c>
      <c r="F211" s="34">
        <v>20016373</v>
      </c>
      <c r="G211" s="43" t="s">
        <v>111</v>
      </c>
      <c r="H211" s="3" t="s">
        <v>823</v>
      </c>
      <c r="I211" s="3" t="s">
        <v>801</v>
      </c>
      <c r="J211" s="28">
        <v>48</v>
      </c>
      <c r="K211" s="70">
        <v>17.02</v>
      </c>
      <c r="L211" s="71">
        <f t="shared" si="20"/>
        <v>816.96</v>
      </c>
      <c r="M211" s="34">
        <v>30005613</v>
      </c>
      <c r="N211" s="2" t="s">
        <v>125</v>
      </c>
      <c r="O211" s="3" t="s">
        <v>824</v>
      </c>
      <c r="P211" s="21" t="s">
        <v>825</v>
      </c>
      <c r="Q211" s="9" t="s">
        <v>176</v>
      </c>
      <c r="R211" s="155">
        <v>30093974</v>
      </c>
      <c r="S211" s="2" t="s">
        <v>128</v>
      </c>
      <c r="T211" s="162">
        <v>11</v>
      </c>
      <c r="U211" s="170"/>
      <c r="V211" s="169">
        <f t="shared" si="18"/>
        <v>0</v>
      </c>
      <c r="W211" s="11">
        <v>20016490</v>
      </c>
      <c r="X211" s="2" t="s">
        <v>110</v>
      </c>
      <c r="Y211" s="3">
        <v>10</v>
      </c>
      <c r="Z211" s="3">
        <v>2</v>
      </c>
      <c r="AA211" s="38">
        <f t="shared" si="16"/>
        <v>20</v>
      </c>
      <c r="AB211" s="33" t="s">
        <v>109</v>
      </c>
      <c r="AC211" s="2" t="s">
        <v>109</v>
      </c>
      <c r="AD211" s="2" t="s">
        <v>109</v>
      </c>
      <c r="AE211" s="27" t="s">
        <v>109</v>
      </c>
      <c r="AF211" s="106" t="s">
        <v>112</v>
      </c>
      <c r="AG211" s="3">
        <v>130</v>
      </c>
      <c r="AH211" s="106" t="s">
        <v>112</v>
      </c>
      <c r="AI211" s="27" t="s">
        <v>1270</v>
      </c>
      <c r="AJ211" s="34">
        <v>63</v>
      </c>
      <c r="AK211" s="27">
        <f>AJ211+AJ211*12%</f>
        <v>70.56</v>
      </c>
      <c r="AL211" s="52"/>
    </row>
    <row r="212" spans="1:38" x14ac:dyDescent="0.25">
      <c r="A212" s="3">
        <v>3</v>
      </c>
      <c r="B212" s="3" t="s">
        <v>829</v>
      </c>
      <c r="C212" s="3" t="s">
        <v>799</v>
      </c>
      <c r="D212" s="21" t="s">
        <v>318</v>
      </c>
      <c r="E212" s="67" t="s">
        <v>8</v>
      </c>
      <c r="F212" s="34">
        <v>20016373</v>
      </c>
      <c r="G212" s="43" t="s">
        <v>111</v>
      </c>
      <c r="H212" s="3" t="s">
        <v>830</v>
      </c>
      <c r="I212" s="3" t="s">
        <v>831</v>
      </c>
      <c r="J212" s="28">
        <v>53</v>
      </c>
      <c r="K212" s="70">
        <v>17.02</v>
      </c>
      <c r="L212" s="71">
        <f t="shared" si="20"/>
        <v>902.06</v>
      </c>
      <c r="M212" s="34">
        <v>30005613</v>
      </c>
      <c r="N212" s="2" t="s">
        <v>125</v>
      </c>
      <c r="O212" s="3" t="s">
        <v>832</v>
      </c>
      <c r="P212" s="21" t="s">
        <v>833</v>
      </c>
      <c r="Q212" s="9" t="s">
        <v>176</v>
      </c>
      <c r="R212" s="155">
        <v>30093974</v>
      </c>
      <c r="S212" s="2" t="s">
        <v>128</v>
      </c>
      <c r="T212" s="162">
        <v>16</v>
      </c>
      <c r="U212" s="170"/>
      <c r="V212" s="169">
        <f t="shared" si="18"/>
        <v>0</v>
      </c>
      <c r="W212" s="11">
        <v>20016490</v>
      </c>
      <c r="X212" s="2" t="s">
        <v>110</v>
      </c>
      <c r="Y212" s="3">
        <v>4</v>
      </c>
      <c r="Z212" s="3">
        <v>2</v>
      </c>
      <c r="AA212" s="38">
        <f t="shared" si="16"/>
        <v>8</v>
      </c>
      <c r="AB212" s="33" t="s">
        <v>109</v>
      </c>
      <c r="AC212" s="2" t="s">
        <v>109</v>
      </c>
      <c r="AD212" s="2" t="s">
        <v>109</v>
      </c>
      <c r="AE212" s="27" t="s">
        <v>109</v>
      </c>
      <c r="AF212" s="106" t="s">
        <v>112</v>
      </c>
      <c r="AG212" s="3">
        <v>131</v>
      </c>
      <c r="AH212" s="106" t="s">
        <v>112</v>
      </c>
      <c r="AI212" s="27" t="s">
        <v>1270</v>
      </c>
      <c r="AJ212" s="34">
        <v>66</v>
      </c>
      <c r="AK212" s="27">
        <f>AJ212+AJ212*12%</f>
        <v>73.92</v>
      </c>
      <c r="AL212" s="52"/>
    </row>
    <row r="213" spans="1:38" ht="17.25" customHeight="1" x14ac:dyDescent="0.25">
      <c r="A213" s="3">
        <v>3</v>
      </c>
      <c r="B213" s="3" t="s">
        <v>834</v>
      </c>
      <c r="C213" s="3" t="s">
        <v>835</v>
      </c>
      <c r="D213" s="21" t="s">
        <v>843</v>
      </c>
      <c r="E213" s="67" t="s">
        <v>8</v>
      </c>
      <c r="F213" s="34">
        <v>20016373</v>
      </c>
      <c r="G213" s="43" t="s">
        <v>111</v>
      </c>
      <c r="H213" s="3" t="s">
        <v>836</v>
      </c>
      <c r="I213" s="3" t="s">
        <v>838</v>
      </c>
      <c r="J213" s="28">
        <v>6</v>
      </c>
      <c r="K213" s="70">
        <v>17.02</v>
      </c>
      <c r="L213" s="71">
        <f t="shared" si="20"/>
        <v>102.12</v>
      </c>
      <c r="M213" s="34" t="s">
        <v>109</v>
      </c>
      <c r="N213" s="3" t="s">
        <v>109</v>
      </c>
      <c r="O213" s="3" t="s">
        <v>109</v>
      </c>
      <c r="P213" s="3" t="s">
        <v>109</v>
      </c>
      <c r="Q213" s="9" t="s">
        <v>109</v>
      </c>
      <c r="R213" s="155" t="s">
        <v>109</v>
      </c>
      <c r="S213" s="3" t="s">
        <v>109</v>
      </c>
      <c r="T213" s="158" t="s">
        <v>109</v>
      </c>
      <c r="U213" s="155"/>
      <c r="V213" s="169"/>
      <c r="W213" s="11">
        <v>20016490</v>
      </c>
      <c r="X213" s="2" t="s">
        <v>110</v>
      </c>
      <c r="Y213" s="3">
        <v>4</v>
      </c>
      <c r="Z213" s="3">
        <v>2</v>
      </c>
      <c r="AA213" s="38">
        <f t="shared" si="16"/>
        <v>8</v>
      </c>
      <c r="AB213" s="33" t="s">
        <v>109</v>
      </c>
      <c r="AC213" s="2" t="s">
        <v>109</v>
      </c>
      <c r="AD213" s="2" t="s">
        <v>109</v>
      </c>
      <c r="AE213" s="27" t="s">
        <v>109</v>
      </c>
      <c r="AF213" s="107" t="s">
        <v>109</v>
      </c>
      <c r="AG213" s="2">
        <v>132</v>
      </c>
      <c r="AH213" s="97" t="s">
        <v>129</v>
      </c>
      <c r="AI213" s="27" t="s">
        <v>1270</v>
      </c>
      <c r="AJ213" s="33" t="s">
        <v>109</v>
      </c>
      <c r="AK213" s="27" t="s">
        <v>109</v>
      </c>
      <c r="AL213" s="52"/>
    </row>
    <row r="214" spans="1:38" x14ac:dyDescent="0.25">
      <c r="A214" s="3">
        <v>3</v>
      </c>
      <c r="B214" s="3" t="s">
        <v>834</v>
      </c>
      <c r="C214" s="3" t="s">
        <v>835</v>
      </c>
      <c r="D214" s="21" t="s">
        <v>837</v>
      </c>
      <c r="E214" s="67" t="s">
        <v>8</v>
      </c>
      <c r="F214" s="34">
        <v>20016373</v>
      </c>
      <c r="G214" s="43" t="s">
        <v>111</v>
      </c>
      <c r="H214" s="3" t="s">
        <v>839</v>
      </c>
      <c r="I214" s="3" t="s">
        <v>840</v>
      </c>
      <c r="J214" s="28">
        <v>6</v>
      </c>
      <c r="K214" s="70">
        <v>17.02</v>
      </c>
      <c r="L214" s="71">
        <f t="shared" si="20"/>
        <v>102.12</v>
      </c>
      <c r="M214" s="34" t="s">
        <v>109</v>
      </c>
      <c r="N214" s="3" t="s">
        <v>109</v>
      </c>
      <c r="O214" s="3" t="s">
        <v>109</v>
      </c>
      <c r="P214" s="3" t="s">
        <v>109</v>
      </c>
      <c r="Q214" s="9" t="s">
        <v>109</v>
      </c>
      <c r="R214" s="155" t="s">
        <v>109</v>
      </c>
      <c r="S214" s="3" t="s">
        <v>109</v>
      </c>
      <c r="T214" s="158" t="s">
        <v>109</v>
      </c>
      <c r="U214" s="155"/>
      <c r="V214" s="169"/>
      <c r="W214" s="11">
        <v>20016490</v>
      </c>
      <c r="X214" s="2" t="s">
        <v>110</v>
      </c>
      <c r="Y214" s="3">
        <v>4</v>
      </c>
      <c r="Z214" s="3">
        <v>2</v>
      </c>
      <c r="AA214" s="38">
        <f t="shared" si="16"/>
        <v>8</v>
      </c>
      <c r="AB214" s="33" t="s">
        <v>109</v>
      </c>
      <c r="AC214" s="2" t="s">
        <v>109</v>
      </c>
      <c r="AD214" s="2" t="s">
        <v>109</v>
      </c>
      <c r="AE214" s="27" t="s">
        <v>109</v>
      </c>
      <c r="AF214" s="107" t="s">
        <v>109</v>
      </c>
      <c r="AG214" s="2">
        <v>133</v>
      </c>
      <c r="AH214" s="97" t="s">
        <v>129</v>
      </c>
      <c r="AI214" s="27" t="s">
        <v>1270</v>
      </c>
      <c r="AJ214" s="33" t="s">
        <v>109</v>
      </c>
      <c r="AK214" s="27" t="s">
        <v>109</v>
      </c>
      <c r="AL214" s="52"/>
    </row>
    <row r="215" spans="1:38" x14ac:dyDescent="0.25">
      <c r="A215" s="3">
        <v>3</v>
      </c>
      <c r="B215" s="3" t="s">
        <v>842</v>
      </c>
      <c r="C215" s="3" t="s">
        <v>841</v>
      </c>
      <c r="D215" s="21" t="s">
        <v>844</v>
      </c>
      <c r="E215" s="67" t="s">
        <v>8</v>
      </c>
      <c r="F215" s="34">
        <v>20016373</v>
      </c>
      <c r="G215" s="43" t="s">
        <v>111</v>
      </c>
      <c r="H215" s="3" t="s">
        <v>845</v>
      </c>
      <c r="I215" s="3" t="s">
        <v>846</v>
      </c>
      <c r="J215" s="28">
        <v>8</v>
      </c>
      <c r="K215" s="70">
        <v>17.02</v>
      </c>
      <c r="L215" s="71">
        <f t="shared" si="20"/>
        <v>136.16</v>
      </c>
      <c r="M215" s="34" t="s">
        <v>109</v>
      </c>
      <c r="N215" s="3" t="s">
        <v>109</v>
      </c>
      <c r="O215" s="3" t="s">
        <v>109</v>
      </c>
      <c r="P215" s="3" t="s">
        <v>109</v>
      </c>
      <c r="Q215" s="9" t="s">
        <v>109</v>
      </c>
      <c r="R215" s="155" t="s">
        <v>109</v>
      </c>
      <c r="S215" s="3" t="s">
        <v>109</v>
      </c>
      <c r="T215" s="158" t="s">
        <v>109</v>
      </c>
      <c r="U215" s="155"/>
      <c r="V215" s="169"/>
      <c r="W215" s="11">
        <v>20016490</v>
      </c>
      <c r="X215" s="2" t="s">
        <v>110</v>
      </c>
      <c r="Y215" s="3">
        <v>4</v>
      </c>
      <c r="Z215" s="3">
        <v>2</v>
      </c>
      <c r="AA215" s="38">
        <f t="shared" si="16"/>
        <v>8</v>
      </c>
      <c r="AB215" s="33" t="s">
        <v>109</v>
      </c>
      <c r="AC215" s="2" t="s">
        <v>109</v>
      </c>
      <c r="AD215" s="2" t="s">
        <v>109</v>
      </c>
      <c r="AE215" s="27" t="s">
        <v>109</v>
      </c>
      <c r="AF215" s="107" t="s">
        <v>109</v>
      </c>
      <c r="AG215" s="2">
        <v>134</v>
      </c>
      <c r="AH215" s="97" t="s">
        <v>129</v>
      </c>
      <c r="AI215" s="27" t="s">
        <v>1270</v>
      </c>
      <c r="AJ215" s="33" t="s">
        <v>109</v>
      </c>
      <c r="AK215" s="27" t="s">
        <v>109</v>
      </c>
      <c r="AL215" s="52"/>
    </row>
    <row r="216" spans="1:38" x14ac:dyDescent="0.25">
      <c r="A216" s="3">
        <v>3</v>
      </c>
      <c r="B216" s="3" t="s">
        <v>842</v>
      </c>
      <c r="C216" s="3" t="s">
        <v>841</v>
      </c>
      <c r="D216" s="21" t="s">
        <v>837</v>
      </c>
      <c r="E216" s="67" t="s">
        <v>8</v>
      </c>
      <c r="F216" s="34">
        <v>20016373</v>
      </c>
      <c r="G216" s="43" t="s">
        <v>111</v>
      </c>
      <c r="H216" s="3" t="s">
        <v>847</v>
      </c>
      <c r="I216" s="3" t="s">
        <v>848</v>
      </c>
      <c r="J216" s="28">
        <v>11</v>
      </c>
      <c r="K216" s="70">
        <v>17.02</v>
      </c>
      <c r="L216" s="71">
        <f t="shared" si="20"/>
        <v>187.22</v>
      </c>
      <c r="M216" s="34" t="s">
        <v>109</v>
      </c>
      <c r="N216" s="3" t="s">
        <v>109</v>
      </c>
      <c r="O216" s="3" t="s">
        <v>109</v>
      </c>
      <c r="P216" s="3" t="s">
        <v>109</v>
      </c>
      <c r="Q216" s="9" t="s">
        <v>109</v>
      </c>
      <c r="R216" s="155" t="s">
        <v>109</v>
      </c>
      <c r="S216" s="3" t="s">
        <v>109</v>
      </c>
      <c r="T216" s="158" t="s">
        <v>109</v>
      </c>
      <c r="U216" s="155"/>
      <c r="V216" s="169"/>
      <c r="W216" s="11">
        <v>20016490</v>
      </c>
      <c r="X216" s="2" t="s">
        <v>110</v>
      </c>
      <c r="Y216" s="3">
        <v>4</v>
      </c>
      <c r="Z216" s="3">
        <v>2</v>
      </c>
      <c r="AA216" s="38">
        <f t="shared" ref="AA216:AA221" si="21">Z216*Y216</f>
        <v>8</v>
      </c>
      <c r="AB216" s="33" t="s">
        <v>109</v>
      </c>
      <c r="AC216" s="2" t="s">
        <v>109</v>
      </c>
      <c r="AD216" s="2" t="s">
        <v>109</v>
      </c>
      <c r="AE216" s="27" t="s">
        <v>109</v>
      </c>
      <c r="AF216" s="107" t="s">
        <v>109</v>
      </c>
      <c r="AG216" s="2">
        <v>135</v>
      </c>
      <c r="AH216" s="97" t="s">
        <v>129</v>
      </c>
      <c r="AI216" s="27" t="s">
        <v>1270</v>
      </c>
      <c r="AJ216" s="33" t="s">
        <v>109</v>
      </c>
      <c r="AK216" s="27" t="s">
        <v>109</v>
      </c>
      <c r="AL216" s="52"/>
    </row>
    <row r="217" spans="1:38" x14ac:dyDescent="0.25">
      <c r="A217" s="3">
        <v>3</v>
      </c>
      <c r="B217" s="3" t="s">
        <v>849</v>
      </c>
      <c r="C217" s="3" t="s">
        <v>850</v>
      </c>
      <c r="D217" s="21" t="s">
        <v>851</v>
      </c>
      <c r="E217" s="67" t="s">
        <v>8</v>
      </c>
      <c r="F217" s="34">
        <v>20016373</v>
      </c>
      <c r="G217" s="43" t="s">
        <v>111</v>
      </c>
      <c r="H217" s="3" t="s">
        <v>854</v>
      </c>
      <c r="I217" s="3" t="s">
        <v>856</v>
      </c>
      <c r="J217" s="28">
        <v>7</v>
      </c>
      <c r="K217" s="70">
        <v>17.02</v>
      </c>
      <c r="L217" s="71">
        <f t="shared" si="20"/>
        <v>119.14</v>
      </c>
      <c r="M217" s="34" t="s">
        <v>109</v>
      </c>
      <c r="N217" s="3" t="s">
        <v>109</v>
      </c>
      <c r="O217" s="3" t="s">
        <v>109</v>
      </c>
      <c r="P217" s="3" t="s">
        <v>109</v>
      </c>
      <c r="Q217" s="9" t="s">
        <v>109</v>
      </c>
      <c r="R217" s="155" t="s">
        <v>109</v>
      </c>
      <c r="S217" s="3" t="s">
        <v>109</v>
      </c>
      <c r="T217" s="158" t="s">
        <v>109</v>
      </c>
      <c r="U217" s="155"/>
      <c r="V217" s="169"/>
      <c r="W217" s="11">
        <v>20016490</v>
      </c>
      <c r="X217" s="2" t="s">
        <v>110</v>
      </c>
      <c r="Y217" s="3">
        <v>4</v>
      </c>
      <c r="Z217" s="3">
        <v>2</v>
      </c>
      <c r="AA217" s="38">
        <f t="shared" si="21"/>
        <v>8</v>
      </c>
      <c r="AB217" s="33" t="s">
        <v>109</v>
      </c>
      <c r="AC217" s="2" t="s">
        <v>109</v>
      </c>
      <c r="AD217" s="2" t="s">
        <v>109</v>
      </c>
      <c r="AE217" s="27" t="s">
        <v>109</v>
      </c>
      <c r="AF217" s="107" t="s">
        <v>109</v>
      </c>
      <c r="AG217" s="2">
        <v>136</v>
      </c>
      <c r="AH217" s="97" t="s">
        <v>129</v>
      </c>
      <c r="AI217" s="27" t="s">
        <v>1270</v>
      </c>
      <c r="AJ217" s="33" t="s">
        <v>109</v>
      </c>
      <c r="AK217" s="27" t="s">
        <v>109</v>
      </c>
      <c r="AL217" s="52"/>
    </row>
    <row r="218" spans="1:38" x14ac:dyDescent="0.25">
      <c r="A218" s="3">
        <v>3</v>
      </c>
      <c r="B218" s="3" t="s">
        <v>849</v>
      </c>
      <c r="C218" s="3" t="s">
        <v>850</v>
      </c>
      <c r="D218" s="21" t="s">
        <v>852</v>
      </c>
      <c r="E218" s="67" t="s">
        <v>8</v>
      </c>
      <c r="F218" s="34">
        <v>20016373</v>
      </c>
      <c r="G218" s="43" t="s">
        <v>111</v>
      </c>
      <c r="H218" s="3" t="s">
        <v>853</v>
      </c>
      <c r="I218" s="3" t="s">
        <v>855</v>
      </c>
      <c r="J218" s="28">
        <v>6</v>
      </c>
      <c r="K218" s="70">
        <v>17.02</v>
      </c>
      <c r="L218" s="71">
        <f t="shared" si="20"/>
        <v>102.12</v>
      </c>
      <c r="M218" s="34" t="s">
        <v>109</v>
      </c>
      <c r="N218" s="3" t="s">
        <v>109</v>
      </c>
      <c r="O218" s="3" t="s">
        <v>109</v>
      </c>
      <c r="P218" s="3" t="s">
        <v>109</v>
      </c>
      <c r="Q218" s="9" t="s">
        <v>109</v>
      </c>
      <c r="R218" s="155" t="s">
        <v>109</v>
      </c>
      <c r="S218" s="3" t="s">
        <v>109</v>
      </c>
      <c r="T218" s="158" t="s">
        <v>109</v>
      </c>
      <c r="U218" s="155"/>
      <c r="V218" s="169"/>
      <c r="W218" s="11">
        <v>20016490</v>
      </c>
      <c r="X218" s="2" t="s">
        <v>110</v>
      </c>
      <c r="Y218" s="3">
        <v>4</v>
      </c>
      <c r="Z218" s="3">
        <v>2</v>
      </c>
      <c r="AA218" s="38">
        <f t="shared" si="21"/>
        <v>8</v>
      </c>
      <c r="AB218" s="33" t="s">
        <v>109</v>
      </c>
      <c r="AC218" s="2" t="s">
        <v>109</v>
      </c>
      <c r="AD218" s="2" t="s">
        <v>109</v>
      </c>
      <c r="AE218" s="27" t="s">
        <v>109</v>
      </c>
      <c r="AF218" s="107" t="s">
        <v>109</v>
      </c>
      <c r="AG218" s="2">
        <v>137</v>
      </c>
      <c r="AH218" s="97" t="s">
        <v>129</v>
      </c>
      <c r="AI218" s="27" t="s">
        <v>1270</v>
      </c>
      <c r="AJ218" s="33" t="s">
        <v>109</v>
      </c>
      <c r="AK218" s="27" t="s">
        <v>109</v>
      </c>
      <c r="AL218" s="52"/>
    </row>
    <row r="219" spans="1:38" x14ac:dyDescent="0.25">
      <c r="A219" s="3">
        <v>3</v>
      </c>
      <c r="B219" s="3" t="s">
        <v>857</v>
      </c>
      <c r="C219" s="3" t="s">
        <v>859</v>
      </c>
      <c r="D219" s="21" t="s">
        <v>867</v>
      </c>
      <c r="E219" s="23" t="s">
        <v>288</v>
      </c>
      <c r="F219" s="34">
        <v>20016373</v>
      </c>
      <c r="G219" s="43" t="s">
        <v>111</v>
      </c>
      <c r="H219" s="3" t="s">
        <v>863</v>
      </c>
      <c r="I219" s="3" t="s">
        <v>864</v>
      </c>
      <c r="J219" s="28">
        <v>32</v>
      </c>
      <c r="K219" s="70">
        <v>17.02</v>
      </c>
      <c r="L219" s="71">
        <f t="shared" si="20"/>
        <v>544.64</v>
      </c>
      <c r="M219" s="34" t="s">
        <v>109</v>
      </c>
      <c r="N219" s="3" t="s">
        <v>109</v>
      </c>
      <c r="O219" s="3" t="s">
        <v>109</v>
      </c>
      <c r="P219" s="3" t="s">
        <v>109</v>
      </c>
      <c r="Q219" s="9" t="s">
        <v>109</v>
      </c>
      <c r="R219" s="155" t="s">
        <v>109</v>
      </c>
      <c r="S219" s="3" t="s">
        <v>109</v>
      </c>
      <c r="T219" s="158" t="s">
        <v>109</v>
      </c>
      <c r="U219" s="155"/>
      <c r="V219" s="169"/>
      <c r="W219" s="11">
        <v>20016490</v>
      </c>
      <c r="X219" s="2" t="s">
        <v>110</v>
      </c>
      <c r="Y219" s="3">
        <v>4</v>
      </c>
      <c r="Z219" s="3">
        <v>2</v>
      </c>
      <c r="AA219" s="38">
        <f t="shared" si="21"/>
        <v>8</v>
      </c>
      <c r="AB219" s="33" t="s">
        <v>109</v>
      </c>
      <c r="AC219" s="2" t="s">
        <v>109</v>
      </c>
      <c r="AD219" s="2" t="s">
        <v>109</v>
      </c>
      <c r="AE219" s="27" t="s">
        <v>109</v>
      </c>
      <c r="AF219" s="107" t="s">
        <v>109</v>
      </c>
      <c r="AG219" s="2">
        <v>138</v>
      </c>
      <c r="AH219" s="97" t="s">
        <v>129</v>
      </c>
      <c r="AI219" s="27" t="s">
        <v>1270</v>
      </c>
      <c r="AJ219" s="33" t="s">
        <v>109</v>
      </c>
      <c r="AK219" s="27" t="s">
        <v>109</v>
      </c>
      <c r="AL219" s="52"/>
    </row>
    <row r="220" spans="1:38" x14ac:dyDescent="0.25">
      <c r="A220" s="3">
        <v>3</v>
      </c>
      <c r="B220" s="3" t="s">
        <v>858</v>
      </c>
      <c r="C220" s="3" t="s">
        <v>860</v>
      </c>
      <c r="D220" s="21" t="s">
        <v>867</v>
      </c>
      <c r="E220" s="23" t="s">
        <v>288</v>
      </c>
      <c r="F220" s="34">
        <v>20016373</v>
      </c>
      <c r="G220" s="43" t="s">
        <v>111</v>
      </c>
      <c r="H220" s="3" t="s">
        <v>865</v>
      </c>
      <c r="I220" s="21" t="s">
        <v>866</v>
      </c>
      <c r="J220" s="28">
        <v>32</v>
      </c>
      <c r="K220" s="70">
        <v>17.02</v>
      </c>
      <c r="L220" s="71">
        <f t="shared" si="20"/>
        <v>544.64</v>
      </c>
      <c r="M220" s="34" t="s">
        <v>109</v>
      </c>
      <c r="N220" s="3" t="s">
        <v>109</v>
      </c>
      <c r="O220" s="3" t="s">
        <v>109</v>
      </c>
      <c r="P220" s="3" t="s">
        <v>109</v>
      </c>
      <c r="Q220" s="9" t="s">
        <v>109</v>
      </c>
      <c r="R220" s="155" t="s">
        <v>109</v>
      </c>
      <c r="S220" s="3" t="s">
        <v>109</v>
      </c>
      <c r="T220" s="158" t="s">
        <v>109</v>
      </c>
      <c r="U220" s="155"/>
      <c r="V220" s="169"/>
      <c r="W220" s="11">
        <v>20016490</v>
      </c>
      <c r="X220" s="2" t="s">
        <v>110</v>
      </c>
      <c r="Y220" s="3">
        <v>4</v>
      </c>
      <c r="Z220" s="3">
        <v>2</v>
      </c>
      <c r="AA220" s="38">
        <f t="shared" si="21"/>
        <v>8</v>
      </c>
      <c r="AB220" s="33" t="s">
        <v>109</v>
      </c>
      <c r="AC220" s="2" t="s">
        <v>109</v>
      </c>
      <c r="AD220" s="2" t="s">
        <v>109</v>
      </c>
      <c r="AE220" s="27" t="s">
        <v>109</v>
      </c>
      <c r="AF220" s="107" t="s">
        <v>109</v>
      </c>
      <c r="AG220" s="2">
        <v>139</v>
      </c>
      <c r="AH220" s="97" t="s">
        <v>129</v>
      </c>
      <c r="AI220" s="27" t="s">
        <v>1270</v>
      </c>
      <c r="AJ220" s="33" t="s">
        <v>109</v>
      </c>
      <c r="AK220" s="27" t="s">
        <v>109</v>
      </c>
      <c r="AL220" s="52"/>
    </row>
    <row r="221" spans="1:38" x14ac:dyDescent="0.25">
      <c r="A221" s="3">
        <v>3</v>
      </c>
      <c r="B221" s="3" t="s">
        <v>861</v>
      </c>
      <c r="C221" s="3" t="s">
        <v>862</v>
      </c>
      <c r="D221" s="21" t="s">
        <v>867</v>
      </c>
      <c r="E221" s="23" t="s">
        <v>288</v>
      </c>
      <c r="F221" s="34">
        <v>20016373</v>
      </c>
      <c r="G221" s="43" t="s">
        <v>111</v>
      </c>
      <c r="H221" s="3" t="s">
        <v>868</v>
      </c>
      <c r="I221" s="21" t="s">
        <v>869</v>
      </c>
      <c r="J221" s="28">
        <v>32</v>
      </c>
      <c r="K221" s="70">
        <v>17.02</v>
      </c>
      <c r="L221" s="71">
        <f t="shared" si="20"/>
        <v>544.64</v>
      </c>
      <c r="M221" s="34" t="s">
        <v>109</v>
      </c>
      <c r="N221" s="3" t="s">
        <v>109</v>
      </c>
      <c r="O221" s="3" t="s">
        <v>109</v>
      </c>
      <c r="P221" s="3" t="s">
        <v>109</v>
      </c>
      <c r="Q221" s="9" t="s">
        <v>109</v>
      </c>
      <c r="R221" s="155" t="s">
        <v>109</v>
      </c>
      <c r="S221" s="3" t="s">
        <v>109</v>
      </c>
      <c r="T221" s="158" t="s">
        <v>109</v>
      </c>
      <c r="U221" s="155"/>
      <c r="V221" s="169"/>
      <c r="W221" s="11">
        <v>20016490</v>
      </c>
      <c r="X221" s="2" t="s">
        <v>110</v>
      </c>
      <c r="Y221" s="3">
        <v>4</v>
      </c>
      <c r="Z221" s="3">
        <v>2</v>
      </c>
      <c r="AA221" s="38">
        <f t="shared" si="21"/>
        <v>8</v>
      </c>
      <c r="AB221" s="33" t="s">
        <v>109</v>
      </c>
      <c r="AC221" s="2" t="s">
        <v>109</v>
      </c>
      <c r="AD221" s="2" t="s">
        <v>109</v>
      </c>
      <c r="AE221" s="27" t="s">
        <v>109</v>
      </c>
      <c r="AF221" s="107" t="s">
        <v>109</v>
      </c>
      <c r="AG221" s="2">
        <v>140</v>
      </c>
      <c r="AH221" s="97" t="s">
        <v>129</v>
      </c>
      <c r="AI221" s="27" t="s">
        <v>1270</v>
      </c>
      <c r="AJ221" s="33" t="s">
        <v>109</v>
      </c>
      <c r="AK221" s="27" t="s">
        <v>109</v>
      </c>
      <c r="AL221" s="52"/>
    </row>
    <row r="222" spans="1:38" x14ac:dyDescent="0.25">
      <c r="A222" s="3">
        <v>3</v>
      </c>
      <c r="B222" s="3" t="s">
        <v>870</v>
      </c>
      <c r="C222" s="3" t="s">
        <v>871</v>
      </c>
      <c r="D222" s="21" t="s">
        <v>867</v>
      </c>
      <c r="E222" s="23" t="s">
        <v>288</v>
      </c>
      <c r="F222" s="34">
        <v>20016373</v>
      </c>
      <c r="G222" s="43" t="s">
        <v>111</v>
      </c>
      <c r="H222" s="3" t="s">
        <v>874</v>
      </c>
      <c r="I222" s="3" t="s">
        <v>875</v>
      </c>
      <c r="J222" s="28">
        <v>20</v>
      </c>
      <c r="K222" s="70">
        <v>17.02</v>
      </c>
      <c r="L222" s="71">
        <f t="shared" si="20"/>
        <v>340.4</v>
      </c>
      <c r="M222" s="34" t="s">
        <v>109</v>
      </c>
      <c r="N222" s="3" t="s">
        <v>109</v>
      </c>
      <c r="O222" s="3" t="s">
        <v>109</v>
      </c>
      <c r="P222" s="3" t="s">
        <v>109</v>
      </c>
      <c r="Q222" s="9" t="s">
        <v>109</v>
      </c>
      <c r="R222" s="155" t="s">
        <v>109</v>
      </c>
      <c r="S222" s="3" t="s">
        <v>109</v>
      </c>
      <c r="T222" s="158" t="s">
        <v>109</v>
      </c>
      <c r="U222" s="155"/>
      <c r="V222" s="169"/>
      <c r="W222" s="11">
        <v>20016490</v>
      </c>
      <c r="X222" s="2" t="s">
        <v>110</v>
      </c>
      <c r="Y222" s="3">
        <v>4</v>
      </c>
      <c r="Z222" s="3">
        <v>2</v>
      </c>
      <c r="AA222" s="38">
        <f t="shared" ref="AA222:AA231" si="22">Z222*Y222</f>
        <v>8</v>
      </c>
      <c r="AB222" s="33" t="s">
        <v>109</v>
      </c>
      <c r="AC222" s="2" t="s">
        <v>109</v>
      </c>
      <c r="AD222" s="2" t="s">
        <v>109</v>
      </c>
      <c r="AE222" s="27" t="s">
        <v>109</v>
      </c>
      <c r="AF222" s="107" t="s">
        <v>109</v>
      </c>
      <c r="AG222" s="2">
        <v>141</v>
      </c>
      <c r="AH222" s="97" t="s">
        <v>129</v>
      </c>
      <c r="AI222" s="27" t="s">
        <v>1270</v>
      </c>
      <c r="AJ222" s="33" t="s">
        <v>109</v>
      </c>
      <c r="AK222" s="27" t="s">
        <v>109</v>
      </c>
      <c r="AL222" s="52"/>
    </row>
    <row r="223" spans="1:38" x14ac:dyDescent="0.25">
      <c r="A223" s="3">
        <v>3</v>
      </c>
      <c r="B223" s="3" t="s">
        <v>872</v>
      </c>
      <c r="C223" s="3" t="s">
        <v>873</v>
      </c>
      <c r="D223" s="21" t="s">
        <v>867</v>
      </c>
      <c r="E223" s="23" t="s">
        <v>288</v>
      </c>
      <c r="F223" s="34">
        <v>20016373</v>
      </c>
      <c r="G223" s="43" t="s">
        <v>111</v>
      </c>
      <c r="H223" s="3" t="s">
        <v>876</v>
      </c>
      <c r="I223" s="3" t="s">
        <v>877</v>
      </c>
      <c r="J223" s="28">
        <v>20</v>
      </c>
      <c r="K223" s="70">
        <v>17.02</v>
      </c>
      <c r="L223" s="71">
        <f t="shared" si="20"/>
        <v>340.4</v>
      </c>
      <c r="M223" s="34" t="s">
        <v>109</v>
      </c>
      <c r="N223" s="3" t="s">
        <v>109</v>
      </c>
      <c r="O223" s="3" t="s">
        <v>109</v>
      </c>
      <c r="P223" s="3" t="s">
        <v>109</v>
      </c>
      <c r="Q223" s="9" t="s">
        <v>109</v>
      </c>
      <c r="R223" s="155" t="s">
        <v>109</v>
      </c>
      <c r="S223" s="3" t="s">
        <v>109</v>
      </c>
      <c r="T223" s="158" t="s">
        <v>109</v>
      </c>
      <c r="U223" s="155"/>
      <c r="V223" s="169"/>
      <c r="W223" s="11">
        <v>20016490</v>
      </c>
      <c r="X223" s="2" t="s">
        <v>110</v>
      </c>
      <c r="Y223" s="3">
        <v>4</v>
      </c>
      <c r="Z223" s="3">
        <v>2</v>
      </c>
      <c r="AA223" s="38">
        <f t="shared" si="22"/>
        <v>8</v>
      </c>
      <c r="AB223" s="33" t="s">
        <v>109</v>
      </c>
      <c r="AC223" s="2" t="s">
        <v>109</v>
      </c>
      <c r="AD223" s="2" t="s">
        <v>109</v>
      </c>
      <c r="AE223" s="27" t="s">
        <v>109</v>
      </c>
      <c r="AF223" s="107" t="s">
        <v>109</v>
      </c>
      <c r="AG223" s="2">
        <v>142</v>
      </c>
      <c r="AH223" s="97" t="s">
        <v>129</v>
      </c>
      <c r="AI223" s="27" t="s">
        <v>1270</v>
      </c>
      <c r="AJ223" s="33" t="s">
        <v>109</v>
      </c>
      <c r="AK223" s="27" t="s">
        <v>109</v>
      </c>
      <c r="AL223" s="52"/>
    </row>
    <row r="224" spans="1:38" x14ac:dyDescent="0.25">
      <c r="A224" s="3">
        <v>3</v>
      </c>
      <c r="B224" s="3" t="s">
        <v>878</v>
      </c>
      <c r="C224" s="3" t="s">
        <v>879</v>
      </c>
      <c r="D224" s="21" t="s">
        <v>318</v>
      </c>
      <c r="E224" s="23" t="s">
        <v>8</v>
      </c>
      <c r="F224" s="34">
        <v>20016373</v>
      </c>
      <c r="G224" s="43" t="s">
        <v>111</v>
      </c>
      <c r="H224" s="3" t="s">
        <v>880</v>
      </c>
      <c r="I224" s="3" t="s">
        <v>881</v>
      </c>
      <c r="J224" s="28">
        <v>16</v>
      </c>
      <c r="K224" s="70">
        <v>17.02</v>
      </c>
      <c r="L224" s="71">
        <f t="shared" si="20"/>
        <v>272.32</v>
      </c>
      <c r="M224" s="34" t="s">
        <v>109</v>
      </c>
      <c r="N224" s="3" t="s">
        <v>109</v>
      </c>
      <c r="O224" s="3" t="s">
        <v>109</v>
      </c>
      <c r="P224" s="3" t="s">
        <v>109</v>
      </c>
      <c r="Q224" s="9" t="s">
        <v>109</v>
      </c>
      <c r="R224" s="155" t="s">
        <v>109</v>
      </c>
      <c r="S224" s="3" t="s">
        <v>109</v>
      </c>
      <c r="T224" s="158" t="s">
        <v>109</v>
      </c>
      <c r="U224" s="155"/>
      <c r="V224" s="169"/>
      <c r="W224" s="11">
        <v>20016490</v>
      </c>
      <c r="X224" s="2" t="s">
        <v>110</v>
      </c>
      <c r="Y224" s="3">
        <v>4</v>
      </c>
      <c r="Z224" s="3">
        <v>1</v>
      </c>
      <c r="AA224" s="38">
        <f t="shared" si="22"/>
        <v>4</v>
      </c>
      <c r="AB224" s="33" t="s">
        <v>109</v>
      </c>
      <c r="AC224" s="2" t="s">
        <v>109</v>
      </c>
      <c r="AD224" s="2" t="s">
        <v>109</v>
      </c>
      <c r="AE224" s="27" t="s">
        <v>109</v>
      </c>
      <c r="AF224" s="107" t="s">
        <v>109</v>
      </c>
      <c r="AG224" s="2">
        <v>143</v>
      </c>
      <c r="AH224" s="97" t="s">
        <v>129</v>
      </c>
      <c r="AI224" s="27" t="s">
        <v>1270</v>
      </c>
      <c r="AJ224" s="33" t="s">
        <v>109</v>
      </c>
      <c r="AK224" s="27" t="s">
        <v>109</v>
      </c>
      <c r="AL224" s="52"/>
    </row>
    <row r="225" spans="1:38" x14ac:dyDescent="0.25">
      <c r="A225" s="3">
        <v>3</v>
      </c>
      <c r="B225" s="3" t="s">
        <v>882</v>
      </c>
      <c r="C225" s="3" t="s">
        <v>883</v>
      </c>
      <c r="D225" s="21" t="s">
        <v>318</v>
      </c>
      <c r="E225" s="23" t="s">
        <v>8</v>
      </c>
      <c r="F225" s="34">
        <v>20016373</v>
      </c>
      <c r="G225" s="43" t="s">
        <v>111</v>
      </c>
      <c r="H225" s="3" t="s">
        <v>884</v>
      </c>
      <c r="I225" s="3" t="s">
        <v>885</v>
      </c>
      <c r="J225" s="28">
        <v>83</v>
      </c>
      <c r="K225" s="70">
        <v>17.02</v>
      </c>
      <c r="L225" s="71">
        <f t="shared" si="20"/>
        <v>1412.6599999999999</v>
      </c>
      <c r="M225" s="34">
        <v>30005613</v>
      </c>
      <c r="N225" s="2" t="s">
        <v>125</v>
      </c>
      <c r="O225" s="3" t="s">
        <v>886</v>
      </c>
      <c r="P225" s="21" t="s">
        <v>887</v>
      </c>
      <c r="Q225" s="9" t="s">
        <v>176</v>
      </c>
      <c r="R225" s="155">
        <v>30093974</v>
      </c>
      <c r="S225" s="2" t="s">
        <v>128</v>
      </c>
      <c r="T225" s="162">
        <v>16</v>
      </c>
      <c r="U225" s="157">
        <v>15.31</v>
      </c>
      <c r="V225" s="169">
        <f t="shared" si="18"/>
        <v>244.96</v>
      </c>
      <c r="W225" s="11">
        <v>20016490</v>
      </c>
      <c r="X225" s="2" t="s">
        <v>110</v>
      </c>
      <c r="Y225" s="3">
        <v>10</v>
      </c>
      <c r="Z225" s="3">
        <v>2</v>
      </c>
      <c r="AA225" s="38">
        <f t="shared" si="22"/>
        <v>20</v>
      </c>
      <c r="AB225" s="33" t="s">
        <v>109</v>
      </c>
      <c r="AC225" s="2" t="s">
        <v>109</v>
      </c>
      <c r="AD225" s="2" t="s">
        <v>109</v>
      </c>
      <c r="AE225" s="27" t="s">
        <v>109</v>
      </c>
      <c r="AF225" s="106" t="s">
        <v>112</v>
      </c>
      <c r="AG225" s="3">
        <v>144</v>
      </c>
      <c r="AH225" s="106" t="s">
        <v>112</v>
      </c>
      <c r="AI225" s="27" t="s">
        <v>1270</v>
      </c>
      <c r="AJ225" s="34">
        <v>71</v>
      </c>
      <c r="AK225" s="27">
        <f t="shared" ref="AK225:AK231" si="23">AJ225+AJ225*12%</f>
        <v>79.52</v>
      </c>
      <c r="AL225" s="52"/>
    </row>
    <row r="226" spans="1:38" ht="17.25" customHeight="1" x14ac:dyDescent="0.25">
      <c r="A226" s="3">
        <v>3</v>
      </c>
      <c r="B226" s="3" t="s">
        <v>888</v>
      </c>
      <c r="C226" s="3" t="s">
        <v>890</v>
      </c>
      <c r="D226" s="21" t="s">
        <v>318</v>
      </c>
      <c r="E226" s="23" t="s">
        <v>8</v>
      </c>
      <c r="F226" s="34">
        <v>20016373</v>
      </c>
      <c r="G226" s="43" t="s">
        <v>111</v>
      </c>
      <c r="H226" s="3"/>
      <c r="I226" s="3" t="s">
        <v>892</v>
      </c>
      <c r="J226" s="28">
        <v>30</v>
      </c>
      <c r="K226" s="70">
        <v>17.02</v>
      </c>
      <c r="L226" s="71">
        <f t="shared" si="20"/>
        <v>510.59999999999997</v>
      </c>
      <c r="M226" s="34">
        <v>30005613</v>
      </c>
      <c r="N226" s="2" t="s">
        <v>125</v>
      </c>
      <c r="O226" s="3"/>
      <c r="P226" s="21" t="s">
        <v>893</v>
      </c>
      <c r="Q226" s="9" t="s">
        <v>124</v>
      </c>
      <c r="R226" s="155" t="s">
        <v>109</v>
      </c>
      <c r="S226" s="3" t="s">
        <v>109</v>
      </c>
      <c r="T226" s="158" t="s">
        <v>109</v>
      </c>
      <c r="U226" s="155"/>
      <c r="V226" s="169"/>
      <c r="W226" s="11">
        <v>20016490</v>
      </c>
      <c r="X226" s="2" t="s">
        <v>110</v>
      </c>
      <c r="Y226" s="3">
        <v>2</v>
      </c>
      <c r="Z226" s="3">
        <v>2</v>
      </c>
      <c r="AA226" s="38">
        <f t="shared" si="22"/>
        <v>4</v>
      </c>
      <c r="AB226" s="33" t="s">
        <v>109</v>
      </c>
      <c r="AC226" s="2" t="s">
        <v>109</v>
      </c>
      <c r="AD226" s="2" t="s">
        <v>109</v>
      </c>
      <c r="AE226" s="27" t="s">
        <v>109</v>
      </c>
      <c r="AF226" s="106" t="s">
        <v>112</v>
      </c>
      <c r="AG226" s="3">
        <v>145</v>
      </c>
      <c r="AH226" s="106" t="s">
        <v>112</v>
      </c>
      <c r="AI226" s="27" t="s">
        <v>1270</v>
      </c>
      <c r="AJ226" s="34">
        <v>57</v>
      </c>
      <c r="AK226" s="27">
        <f t="shared" si="23"/>
        <v>63.84</v>
      </c>
      <c r="AL226" s="52"/>
    </row>
    <row r="227" spans="1:38" ht="17.25" customHeight="1" x14ac:dyDescent="0.25">
      <c r="A227" s="3">
        <v>3</v>
      </c>
      <c r="B227" s="3" t="s">
        <v>888</v>
      </c>
      <c r="C227" s="3" t="s">
        <v>891</v>
      </c>
      <c r="D227" s="21" t="s">
        <v>318</v>
      </c>
      <c r="E227" s="23" t="s">
        <v>8</v>
      </c>
      <c r="F227" s="34">
        <v>20016373</v>
      </c>
      <c r="G227" s="43" t="s">
        <v>111</v>
      </c>
      <c r="H227" s="3"/>
      <c r="I227" s="3" t="s">
        <v>894</v>
      </c>
      <c r="J227" s="28">
        <v>30</v>
      </c>
      <c r="K227" s="70">
        <v>17.02</v>
      </c>
      <c r="L227" s="71">
        <f t="shared" si="20"/>
        <v>510.59999999999997</v>
      </c>
      <c r="M227" s="34">
        <v>30005613</v>
      </c>
      <c r="N227" s="2" t="s">
        <v>125</v>
      </c>
      <c r="O227" s="3"/>
      <c r="P227" s="21" t="s">
        <v>895</v>
      </c>
      <c r="Q227" s="9" t="s">
        <v>124</v>
      </c>
      <c r="R227" s="155" t="s">
        <v>109</v>
      </c>
      <c r="S227" s="3" t="s">
        <v>109</v>
      </c>
      <c r="T227" s="158" t="s">
        <v>109</v>
      </c>
      <c r="U227" s="155"/>
      <c r="V227" s="169"/>
      <c r="W227" s="11">
        <v>20016490</v>
      </c>
      <c r="X227" s="2" t="s">
        <v>110</v>
      </c>
      <c r="Y227" s="3">
        <v>2</v>
      </c>
      <c r="Z227" s="3">
        <v>2</v>
      </c>
      <c r="AA227" s="38">
        <f t="shared" si="22"/>
        <v>4</v>
      </c>
      <c r="AB227" s="33" t="s">
        <v>109</v>
      </c>
      <c r="AC227" s="2" t="s">
        <v>109</v>
      </c>
      <c r="AD227" s="2" t="s">
        <v>109</v>
      </c>
      <c r="AE227" s="27" t="s">
        <v>109</v>
      </c>
      <c r="AF227" s="106" t="s">
        <v>112</v>
      </c>
      <c r="AG227" s="3">
        <v>146</v>
      </c>
      <c r="AH227" s="106" t="s">
        <v>112</v>
      </c>
      <c r="AI227" s="27" t="s">
        <v>1270</v>
      </c>
      <c r="AJ227" s="34">
        <v>58</v>
      </c>
      <c r="AK227" s="27">
        <f t="shared" si="23"/>
        <v>64.959999999999994</v>
      </c>
      <c r="AL227" s="52"/>
    </row>
    <row r="228" spans="1:38" x14ac:dyDescent="0.25">
      <c r="A228" s="3">
        <v>3</v>
      </c>
      <c r="B228" s="3" t="s">
        <v>888</v>
      </c>
      <c r="C228" s="3" t="s">
        <v>904</v>
      </c>
      <c r="D228" s="21" t="s">
        <v>896</v>
      </c>
      <c r="E228" s="23" t="s">
        <v>34</v>
      </c>
      <c r="F228" s="34">
        <v>20016373</v>
      </c>
      <c r="G228" s="55" t="s">
        <v>455</v>
      </c>
      <c r="H228" s="3"/>
      <c r="I228" s="3" t="s">
        <v>897</v>
      </c>
      <c r="J228" s="28">
        <v>220</v>
      </c>
      <c r="K228" s="70">
        <v>17.02</v>
      </c>
      <c r="L228" s="71">
        <f t="shared" si="20"/>
        <v>3744.4</v>
      </c>
      <c r="M228" s="34">
        <v>30005613</v>
      </c>
      <c r="N228" s="2" t="s">
        <v>125</v>
      </c>
      <c r="O228" s="3"/>
      <c r="P228" s="21" t="s">
        <v>898</v>
      </c>
      <c r="Q228" s="9" t="s">
        <v>176</v>
      </c>
      <c r="R228" s="155" t="s">
        <v>109</v>
      </c>
      <c r="S228" s="3" t="s">
        <v>109</v>
      </c>
      <c r="T228" s="158" t="s">
        <v>109</v>
      </c>
      <c r="U228" s="155"/>
      <c r="V228" s="169"/>
      <c r="W228" s="11">
        <v>20016490</v>
      </c>
      <c r="X228" s="2" t="s">
        <v>110</v>
      </c>
      <c r="Y228" s="20"/>
      <c r="Z228" s="20"/>
      <c r="AA228" s="38">
        <f t="shared" si="22"/>
        <v>0</v>
      </c>
      <c r="AB228" s="33" t="s">
        <v>109</v>
      </c>
      <c r="AC228" s="2" t="s">
        <v>109</v>
      </c>
      <c r="AD228" s="2" t="s">
        <v>109</v>
      </c>
      <c r="AE228" s="27" t="s">
        <v>109</v>
      </c>
      <c r="AF228" s="106" t="s">
        <v>112</v>
      </c>
      <c r="AG228" s="3">
        <v>147</v>
      </c>
      <c r="AH228" s="106" t="s">
        <v>112</v>
      </c>
      <c r="AI228" s="27" t="s">
        <v>1270</v>
      </c>
      <c r="AJ228" s="34">
        <v>65</v>
      </c>
      <c r="AK228" s="27">
        <f t="shared" si="23"/>
        <v>72.8</v>
      </c>
      <c r="AL228" s="52"/>
    </row>
    <row r="229" spans="1:38" x14ac:dyDescent="0.25">
      <c r="A229" s="3">
        <v>3</v>
      </c>
      <c r="B229" s="3" t="s">
        <v>888</v>
      </c>
      <c r="C229" s="3" t="s">
        <v>905</v>
      </c>
      <c r="D229" s="21" t="s">
        <v>899</v>
      </c>
      <c r="E229" s="23" t="s">
        <v>34</v>
      </c>
      <c r="F229" s="34">
        <v>20016373</v>
      </c>
      <c r="G229" s="43" t="s">
        <v>111</v>
      </c>
      <c r="H229" s="3"/>
      <c r="I229" s="3" t="s">
        <v>900</v>
      </c>
      <c r="J229" s="28">
        <v>220</v>
      </c>
      <c r="K229" s="70">
        <v>17.02</v>
      </c>
      <c r="L229" s="71">
        <f t="shared" si="20"/>
        <v>3744.4</v>
      </c>
      <c r="M229" s="34">
        <v>30005613</v>
      </c>
      <c r="N229" s="2" t="s">
        <v>125</v>
      </c>
      <c r="O229" s="3"/>
      <c r="P229" s="21" t="s">
        <v>901</v>
      </c>
      <c r="Q229" s="9" t="s">
        <v>176</v>
      </c>
      <c r="R229" s="155" t="s">
        <v>109</v>
      </c>
      <c r="S229" s="3" t="s">
        <v>109</v>
      </c>
      <c r="T229" s="158" t="s">
        <v>109</v>
      </c>
      <c r="U229" s="155"/>
      <c r="V229" s="169"/>
      <c r="W229" s="11">
        <v>20016490</v>
      </c>
      <c r="X229" s="2" t="s">
        <v>110</v>
      </c>
      <c r="Y229" s="20"/>
      <c r="Z229" s="20"/>
      <c r="AA229" s="38">
        <f t="shared" si="22"/>
        <v>0</v>
      </c>
      <c r="AB229" s="33" t="s">
        <v>109</v>
      </c>
      <c r="AC229" s="2" t="s">
        <v>109</v>
      </c>
      <c r="AD229" s="2" t="s">
        <v>109</v>
      </c>
      <c r="AE229" s="27" t="s">
        <v>109</v>
      </c>
      <c r="AF229" s="106" t="s">
        <v>112</v>
      </c>
      <c r="AG229" s="3">
        <v>148</v>
      </c>
      <c r="AH229" s="106" t="s">
        <v>112</v>
      </c>
      <c r="AI229" s="27" t="s">
        <v>1270</v>
      </c>
      <c r="AJ229" s="34">
        <v>63</v>
      </c>
      <c r="AK229" s="27">
        <f t="shared" si="23"/>
        <v>70.56</v>
      </c>
      <c r="AL229" s="52"/>
    </row>
    <row r="230" spans="1:38" x14ac:dyDescent="0.25">
      <c r="A230" s="3">
        <v>3</v>
      </c>
      <c r="B230" s="3" t="s">
        <v>888</v>
      </c>
      <c r="C230" s="3" t="s">
        <v>906</v>
      </c>
      <c r="D230" s="21" t="s">
        <v>317</v>
      </c>
      <c r="E230" s="23" t="s">
        <v>34</v>
      </c>
      <c r="F230" s="34">
        <v>20016373</v>
      </c>
      <c r="G230" s="43" t="s">
        <v>111</v>
      </c>
      <c r="H230" s="3"/>
      <c r="I230" s="3" t="s">
        <v>902</v>
      </c>
      <c r="J230" s="28">
        <v>1400</v>
      </c>
      <c r="K230" s="70">
        <v>17.02</v>
      </c>
      <c r="L230" s="71">
        <f t="shared" si="20"/>
        <v>23828</v>
      </c>
      <c r="M230" s="34">
        <v>30005613</v>
      </c>
      <c r="N230" s="2" t="s">
        <v>125</v>
      </c>
      <c r="O230" s="3"/>
      <c r="P230" s="21" t="s">
        <v>903</v>
      </c>
      <c r="Q230" s="9" t="s">
        <v>176</v>
      </c>
      <c r="R230" s="155" t="s">
        <v>109</v>
      </c>
      <c r="S230" s="3" t="s">
        <v>109</v>
      </c>
      <c r="T230" s="158" t="s">
        <v>109</v>
      </c>
      <c r="U230" s="155"/>
      <c r="V230" s="169"/>
      <c r="W230" s="11">
        <v>20016490</v>
      </c>
      <c r="X230" s="2" t="s">
        <v>110</v>
      </c>
      <c r="Y230" s="20"/>
      <c r="Z230" s="20"/>
      <c r="AA230" s="38">
        <f t="shared" si="22"/>
        <v>0</v>
      </c>
      <c r="AB230" s="33" t="s">
        <v>109</v>
      </c>
      <c r="AC230" s="2" t="s">
        <v>109</v>
      </c>
      <c r="AD230" s="2" t="s">
        <v>109</v>
      </c>
      <c r="AE230" s="27" t="s">
        <v>109</v>
      </c>
      <c r="AF230" s="106" t="s">
        <v>112</v>
      </c>
      <c r="AG230" s="3">
        <v>149</v>
      </c>
      <c r="AH230" s="106" t="s">
        <v>112</v>
      </c>
      <c r="AI230" s="27" t="s">
        <v>1270</v>
      </c>
      <c r="AJ230" s="34">
        <v>66</v>
      </c>
      <c r="AK230" s="27">
        <f t="shared" si="23"/>
        <v>73.92</v>
      </c>
      <c r="AL230" s="52"/>
    </row>
    <row r="231" spans="1:38" x14ac:dyDescent="0.25">
      <c r="A231" s="3">
        <v>3</v>
      </c>
      <c r="B231" s="3" t="s">
        <v>888</v>
      </c>
      <c r="C231" s="3" t="s">
        <v>907</v>
      </c>
      <c r="D231" s="21" t="s">
        <v>908</v>
      </c>
      <c r="E231" s="23" t="s">
        <v>34</v>
      </c>
      <c r="F231" s="34">
        <v>20016373</v>
      </c>
      <c r="G231" s="43" t="s">
        <v>111</v>
      </c>
      <c r="H231" s="3"/>
      <c r="I231" s="3" t="s">
        <v>909</v>
      </c>
      <c r="J231" s="28">
        <v>220</v>
      </c>
      <c r="K231" s="70">
        <v>17.02</v>
      </c>
      <c r="L231" s="71">
        <f t="shared" si="20"/>
        <v>3744.4</v>
      </c>
      <c r="M231" s="34">
        <v>30005613</v>
      </c>
      <c r="N231" s="2" t="s">
        <v>125</v>
      </c>
      <c r="O231" s="3"/>
      <c r="P231" s="21" t="s">
        <v>910</v>
      </c>
      <c r="Q231" s="9" t="s">
        <v>176</v>
      </c>
      <c r="R231" s="155" t="s">
        <v>109</v>
      </c>
      <c r="S231" s="3" t="s">
        <v>109</v>
      </c>
      <c r="T231" s="158" t="s">
        <v>109</v>
      </c>
      <c r="U231" s="155"/>
      <c r="V231" s="169"/>
      <c r="W231" s="11">
        <v>20016490</v>
      </c>
      <c r="X231" s="2" t="s">
        <v>110</v>
      </c>
      <c r="Y231" s="20"/>
      <c r="Z231" s="20"/>
      <c r="AA231" s="38">
        <f t="shared" si="22"/>
        <v>0</v>
      </c>
      <c r="AB231" s="33" t="s">
        <v>109</v>
      </c>
      <c r="AC231" s="2" t="s">
        <v>109</v>
      </c>
      <c r="AD231" s="2" t="s">
        <v>109</v>
      </c>
      <c r="AE231" s="27" t="s">
        <v>109</v>
      </c>
      <c r="AF231" s="106" t="s">
        <v>112</v>
      </c>
      <c r="AG231" s="3">
        <v>150</v>
      </c>
      <c r="AH231" s="106" t="s">
        <v>112</v>
      </c>
      <c r="AI231" s="27" t="s">
        <v>1270</v>
      </c>
      <c r="AJ231" s="34">
        <v>68</v>
      </c>
      <c r="AK231" s="27">
        <f t="shared" si="23"/>
        <v>76.16</v>
      </c>
      <c r="AL231" s="52"/>
    </row>
    <row r="232" spans="1:38" ht="15" customHeight="1" x14ac:dyDescent="0.25">
      <c r="A232" s="3">
        <v>3</v>
      </c>
      <c r="B232" s="3" t="s">
        <v>888</v>
      </c>
      <c r="C232" s="3" t="s">
        <v>889</v>
      </c>
      <c r="D232" s="21" t="s">
        <v>911</v>
      </c>
      <c r="E232" s="23" t="s">
        <v>288</v>
      </c>
      <c r="F232" s="34">
        <v>20016373</v>
      </c>
      <c r="G232" s="43" t="s">
        <v>111</v>
      </c>
      <c r="H232" s="3"/>
      <c r="I232" s="3" t="s">
        <v>913</v>
      </c>
      <c r="J232" s="28">
        <v>33</v>
      </c>
      <c r="K232" s="70">
        <v>17.02</v>
      </c>
      <c r="L232" s="71">
        <f t="shared" si="20"/>
        <v>561.66</v>
      </c>
      <c r="M232" s="34" t="s">
        <v>109</v>
      </c>
      <c r="N232" s="3" t="s">
        <v>109</v>
      </c>
      <c r="O232" s="3" t="s">
        <v>109</v>
      </c>
      <c r="P232" s="3" t="s">
        <v>109</v>
      </c>
      <c r="Q232" s="9" t="s">
        <v>109</v>
      </c>
      <c r="R232" s="155" t="s">
        <v>109</v>
      </c>
      <c r="S232" s="3" t="s">
        <v>109</v>
      </c>
      <c r="T232" s="158" t="s">
        <v>109</v>
      </c>
      <c r="U232" s="155"/>
      <c r="V232" s="169"/>
      <c r="W232" s="11" t="s">
        <v>109</v>
      </c>
      <c r="X232" s="3" t="s">
        <v>109</v>
      </c>
      <c r="Y232" s="3" t="s">
        <v>109</v>
      </c>
      <c r="Z232" s="3" t="s">
        <v>109</v>
      </c>
      <c r="AA232" s="28" t="s">
        <v>109</v>
      </c>
      <c r="AB232" s="34" t="s">
        <v>109</v>
      </c>
      <c r="AC232" s="3" t="s">
        <v>109</v>
      </c>
      <c r="AD232" s="3" t="s">
        <v>109</v>
      </c>
      <c r="AE232" s="28" t="s">
        <v>109</v>
      </c>
      <c r="AF232" s="108" t="s">
        <v>109</v>
      </c>
      <c r="AG232" s="3">
        <v>151</v>
      </c>
      <c r="AH232" s="97" t="s">
        <v>129</v>
      </c>
      <c r="AI232" s="27" t="s">
        <v>1270</v>
      </c>
      <c r="AJ232" s="34" t="s">
        <v>109</v>
      </c>
      <c r="AK232" s="28" t="s">
        <v>109</v>
      </c>
      <c r="AL232" s="52"/>
    </row>
    <row r="233" spans="1:38" x14ac:dyDescent="0.25">
      <c r="A233" s="3">
        <v>3</v>
      </c>
      <c r="B233" s="3" t="s">
        <v>888</v>
      </c>
      <c r="C233" s="3" t="s">
        <v>889</v>
      </c>
      <c r="D233" s="21" t="s">
        <v>912</v>
      </c>
      <c r="E233" s="23" t="s">
        <v>34</v>
      </c>
      <c r="F233" s="34">
        <v>20016373</v>
      </c>
      <c r="G233" s="43" t="s">
        <v>111</v>
      </c>
      <c r="H233" s="3"/>
      <c r="I233" s="3" t="s">
        <v>914</v>
      </c>
      <c r="J233" s="28">
        <v>33</v>
      </c>
      <c r="K233" s="70">
        <v>17.02</v>
      </c>
      <c r="L233" s="71">
        <f t="shared" si="20"/>
        <v>561.66</v>
      </c>
      <c r="M233" s="34" t="s">
        <v>109</v>
      </c>
      <c r="N233" s="3" t="s">
        <v>109</v>
      </c>
      <c r="O233" s="3" t="s">
        <v>109</v>
      </c>
      <c r="P233" s="3" t="s">
        <v>109</v>
      </c>
      <c r="Q233" s="9" t="s">
        <v>109</v>
      </c>
      <c r="R233" s="155" t="s">
        <v>109</v>
      </c>
      <c r="S233" s="3" t="s">
        <v>109</v>
      </c>
      <c r="T233" s="158" t="s">
        <v>109</v>
      </c>
      <c r="U233" s="155"/>
      <c r="V233" s="169"/>
      <c r="W233" s="11" t="s">
        <v>109</v>
      </c>
      <c r="X233" s="3" t="s">
        <v>109</v>
      </c>
      <c r="Y233" s="3" t="s">
        <v>109</v>
      </c>
      <c r="Z233" s="3" t="s">
        <v>109</v>
      </c>
      <c r="AA233" s="28" t="s">
        <v>109</v>
      </c>
      <c r="AB233" s="34" t="s">
        <v>109</v>
      </c>
      <c r="AC233" s="3" t="s">
        <v>109</v>
      </c>
      <c r="AD233" s="3" t="s">
        <v>109</v>
      </c>
      <c r="AE233" s="28" t="s">
        <v>109</v>
      </c>
      <c r="AF233" s="108" t="s">
        <v>109</v>
      </c>
      <c r="AG233" s="3">
        <v>152</v>
      </c>
      <c r="AH233" s="97" t="s">
        <v>129</v>
      </c>
      <c r="AI233" s="27" t="s">
        <v>1270</v>
      </c>
      <c r="AJ233" s="34" t="s">
        <v>109</v>
      </c>
      <c r="AK233" s="28" t="s">
        <v>109</v>
      </c>
      <c r="AL233" s="52"/>
    </row>
    <row r="234" spans="1:38" x14ac:dyDescent="0.25">
      <c r="A234" s="3">
        <v>3</v>
      </c>
      <c r="B234" s="3" t="s">
        <v>888</v>
      </c>
      <c r="C234" s="3" t="s">
        <v>889</v>
      </c>
      <c r="D234" s="21" t="s">
        <v>915</v>
      </c>
      <c r="E234" s="23" t="s">
        <v>288</v>
      </c>
      <c r="F234" s="34">
        <v>20016373</v>
      </c>
      <c r="G234" s="43" t="s">
        <v>111</v>
      </c>
      <c r="H234" s="3"/>
      <c r="I234" s="3" t="s">
        <v>917</v>
      </c>
      <c r="J234" s="28">
        <v>33</v>
      </c>
      <c r="K234" s="70">
        <v>17.02</v>
      </c>
      <c r="L234" s="71">
        <f t="shared" si="20"/>
        <v>561.66</v>
      </c>
      <c r="M234" s="34" t="s">
        <v>109</v>
      </c>
      <c r="N234" s="3" t="s">
        <v>109</v>
      </c>
      <c r="O234" s="3" t="s">
        <v>109</v>
      </c>
      <c r="P234" s="3" t="s">
        <v>109</v>
      </c>
      <c r="Q234" s="9" t="s">
        <v>109</v>
      </c>
      <c r="R234" s="155" t="s">
        <v>109</v>
      </c>
      <c r="S234" s="3" t="s">
        <v>109</v>
      </c>
      <c r="T234" s="158" t="s">
        <v>109</v>
      </c>
      <c r="U234" s="155"/>
      <c r="V234" s="169"/>
      <c r="W234" s="11" t="s">
        <v>109</v>
      </c>
      <c r="X234" s="3" t="s">
        <v>109</v>
      </c>
      <c r="Y234" s="3" t="s">
        <v>109</v>
      </c>
      <c r="Z234" s="3" t="s">
        <v>109</v>
      </c>
      <c r="AA234" s="28" t="s">
        <v>109</v>
      </c>
      <c r="AB234" s="34" t="s">
        <v>109</v>
      </c>
      <c r="AC234" s="3" t="s">
        <v>109</v>
      </c>
      <c r="AD234" s="3" t="s">
        <v>109</v>
      </c>
      <c r="AE234" s="28" t="s">
        <v>109</v>
      </c>
      <c r="AF234" s="108" t="s">
        <v>109</v>
      </c>
      <c r="AG234" s="3">
        <v>153</v>
      </c>
      <c r="AH234" s="97" t="s">
        <v>129</v>
      </c>
      <c r="AI234" s="27" t="s">
        <v>1270</v>
      </c>
      <c r="AJ234" s="34" t="s">
        <v>109</v>
      </c>
      <c r="AK234" s="28" t="s">
        <v>109</v>
      </c>
      <c r="AL234" s="52"/>
    </row>
    <row r="235" spans="1:38" x14ac:dyDescent="0.25">
      <c r="A235" s="3">
        <v>3</v>
      </c>
      <c r="B235" s="3" t="s">
        <v>888</v>
      </c>
      <c r="C235" s="3" t="s">
        <v>889</v>
      </c>
      <c r="D235" s="21" t="s">
        <v>916</v>
      </c>
      <c r="E235" s="23" t="s">
        <v>288</v>
      </c>
      <c r="F235" s="34">
        <v>20016373</v>
      </c>
      <c r="G235" s="43" t="s">
        <v>111</v>
      </c>
      <c r="H235" s="3"/>
      <c r="I235" s="3" t="s">
        <v>918</v>
      </c>
      <c r="J235" s="28">
        <v>33</v>
      </c>
      <c r="K235" s="70">
        <v>17.02</v>
      </c>
      <c r="L235" s="71">
        <f t="shared" si="20"/>
        <v>561.66</v>
      </c>
      <c r="M235" s="34" t="s">
        <v>109</v>
      </c>
      <c r="N235" s="3" t="s">
        <v>109</v>
      </c>
      <c r="O235" s="3" t="s">
        <v>109</v>
      </c>
      <c r="P235" s="3" t="s">
        <v>109</v>
      </c>
      <c r="Q235" s="9" t="s">
        <v>109</v>
      </c>
      <c r="R235" s="155" t="s">
        <v>109</v>
      </c>
      <c r="S235" s="3" t="s">
        <v>109</v>
      </c>
      <c r="T235" s="158" t="s">
        <v>109</v>
      </c>
      <c r="U235" s="155"/>
      <c r="V235" s="169"/>
      <c r="W235" s="11" t="s">
        <v>109</v>
      </c>
      <c r="X235" s="3" t="s">
        <v>109</v>
      </c>
      <c r="Y235" s="3" t="s">
        <v>109</v>
      </c>
      <c r="Z235" s="3" t="s">
        <v>109</v>
      </c>
      <c r="AA235" s="28" t="s">
        <v>109</v>
      </c>
      <c r="AB235" s="34" t="s">
        <v>109</v>
      </c>
      <c r="AC235" s="3" t="s">
        <v>109</v>
      </c>
      <c r="AD235" s="3" t="s">
        <v>109</v>
      </c>
      <c r="AE235" s="28" t="s">
        <v>109</v>
      </c>
      <c r="AF235" s="108" t="s">
        <v>109</v>
      </c>
      <c r="AG235" s="3">
        <v>154</v>
      </c>
      <c r="AH235" s="97" t="s">
        <v>129</v>
      </c>
      <c r="AI235" s="27" t="s">
        <v>1270</v>
      </c>
      <c r="AJ235" s="34" t="s">
        <v>109</v>
      </c>
      <c r="AK235" s="28" t="s">
        <v>109</v>
      </c>
      <c r="AL235" s="52"/>
    </row>
    <row r="236" spans="1:38" x14ac:dyDescent="0.25">
      <c r="A236" s="3">
        <v>3</v>
      </c>
      <c r="B236" s="3" t="s">
        <v>888</v>
      </c>
      <c r="C236" s="3" t="s">
        <v>889</v>
      </c>
      <c r="D236" s="21" t="s">
        <v>919</v>
      </c>
      <c r="E236" s="23" t="s">
        <v>288</v>
      </c>
      <c r="F236" s="34">
        <v>20016373</v>
      </c>
      <c r="G236" s="43" t="s">
        <v>111</v>
      </c>
      <c r="H236" s="3"/>
      <c r="I236" s="3" t="s">
        <v>920</v>
      </c>
      <c r="J236" s="28">
        <v>33</v>
      </c>
      <c r="K236" s="70">
        <v>17.02</v>
      </c>
      <c r="L236" s="71">
        <f t="shared" si="20"/>
        <v>561.66</v>
      </c>
      <c r="M236" s="34" t="s">
        <v>109</v>
      </c>
      <c r="N236" s="3" t="s">
        <v>109</v>
      </c>
      <c r="O236" s="3" t="s">
        <v>109</v>
      </c>
      <c r="P236" s="3" t="s">
        <v>109</v>
      </c>
      <c r="Q236" s="9" t="s">
        <v>109</v>
      </c>
      <c r="R236" s="155" t="s">
        <v>109</v>
      </c>
      <c r="S236" s="3" t="s">
        <v>109</v>
      </c>
      <c r="T236" s="158" t="s">
        <v>109</v>
      </c>
      <c r="U236" s="155"/>
      <c r="V236" s="169"/>
      <c r="W236" s="11" t="s">
        <v>109</v>
      </c>
      <c r="X236" s="3" t="s">
        <v>109</v>
      </c>
      <c r="Y236" s="3" t="s">
        <v>109</v>
      </c>
      <c r="Z236" s="3" t="s">
        <v>109</v>
      </c>
      <c r="AA236" s="28" t="s">
        <v>109</v>
      </c>
      <c r="AB236" s="34" t="s">
        <v>109</v>
      </c>
      <c r="AC236" s="3" t="s">
        <v>109</v>
      </c>
      <c r="AD236" s="3" t="s">
        <v>109</v>
      </c>
      <c r="AE236" s="28" t="s">
        <v>109</v>
      </c>
      <c r="AF236" s="108" t="s">
        <v>109</v>
      </c>
      <c r="AG236" s="3">
        <v>155</v>
      </c>
      <c r="AH236" s="97" t="s">
        <v>129</v>
      </c>
      <c r="AI236" s="27" t="s">
        <v>1270</v>
      </c>
      <c r="AJ236" s="34" t="s">
        <v>109</v>
      </c>
      <c r="AK236" s="28" t="s">
        <v>109</v>
      </c>
      <c r="AL236" s="52"/>
    </row>
    <row r="237" spans="1:38" x14ac:dyDescent="0.25">
      <c r="A237" s="3">
        <v>3</v>
      </c>
      <c r="B237" s="3" t="s">
        <v>888</v>
      </c>
      <c r="C237" s="3" t="s">
        <v>889</v>
      </c>
      <c r="D237" s="21" t="s">
        <v>921</v>
      </c>
      <c r="E237" s="23" t="s">
        <v>288</v>
      </c>
      <c r="F237" s="34">
        <v>20016373</v>
      </c>
      <c r="G237" s="43" t="s">
        <v>111</v>
      </c>
      <c r="H237" s="3"/>
      <c r="I237" s="3" t="s">
        <v>923</v>
      </c>
      <c r="J237" s="28">
        <v>33</v>
      </c>
      <c r="K237" s="70">
        <v>17.02</v>
      </c>
      <c r="L237" s="71">
        <f t="shared" si="20"/>
        <v>561.66</v>
      </c>
      <c r="M237" s="34" t="s">
        <v>109</v>
      </c>
      <c r="N237" s="3" t="s">
        <v>109</v>
      </c>
      <c r="O237" s="3" t="s">
        <v>109</v>
      </c>
      <c r="P237" s="3" t="s">
        <v>109</v>
      </c>
      <c r="Q237" s="9" t="s">
        <v>109</v>
      </c>
      <c r="R237" s="155" t="s">
        <v>109</v>
      </c>
      <c r="S237" s="3" t="s">
        <v>109</v>
      </c>
      <c r="T237" s="158" t="s">
        <v>109</v>
      </c>
      <c r="U237" s="155"/>
      <c r="V237" s="169"/>
      <c r="W237" s="11" t="s">
        <v>109</v>
      </c>
      <c r="X237" s="3" t="s">
        <v>109</v>
      </c>
      <c r="Y237" s="3" t="s">
        <v>109</v>
      </c>
      <c r="Z237" s="3" t="s">
        <v>109</v>
      </c>
      <c r="AA237" s="28" t="s">
        <v>109</v>
      </c>
      <c r="AB237" s="34" t="s">
        <v>109</v>
      </c>
      <c r="AC237" s="3" t="s">
        <v>109</v>
      </c>
      <c r="AD237" s="3" t="s">
        <v>109</v>
      </c>
      <c r="AE237" s="28" t="s">
        <v>109</v>
      </c>
      <c r="AF237" s="108" t="s">
        <v>109</v>
      </c>
      <c r="AG237" s="3">
        <v>156</v>
      </c>
      <c r="AH237" s="97" t="s">
        <v>129</v>
      </c>
      <c r="AI237" s="27" t="s">
        <v>1270</v>
      </c>
      <c r="AJ237" s="34" t="s">
        <v>109</v>
      </c>
      <c r="AK237" s="28" t="s">
        <v>109</v>
      </c>
      <c r="AL237" s="52"/>
    </row>
    <row r="238" spans="1:38" x14ac:dyDescent="0.25">
      <c r="A238" s="3">
        <v>3</v>
      </c>
      <c r="B238" s="3" t="s">
        <v>888</v>
      </c>
      <c r="C238" s="3" t="s">
        <v>889</v>
      </c>
      <c r="D238" s="21" t="s">
        <v>922</v>
      </c>
      <c r="E238" s="23" t="s">
        <v>288</v>
      </c>
      <c r="F238" s="34">
        <v>20016373</v>
      </c>
      <c r="G238" s="43" t="s">
        <v>111</v>
      </c>
      <c r="H238" s="3"/>
      <c r="I238" s="3" t="s">
        <v>924</v>
      </c>
      <c r="J238" s="28">
        <v>33</v>
      </c>
      <c r="K238" s="70">
        <v>17.02</v>
      </c>
      <c r="L238" s="71">
        <f t="shared" si="20"/>
        <v>561.66</v>
      </c>
      <c r="M238" s="34" t="s">
        <v>109</v>
      </c>
      <c r="N238" s="3" t="s">
        <v>109</v>
      </c>
      <c r="O238" s="3" t="s">
        <v>109</v>
      </c>
      <c r="P238" s="3" t="s">
        <v>109</v>
      </c>
      <c r="Q238" s="9" t="s">
        <v>109</v>
      </c>
      <c r="R238" s="155" t="s">
        <v>109</v>
      </c>
      <c r="S238" s="3" t="s">
        <v>109</v>
      </c>
      <c r="T238" s="158" t="s">
        <v>109</v>
      </c>
      <c r="U238" s="155"/>
      <c r="V238" s="169"/>
      <c r="W238" s="11" t="s">
        <v>109</v>
      </c>
      <c r="X238" s="3" t="s">
        <v>109</v>
      </c>
      <c r="Y238" s="3" t="s">
        <v>109</v>
      </c>
      <c r="Z238" s="3" t="s">
        <v>109</v>
      </c>
      <c r="AA238" s="28" t="s">
        <v>109</v>
      </c>
      <c r="AB238" s="34" t="s">
        <v>109</v>
      </c>
      <c r="AC238" s="3" t="s">
        <v>109</v>
      </c>
      <c r="AD238" s="3" t="s">
        <v>109</v>
      </c>
      <c r="AE238" s="28" t="s">
        <v>109</v>
      </c>
      <c r="AF238" s="108" t="s">
        <v>109</v>
      </c>
      <c r="AG238" s="3">
        <v>157</v>
      </c>
      <c r="AH238" s="97" t="s">
        <v>129</v>
      </c>
      <c r="AI238" s="27" t="s">
        <v>1270</v>
      </c>
      <c r="AJ238" s="34" t="s">
        <v>109</v>
      </c>
      <c r="AK238" s="28" t="s">
        <v>109</v>
      </c>
      <c r="AL238" s="52"/>
    </row>
    <row r="239" spans="1:38" x14ac:dyDescent="0.25">
      <c r="A239" s="3">
        <v>3</v>
      </c>
      <c r="B239" s="3" t="s">
        <v>888</v>
      </c>
      <c r="C239" s="3" t="s">
        <v>889</v>
      </c>
      <c r="D239" s="21" t="s">
        <v>925</v>
      </c>
      <c r="E239" s="23" t="s">
        <v>288</v>
      </c>
      <c r="F239" s="34">
        <v>20016373</v>
      </c>
      <c r="G239" s="43" t="s">
        <v>111</v>
      </c>
      <c r="H239" s="3"/>
      <c r="I239" s="3" t="s">
        <v>927</v>
      </c>
      <c r="J239" s="28">
        <v>33</v>
      </c>
      <c r="K239" s="70">
        <v>17.02</v>
      </c>
      <c r="L239" s="71">
        <f t="shared" si="20"/>
        <v>561.66</v>
      </c>
      <c r="M239" s="34" t="s">
        <v>109</v>
      </c>
      <c r="N239" s="3" t="s">
        <v>109</v>
      </c>
      <c r="O239" s="3" t="s">
        <v>109</v>
      </c>
      <c r="P239" s="3" t="s">
        <v>109</v>
      </c>
      <c r="Q239" s="9" t="s">
        <v>109</v>
      </c>
      <c r="R239" s="155" t="s">
        <v>109</v>
      </c>
      <c r="S239" s="3" t="s">
        <v>109</v>
      </c>
      <c r="T239" s="158" t="s">
        <v>109</v>
      </c>
      <c r="U239" s="155"/>
      <c r="V239" s="169"/>
      <c r="W239" s="11" t="s">
        <v>109</v>
      </c>
      <c r="X239" s="3" t="s">
        <v>109</v>
      </c>
      <c r="Y239" s="3" t="s">
        <v>109</v>
      </c>
      <c r="Z239" s="3" t="s">
        <v>109</v>
      </c>
      <c r="AA239" s="28" t="s">
        <v>109</v>
      </c>
      <c r="AB239" s="34" t="s">
        <v>109</v>
      </c>
      <c r="AC239" s="3" t="s">
        <v>109</v>
      </c>
      <c r="AD239" s="3" t="s">
        <v>109</v>
      </c>
      <c r="AE239" s="28" t="s">
        <v>109</v>
      </c>
      <c r="AF239" s="108" t="s">
        <v>109</v>
      </c>
      <c r="AG239" s="3">
        <v>158</v>
      </c>
      <c r="AH239" s="97" t="s">
        <v>129</v>
      </c>
      <c r="AI239" s="27" t="s">
        <v>1270</v>
      </c>
      <c r="AJ239" s="34" t="s">
        <v>109</v>
      </c>
      <c r="AK239" s="28" t="s">
        <v>109</v>
      </c>
      <c r="AL239" s="52"/>
    </row>
    <row r="240" spans="1:38" x14ac:dyDescent="0.25">
      <c r="A240" s="3">
        <v>3</v>
      </c>
      <c r="B240" s="3" t="s">
        <v>888</v>
      </c>
      <c r="C240" s="3" t="s">
        <v>889</v>
      </c>
      <c r="D240" s="21" t="s">
        <v>926</v>
      </c>
      <c r="E240" s="23" t="s">
        <v>288</v>
      </c>
      <c r="F240" s="34">
        <v>20016373</v>
      </c>
      <c r="G240" s="43" t="s">
        <v>111</v>
      </c>
      <c r="H240" s="3"/>
      <c r="I240" s="3" t="s">
        <v>928</v>
      </c>
      <c r="J240" s="28">
        <v>33</v>
      </c>
      <c r="K240" s="70">
        <v>17.02</v>
      </c>
      <c r="L240" s="71">
        <f t="shared" si="20"/>
        <v>561.66</v>
      </c>
      <c r="M240" s="34" t="s">
        <v>109</v>
      </c>
      <c r="N240" s="3" t="s">
        <v>109</v>
      </c>
      <c r="O240" s="3" t="s">
        <v>109</v>
      </c>
      <c r="P240" s="3" t="s">
        <v>109</v>
      </c>
      <c r="Q240" s="9" t="s">
        <v>109</v>
      </c>
      <c r="R240" s="155" t="s">
        <v>109</v>
      </c>
      <c r="S240" s="3" t="s">
        <v>109</v>
      </c>
      <c r="T240" s="158" t="s">
        <v>109</v>
      </c>
      <c r="U240" s="155"/>
      <c r="V240" s="169"/>
      <c r="W240" s="11" t="s">
        <v>109</v>
      </c>
      <c r="X240" s="3" t="s">
        <v>109</v>
      </c>
      <c r="Y240" s="3" t="s">
        <v>109</v>
      </c>
      <c r="Z240" s="3" t="s">
        <v>109</v>
      </c>
      <c r="AA240" s="28" t="s">
        <v>109</v>
      </c>
      <c r="AB240" s="34" t="s">
        <v>109</v>
      </c>
      <c r="AC240" s="3" t="s">
        <v>109</v>
      </c>
      <c r="AD240" s="3" t="s">
        <v>109</v>
      </c>
      <c r="AE240" s="28" t="s">
        <v>109</v>
      </c>
      <c r="AF240" s="108" t="s">
        <v>109</v>
      </c>
      <c r="AG240" s="3">
        <v>159</v>
      </c>
      <c r="AH240" s="97" t="s">
        <v>129</v>
      </c>
      <c r="AI240" s="27" t="s">
        <v>1270</v>
      </c>
      <c r="AJ240" s="34" t="s">
        <v>109</v>
      </c>
      <c r="AK240" s="28" t="s">
        <v>109</v>
      </c>
      <c r="AL240" s="52"/>
    </row>
    <row r="241" spans="1:38" x14ac:dyDescent="0.25">
      <c r="A241" s="3">
        <v>3</v>
      </c>
      <c r="B241" s="3" t="s">
        <v>888</v>
      </c>
      <c r="C241" s="3" t="s">
        <v>889</v>
      </c>
      <c r="D241" s="21" t="s">
        <v>929</v>
      </c>
      <c r="E241" s="23" t="s">
        <v>288</v>
      </c>
      <c r="F241" s="34">
        <v>20016373</v>
      </c>
      <c r="G241" s="43" t="s">
        <v>111</v>
      </c>
      <c r="H241" s="3"/>
      <c r="I241" s="3" t="s">
        <v>930</v>
      </c>
      <c r="J241" s="28">
        <v>33</v>
      </c>
      <c r="K241" s="70">
        <v>17.02</v>
      </c>
      <c r="L241" s="71">
        <f t="shared" si="20"/>
        <v>561.66</v>
      </c>
      <c r="M241" s="34" t="s">
        <v>109</v>
      </c>
      <c r="N241" s="3" t="s">
        <v>109</v>
      </c>
      <c r="O241" s="3" t="s">
        <v>109</v>
      </c>
      <c r="P241" s="3" t="s">
        <v>109</v>
      </c>
      <c r="Q241" s="9" t="s">
        <v>109</v>
      </c>
      <c r="R241" s="155" t="s">
        <v>109</v>
      </c>
      <c r="S241" s="3" t="s">
        <v>109</v>
      </c>
      <c r="T241" s="158" t="s">
        <v>109</v>
      </c>
      <c r="U241" s="155"/>
      <c r="V241" s="169"/>
      <c r="W241" s="11" t="s">
        <v>109</v>
      </c>
      <c r="X241" s="3" t="s">
        <v>109</v>
      </c>
      <c r="Y241" s="3" t="s">
        <v>109</v>
      </c>
      <c r="Z241" s="3" t="s">
        <v>109</v>
      </c>
      <c r="AA241" s="28" t="s">
        <v>109</v>
      </c>
      <c r="AB241" s="34" t="s">
        <v>109</v>
      </c>
      <c r="AC241" s="3" t="s">
        <v>109</v>
      </c>
      <c r="AD241" s="3" t="s">
        <v>109</v>
      </c>
      <c r="AE241" s="28" t="s">
        <v>109</v>
      </c>
      <c r="AF241" s="108" t="s">
        <v>109</v>
      </c>
      <c r="AG241" s="3">
        <v>160</v>
      </c>
      <c r="AH241" s="97" t="s">
        <v>129</v>
      </c>
      <c r="AI241" s="27" t="s">
        <v>1270</v>
      </c>
      <c r="AJ241" s="34" t="s">
        <v>109</v>
      </c>
      <c r="AK241" s="28" t="s">
        <v>109</v>
      </c>
      <c r="AL241" s="52"/>
    </row>
    <row r="242" spans="1:38" x14ac:dyDescent="0.25">
      <c r="A242" s="3">
        <v>3</v>
      </c>
      <c r="B242" s="3" t="s">
        <v>888</v>
      </c>
      <c r="C242" s="3" t="s">
        <v>889</v>
      </c>
      <c r="D242" s="21" t="s">
        <v>931</v>
      </c>
      <c r="E242" s="23" t="s">
        <v>288</v>
      </c>
      <c r="F242" s="34">
        <v>20016373</v>
      </c>
      <c r="G242" s="43" t="s">
        <v>111</v>
      </c>
      <c r="H242" s="3"/>
      <c r="I242" s="3" t="s">
        <v>933</v>
      </c>
      <c r="J242" s="28">
        <v>33</v>
      </c>
      <c r="K242" s="70">
        <v>17.02</v>
      </c>
      <c r="L242" s="71">
        <f t="shared" si="20"/>
        <v>561.66</v>
      </c>
      <c r="M242" s="34" t="s">
        <v>109</v>
      </c>
      <c r="N242" s="3" t="s">
        <v>109</v>
      </c>
      <c r="O242" s="3" t="s">
        <v>109</v>
      </c>
      <c r="P242" s="3" t="s">
        <v>109</v>
      </c>
      <c r="Q242" s="9" t="s">
        <v>109</v>
      </c>
      <c r="R242" s="155" t="s">
        <v>109</v>
      </c>
      <c r="S242" s="3" t="s">
        <v>109</v>
      </c>
      <c r="T242" s="158" t="s">
        <v>109</v>
      </c>
      <c r="U242" s="155"/>
      <c r="V242" s="169"/>
      <c r="W242" s="11" t="s">
        <v>109</v>
      </c>
      <c r="X242" s="3" t="s">
        <v>109</v>
      </c>
      <c r="Y242" s="3" t="s">
        <v>109</v>
      </c>
      <c r="Z242" s="3" t="s">
        <v>109</v>
      </c>
      <c r="AA242" s="28" t="s">
        <v>109</v>
      </c>
      <c r="AB242" s="34" t="s">
        <v>109</v>
      </c>
      <c r="AC242" s="3" t="s">
        <v>109</v>
      </c>
      <c r="AD242" s="3" t="s">
        <v>109</v>
      </c>
      <c r="AE242" s="28" t="s">
        <v>109</v>
      </c>
      <c r="AF242" s="108" t="s">
        <v>109</v>
      </c>
      <c r="AG242" s="3">
        <v>161</v>
      </c>
      <c r="AH242" s="97" t="s">
        <v>129</v>
      </c>
      <c r="AI242" s="27" t="s">
        <v>1270</v>
      </c>
      <c r="AJ242" s="34" t="s">
        <v>109</v>
      </c>
      <c r="AK242" s="28" t="s">
        <v>109</v>
      </c>
      <c r="AL242" s="52"/>
    </row>
    <row r="243" spans="1:38" x14ac:dyDescent="0.25">
      <c r="A243" s="3">
        <v>3</v>
      </c>
      <c r="B243" s="3" t="s">
        <v>888</v>
      </c>
      <c r="C243" s="3" t="s">
        <v>889</v>
      </c>
      <c r="D243" s="21" t="s">
        <v>932</v>
      </c>
      <c r="E243" s="23" t="s">
        <v>288</v>
      </c>
      <c r="F243" s="34">
        <v>20016373</v>
      </c>
      <c r="G243" s="43" t="s">
        <v>111</v>
      </c>
      <c r="H243" s="3"/>
      <c r="I243" s="3" t="s">
        <v>934</v>
      </c>
      <c r="J243" s="28">
        <v>33</v>
      </c>
      <c r="K243" s="70">
        <v>17.02</v>
      </c>
      <c r="L243" s="71">
        <f t="shared" si="20"/>
        <v>561.66</v>
      </c>
      <c r="M243" s="34" t="s">
        <v>109</v>
      </c>
      <c r="N243" s="3" t="s">
        <v>109</v>
      </c>
      <c r="O243" s="3" t="s">
        <v>109</v>
      </c>
      <c r="P243" s="3" t="s">
        <v>109</v>
      </c>
      <c r="Q243" s="9" t="s">
        <v>109</v>
      </c>
      <c r="R243" s="155" t="s">
        <v>109</v>
      </c>
      <c r="S243" s="3" t="s">
        <v>109</v>
      </c>
      <c r="T243" s="158" t="s">
        <v>109</v>
      </c>
      <c r="U243" s="155"/>
      <c r="V243" s="169"/>
      <c r="W243" s="11" t="s">
        <v>109</v>
      </c>
      <c r="X243" s="3" t="s">
        <v>109</v>
      </c>
      <c r="Y243" s="3" t="s">
        <v>109</v>
      </c>
      <c r="Z243" s="3" t="s">
        <v>109</v>
      </c>
      <c r="AA243" s="28" t="s">
        <v>109</v>
      </c>
      <c r="AB243" s="34" t="s">
        <v>109</v>
      </c>
      <c r="AC243" s="3" t="s">
        <v>109</v>
      </c>
      <c r="AD243" s="3" t="s">
        <v>109</v>
      </c>
      <c r="AE243" s="28" t="s">
        <v>109</v>
      </c>
      <c r="AF243" s="108" t="s">
        <v>109</v>
      </c>
      <c r="AG243" s="3">
        <v>162</v>
      </c>
      <c r="AH243" s="97" t="s">
        <v>129</v>
      </c>
      <c r="AI243" s="27" t="s">
        <v>1270</v>
      </c>
      <c r="AJ243" s="34" t="s">
        <v>109</v>
      </c>
      <c r="AK243" s="28" t="s">
        <v>109</v>
      </c>
      <c r="AL243" s="52"/>
    </row>
    <row r="244" spans="1:38" x14ac:dyDescent="0.25">
      <c r="A244" s="3">
        <v>3</v>
      </c>
      <c r="B244" s="3" t="s">
        <v>888</v>
      </c>
      <c r="C244" s="3" t="s">
        <v>889</v>
      </c>
      <c r="D244" s="21" t="s">
        <v>935</v>
      </c>
      <c r="E244" s="23" t="s">
        <v>288</v>
      </c>
      <c r="F244" s="34">
        <v>20016373</v>
      </c>
      <c r="G244" s="43" t="s">
        <v>111</v>
      </c>
      <c r="H244" s="3"/>
      <c r="I244" s="3" t="s">
        <v>937</v>
      </c>
      <c r="J244" s="28">
        <v>33</v>
      </c>
      <c r="K244" s="70">
        <v>17.02</v>
      </c>
      <c r="L244" s="71">
        <f t="shared" si="20"/>
        <v>561.66</v>
      </c>
      <c r="M244" s="34" t="s">
        <v>109</v>
      </c>
      <c r="N244" s="3" t="s">
        <v>109</v>
      </c>
      <c r="O244" s="3" t="s">
        <v>109</v>
      </c>
      <c r="P244" s="3" t="s">
        <v>109</v>
      </c>
      <c r="Q244" s="9" t="s">
        <v>109</v>
      </c>
      <c r="R244" s="155" t="s">
        <v>109</v>
      </c>
      <c r="S244" s="3" t="s">
        <v>109</v>
      </c>
      <c r="T244" s="158" t="s">
        <v>109</v>
      </c>
      <c r="U244" s="155"/>
      <c r="V244" s="169"/>
      <c r="W244" s="11" t="s">
        <v>109</v>
      </c>
      <c r="X244" s="3" t="s">
        <v>109</v>
      </c>
      <c r="Y244" s="3" t="s">
        <v>109</v>
      </c>
      <c r="Z244" s="3" t="s">
        <v>109</v>
      </c>
      <c r="AA244" s="28" t="s">
        <v>109</v>
      </c>
      <c r="AB244" s="34" t="s">
        <v>109</v>
      </c>
      <c r="AC244" s="3" t="s">
        <v>109</v>
      </c>
      <c r="AD244" s="3" t="s">
        <v>109</v>
      </c>
      <c r="AE244" s="28" t="s">
        <v>109</v>
      </c>
      <c r="AF244" s="108" t="s">
        <v>109</v>
      </c>
      <c r="AG244" s="3">
        <v>163</v>
      </c>
      <c r="AH244" s="97" t="s">
        <v>129</v>
      </c>
      <c r="AI244" s="27" t="s">
        <v>1270</v>
      </c>
      <c r="AJ244" s="34" t="s">
        <v>109</v>
      </c>
      <c r="AK244" s="28" t="s">
        <v>109</v>
      </c>
      <c r="AL244" s="52"/>
    </row>
    <row r="245" spans="1:38" x14ac:dyDescent="0.25">
      <c r="A245" s="3">
        <v>3</v>
      </c>
      <c r="B245" s="3" t="s">
        <v>888</v>
      </c>
      <c r="C245" s="3" t="s">
        <v>889</v>
      </c>
      <c r="D245" s="21" t="s">
        <v>936</v>
      </c>
      <c r="E245" s="23" t="s">
        <v>288</v>
      </c>
      <c r="F245" s="34">
        <v>20016373</v>
      </c>
      <c r="G245" s="43" t="s">
        <v>111</v>
      </c>
      <c r="H245" s="3"/>
      <c r="I245" s="3" t="s">
        <v>938</v>
      </c>
      <c r="J245" s="28">
        <v>33</v>
      </c>
      <c r="K245" s="70">
        <v>17.02</v>
      </c>
      <c r="L245" s="71">
        <f t="shared" si="20"/>
        <v>561.66</v>
      </c>
      <c r="M245" s="34" t="s">
        <v>109</v>
      </c>
      <c r="N245" s="3" t="s">
        <v>109</v>
      </c>
      <c r="O245" s="3" t="s">
        <v>109</v>
      </c>
      <c r="P245" s="3" t="s">
        <v>109</v>
      </c>
      <c r="Q245" s="9" t="s">
        <v>109</v>
      </c>
      <c r="R245" s="155" t="s">
        <v>109</v>
      </c>
      <c r="S245" s="3" t="s">
        <v>109</v>
      </c>
      <c r="T245" s="158" t="s">
        <v>109</v>
      </c>
      <c r="U245" s="155"/>
      <c r="V245" s="169"/>
      <c r="W245" s="11" t="s">
        <v>109</v>
      </c>
      <c r="X245" s="3" t="s">
        <v>109</v>
      </c>
      <c r="Y245" s="3" t="s">
        <v>109</v>
      </c>
      <c r="Z245" s="3" t="s">
        <v>109</v>
      </c>
      <c r="AA245" s="28" t="s">
        <v>109</v>
      </c>
      <c r="AB245" s="34" t="s">
        <v>109</v>
      </c>
      <c r="AC245" s="3" t="s">
        <v>109</v>
      </c>
      <c r="AD245" s="3" t="s">
        <v>109</v>
      </c>
      <c r="AE245" s="28" t="s">
        <v>109</v>
      </c>
      <c r="AF245" s="108" t="s">
        <v>109</v>
      </c>
      <c r="AG245" s="3">
        <v>164</v>
      </c>
      <c r="AH245" s="97" t="s">
        <v>129</v>
      </c>
      <c r="AI245" s="27" t="s">
        <v>1270</v>
      </c>
      <c r="AJ245" s="34" t="s">
        <v>109</v>
      </c>
      <c r="AK245" s="28" t="s">
        <v>109</v>
      </c>
      <c r="AL245" s="52"/>
    </row>
    <row r="246" spans="1:38" x14ac:dyDescent="0.25">
      <c r="A246" s="3">
        <v>3</v>
      </c>
      <c r="B246" s="3" t="s">
        <v>888</v>
      </c>
      <c r="C246" s="3" t="s">
        <v>889</v>
      </c>
      <c r="D246" s="21" t="s">
        <v>939</v>
      </c>
      <c r="E246" s="23" t="s">
        <v>288</v>
      </c>
      <c r="F246" s="34">
        <v>20016373</v>
      </c>
      <c r="G246" s="43" t="s">
        <v>111</v>
      </c>
      <c r="H246" s="3"/>
      <c r="I246" s="3" t="s">
        <v>941</v>
      </c>
      <c r="J246" s="28">
        <v>33</v>
      </c>
      <c r="K246" s="70">
        <v>17.02</v>
      </c>
      <c r="L246" s="71">
        <f t="shared" si="20"/>
        <v>561.66</v>
      </c>
      <c r="M246" s="34" t="s">
        <v>109</v>
      </c>
      <c r="N246" s="3" t="s">
        <v>109</v>
      </c>
      <c r="O246" s="3" t="s">
        <v>109</v>
      </c>
      <c r="P246" s="3" t="s">
        <v>109</v>
      </c>
      <c r="Q246" s="9" t="s">
        <v>109</v>
      </c>
      <c r="R246" s="155" t="s">
        <v>109</v>
      </c>
      <c r="S246" s="3" t="s">
        <v>109</v>
      </c>
      <c r="T246" s="158" t="s">
        <v>109</v>
      </c>
      <c r="U246" s="155"/>
      <c r="V246" s="169"/>
      <c r="W246" s="11" t="s">
        <v>109</v>
      </c>
      <c r="X246" s="3" t="s">
        <v>109</v>
      </c>
      <c r="Y246" s="3" t="s">
        <v>109</v>
      </c>
      <c r="Z246" s="3" t="s">
        <v>109</v>
      </c>
      <c r="AA246" s="28" t="s">
        <v>109</v>
      </c>
      <c r="AB246" s="34" t="s">
        <v>109</v>
      </c>
      <c r="AC246" s="3" t="s">
        <v>109</v>
      </c>
      <c r="AD246" s="3" t="s">
        <v>109</v>
      </c>
      <c r="AE246" s="28" t="s">
        <v>109</v>
      </c>
      <c r="AF246" s="108" t="s">
        <v>109</v>
      </c>
      <c r="AG246" s="3">
        <v>165</v>
      </c>
      <c r="AH246" s="97" t="s">
        <v>129</v>
      </c>
      <c r="AI246" s="27" t="s">
        <v>1270</v>
      </c>
      <c r="AJ246" s="34" t="s">
        <v>109</v>
      </c>
      <c r="AK246" s="28" t="s">
        <v>109</v>
      </c>
      <c r="AL246" s="52"/>
    </row>
    <row r="247" spans="1:38" x14ac:dyDescent="0.25">
      <c r="A247" s="3">
        <v>3</v>
      </c>
      <c r="B247" s="3" t="s">
        <v>888</v>
      </c>
      <c r="C247" s="3" t="s">
        <v>889</v>
      </c>
      <c r="D247" s="21" t="s">
        <v>940</v>
      </c>
      <c r="E247" s="23" t="s">
        <v>288</v>
      </c>
      <c r="F247" s="34">
        <v>20016373</v>
      </c>
      <c r="G247" s="43" t="s">
        <v>111</v>
      </c>
      <c r="H247" s="3"/>
      <c r="I247" s="3" t="s">
        <v>942</v>
      </c>
      <c r="J247" s="28">
        <v>33</v>
      </c>
      <c r="K247" s="70">
        <v>17.02</v>
      </c>
      <c r="L247" s="71">
        <f t="shared" si="20"/>
        <v>561.66</v>
      </c>
      <c r="M247" s="34" t="s">
        <v>109</v>
      </c>
      <c r="N247" s="3" t="s">
        <v>109</v>
      </c>
      <c r="O247" s="3" t="s">
        <v>109</v>
      </c>
      <c r="P247" s="3" t="s">
        <v>109</v>
      </c>
      <c r="Q247" s="9" t="s">
        <v>109</v>
      </c>
      <c r="R247" s="155" t="s">
        <v>109</v>
      </c>
      <c r="S247" s="3" t="s">
        <v>109</v>
      </c>
      <c r="T247" s="158" t="s">
        <v>109</v>
      </c>
      <c r="U247" s="155"/>
      <c r="V247" s="169"/>
      <c r="W247" s="11" t="s">
        <v>109</v>
      </c>
      <c r="X247" s="3" t="s">
        <v>109</v>
      </c>
      <c r="Y247" s="3" t="s">
        <v>109</v>
      </c>
      <c r="Z247" s="3" t="s">
        <v>109</v>
      </c>
      <c r="AA247" s="28" t="s">
        <v>109</v>
      </c>
      <c r="AB247" s="34" t="s">
        <v>109</v>
      </c>
      <c r="AC247" s="3" t="s">
        <v>109</v>
      </c>
      <c r="AD247" s="3" t="s">
        <v>109</v>
      </c>
      <c r="AE247" s="28" t="s">
        <v>109</v>
      </c>
      <c r="AF247" s="108" t="s">
        <v>109</v>
      </c>
      <c r="AG247" s="3">
        <v>166</v>
      </c>
      <c r="AH247" s="97" t="s">
        <v>129</v>
      </c>
      <c r="AI247" s="27" t="s">
        <v>1270</v>
      </c>
      <c r="AJ247" s="34" t="s">
        <v>109</v>
      </c>
      <c r="AK247" s="28" t="s">
        <v>109</v>
      </c>
      <c r="AL247" s="52"/>
    </row>
    <row r="248" spans="1:38" x14ac:dyDescent="0.25">
      <c r="A248" s="3">
        <v>3</v>
      </c>
      <c r="B248" s="3" t="s">
        <v>888</v>
      </c>
      <c r="C248" s="3" t="s">
        <v>889</v>
      </c>
      <c r="D248" s="21" t="s">
        <v>943</v>
      </c>
      <c r="E248" s="23" t="s">
        <v>288</v>
      </c>
      <c r="F248" s="34">
        <v>20016373</v>
      </c>
      <c r="G248" s="43" t="s">
        <v>111</v>
      </c>
      <c r="H248" s="3"/>
      <c r="I248" s="3" t="s">
        <v>944</v>
      </c>
      <c r="J248" s="28">
        <v>33</v>
      </c>
      <c r="K248" s="70">
        <v>17.02</v>
      </c>
      <c r="L248" s="71">
        <f t="shared" si="20"/>
        <v>561.66</v>
      </c>
      <c r="M248" s="34" t="s">
        <v>109</v>
      </c>
      <c r="N248" s="3" t="s">
        <v>109</v>
      </c>
      <c r="O248" s="3" t="s">
        <v>109</v>
      </c>
      <c r="P248" s="3" t="s">
        <v>109</v>
      </c>
      <c r="Q248" s="9" t="s">
        <v>109</v>
      </c>
      <c r="R248" s="155" t="s">
        <v>109</v>
      </c>
      <c r="S248" s="3" t="s">
        <v>109</v>
      </c>
      <c r="T248" s="158" t="s">
        <v>109</v>
      </c>
      <c r="U248" s="155"/>
      <c r="V248" s="169"/>
      <c r="W248" s="11" t="s">
        <v>109</v>
      </c>
      <c r="X248" s="3" t="s">
        <v>109</v>
      </c>
      <c r="Y248" s="3" t="s">
        <v>109</v>
      </c>
      <c r="Z248" s="3" t="s">
        <v>109</v>
      </c>
      <c r="AA248" s="28" t="s">
        <v>109</v>
      </c>
      <c r="AB248" s="34" t="s">
        <v>109</v>
      </c>
      <c r="AC248" s="3" t="s">
        <v>109</v>
      </c>
      <c r="AD248" s="3" t="s">
        <v>109</v>
      </c>
      <c r="AE248" s="28" t="s">
        <v>109</v>
      </c>
      <c r="AF248" s="108" t="s">
        <v>109</v>
      </c>
      <c r="AG248" s="3">
        <v>167</v>
      </c>
      <c r="AH248" s="97" t="s">
        <v>129</v>
      </c>
      <c r="AI248" s="27" t="s">
        <v>1270</v>
      </c>
      <c r="AJ248" s="34" t="s">
        <v>109</v>
      </c>
      <c r="AK248" s="28" t="s">
        <v>109</v>
      </c>
      <c r="AL248" s="52"/>
    </row>
    <row r="249" spans="1:38" x14ac:dyDescent="0.25">
      <c r="A249" s="3">
        <v>3</v>
      </c>
      <c r="B249" s="3" t="s">
        <v>888</v>
      </c>
      <c r="C249" s="3" t="s">
        <v>889</v>
      </c>
      <c r="D249" s="21" t="s">
        <v>945</v>
      </c>
      <c r="E249" s="23" t="s">
        <v>288</v>
      </c>
      <c r="F249" s="34">
        <v>20016373</v>
      </c>
      <c r="G249" s="43" t="s">
        <v>111</v>
      </c>
      <c r="H249" s="3"/>
      <c r="I249" s="3" t="s">
        <v>946</v>
      </c>
      <c r="J249" s="28">
        <v>33</v>
      </c>
      <c r="K249" s="70">
        <v>17.02</v>
      </c>
      <c r="L249" s="71">
        <f t="shared" si="20"/>
        <v>561.66</v>
      </c>
      <c r="M249" s="34" t="s">
        <v>109</v>
      </c>
      <c r="N249" s="3" t="s">
        <v>109</v>
      </c>
      <c r="O249" s="3" t="s">
        <v>109</v>
      </c>
      <c r="P249" s="3" t="s">
        <v>109</v>
      </c>
      <c r="Q249" s="9" t="s">
        <v>109</v>
      </c>
      <c r="R249" s="155" t="s">
        <v>109</v>
      </c>
      <c r="S249" s="3" t="s">
        <v>109</v>
      </c>
      <c r="T249" s="158" t="s">
        <v>109</v>
      </c>
      <c r="U249" s="155"/>
      <c r="V249" s="169"/>
      <c r="W249" s="11" t="s">
        <v>109</v>
      </c>
      <c r="X249" s="3" t="s">
        <v>109</v>
      </c>
      <c r="Y249" s="3" t="s">
        <v>109</v>
      </c>
      <c r="Z249" s="3" t="s">
        <v>109</v>
      </c>
      <c r="AA249" s="28" t="s">
        <v>109</v>
      </c>
      <c r="AB249" s="34" t="s">
        <v>109</v>
      </c>
      <c r="AC249" s="3" t="s">
        <v>109</v>
      </c>
      <c r="AD249" s="3" t="s">
        <v>109</v>
      </c>
      <c r="AE249" s="28" t="s">
        <v>109</v>
      </c>
      <c r="AF249" s="108" t="s">
        <v>109</v>
      </c>
      <c r="AG249" s="3">
        <v>168</v>
      </c>
      <c r="AH249" s="97" t="s">
        <v>129</v>
      </c>
      <c r="AI249" s="27" t="s">
        <v>1270</v>
      </c>
      <c r="AJ249" s="34" t="s">
        <v>109</v>
      </c>
      <c r="AK249" s="28" t="s">
        <v>109</v>
      </c>
      <c r="AL249" s="52"/>
    </row>
    <row r="250" spans="1:38" x14ac:dyDescent="0.25">
      <c r="A250" s="3">
        <v>3</v>
      </c>
      <c r="B250" s="3" t="s">
        <v>888</v>
      </c>
      <c r="C250" s="3" t="s">
        <v>889</v>
      </c>
      <c r="D250" s="21" t="s">
        <v>947</v>
      </c>
      <c r="E250" s="23" t="s">
        <v>288</v>
      </c>
      <c r="F250" s="34">
        <v>20016373</v>
      </c>
      <c r="G250" s="43" t="s">
        <v>111</v>
      </c>
      <c r="H250" s="3"/>
      <c r="I250" s="3" t="s">
        <v>948</v>
      </c>
      <c r="J250" s="28">
        <v>33</v>
      </c>
      <c r="K250" s="70">
        <v>17.02</v>
      </c>
      <c r="L250" s="71">
        <f t="shared" si="20"/>
        <v>561.66</v>
      </c>
      <c r="M250" s="34" t="s">
        <v>109</v>
      </c>
      <c r="N250" s="3" t="s">
        <v>109</v>
      </c>
      <c r="O250" s="3" t="s">
        <v>109</v>
      </c>
      <c r="P250" s="3" t="s">
        <v>109</v>
      </c>
      <c r="Q250" s="9" t="s">
        <v>109</v>
      </c>
      <c r="R250" s="155" t="s">
        <v>109</v>
      </c>
      <c r="S250" s="3" t="s">
        <v>109</v>
      </c>
      <c r="T250" s="158" t="s">
        <v>109</v>
      </c>
      <c r="U250" s="155"/>
      <c r="V250" s="169"/>
      <c r="W250" s="11" t="s">
        <v>109</v>
      </c>
      <c r="X250" s="3" t="s">
        <v>109</v>
      </c>
      <c r="Y250" s="3" t="s">
        <v>109</v>
      </c>
      <c r="Z250" s="3" t="s">
        <v>109</v>
      </c>
      <c r="AA250" s="28" t="s">
        <v>109</v>
      </c>
      <c r="AB250" s="34" t="s">
        <v>109</v>
      </c>
      <c r="AC250" s="3" t="s">
        <v>109</v>
      </c>
      <c r="AD250" s="3" t="s">
        <v>109</v>
      </c>
      <c r="AE250" s="28" t="s">
        <v>109</v>
      </c>
      <c r="AF250" s="108">
        <v>7</v>
      </c>
      <c r="AG250" s="3">
        <v>169</v>
      </c>
      <c r="AH250" s="97" t="s">
        <v>129</v>
      </c>
      <c r="AI250" s="27" t="s">
        <v>1270</v>
      </c>
      <c r="AJ250" s="34" t="s">
        <v>109</v>
      </c>
      <c r="AK250" s="28" t="s">
        <v>109</v>
      </c>
      <c r="AL250" s="52"/>
    </row>
    <row r="251" spans="1:38" x14ac:dyDescent="0.25">
      <c r="A251" s="3">
        <v>3</v>
      </c>
      <c r="B251" s="3" t="s">
        <v>888</v>
      </c>
      <c r="C251" s="3" t="s">
        <v>889</v>
      </c>
      <c r="D251" s="21" t="s">
        <v>949</v>
      </c>
      <c r="E251" s="23" t="s">
        <v>288</v>
      </c>
      <c r="F251" s="34">
        <v>20016373</v>
      </c>
      <c r="G251" s="43" t="s">
        <v>111</v>
      </c>
      <c r="H251" s="3"/>
      <c r="I251" s="3" t="s">
        <v>950</v>
      </c>
      <c r="J251" s="28">
        <v>33</v>
      </c>
      <c r="K251" s="70">
        <v>17.02</v>
      </c>
      <c r="L251" s="71">
        <f t="shared" si="20"/>
        <v>561.66</v>
      </c>
      <c r="M251" s="34" t="s">
        <v>109</v>
      </c>
      <c r="N251" s="3" t="s">
        <v>109</v>
      </c>
      <c r="O251" s="3" t="s">
        <v>109</v>
      </c>
      <c r="P251" s="3" t="s">
        <v>109</v>
      </c>
      <c r="Q251" s="9" t="s">
        <v>109</v>
      </c>
      <c r="R251" s="155" t="s">
        <v>109</v>
      </c>
      <c r="S251" s="3" t="s">
        <v>109</v>
      </c>
      <c r="T251" s="158" t="s">
        <v>109</v>
      </c>
      <c r="U251" s="155"/>
      <c r="V251" s="169"/>
      <c r="W251" s="11" t="s">
        <v>109</v>
      </c>
      <c r="X251" s="3" t="s">
        <v>109</v>
      </c>
      <c r="Y251" s="3" t="s">
        <v>109</v>
      </c>
      <c r="Z251" s="3" t="s">
        <v>109</v>
      </c>
      <c r="AA251" s="28" t="s">
        <v>109</v>
      </c>
      <c r="AB251" s="34" t="s">
        <v>109</v>
      </c>
      <c r="AC251" s="3" t="s">
        <v>109</v>
      </c>
      <c r="AD251" s="3" t="s">
        <v>109</v>
      </c>
      <c r="AE251" s="28" t="s">
        <v>109</v>
      </c>
      <c r="AF251" s="108" t="s">
        <v>109</v>
      </c>
      <c r="AG251" s="3">
        <v>170</v>
      </c>
      <c r="AH251" s="97" t="s">
        <v>129</v>
      </c>
      <c r="AI251" s="27" t="s">
        <v>1270</v>
      </c>
      <c r="AJ251" s="34" t="s">
        <v>109</v>
      </c>
      <c r="AK251" s="28" t="s">
        <v>109</v>
      </c>
      <c r="AL251" s="52"/>
    </row>
    <row r="252" spans="1:38" x14ac:dyDescent="0.25">
      <c r="A252" s="3">
        <v>3</v>
      </c>
      <c r="B252" s="3" t="s">
        <v>888</v>
      </c>
      <c r="C252" s="3" t="s">
        <v>889</v>
      </c>
      <c r="D252" s="21" t="s">
        <v>951</v>
      </c>
      <c r="E252" s="23" t="s">
        <v>288</v>
      </c>
      <c r="F252" s="34">
        <v>20016373</v>
      </c>
      <c r="G252" s="43" t="s">
        <v>111</v>
      </c>
      <c r="H252" s="3"/>
      <c r="I252" s="3" t="s">
        <v>952</v>
      </c>
      <c r="J252" s="28">
        <v>33</v>
      </c>
      <c r="K252" s="70">
        <v>17.02</v>
      </c>
      <c r="L252" s="71">
        <f t="shared" si="20"/>
        <v>561.66</v>
      </c>
      <c r="M252" s="34" t="s">
        <v>109</v>
      </c>
      <c r="N252" s="3" t="s">
        <v>109</v>
      </c>
      <c r="O252" s="3" t="s">
        <v>109</v>
      </c>
      <c r="P252" s="3" t="s">
        <v>109</v>
      </c>
      <c r="Q252" s="9" t="s">
        <v>109</v>
      </c>
      <c r="R252" s="155" t="s">
        <v>109</v>
      </c>
      <c r="S252" s="3" t="s">
        <v>109</v>
      </c>
      <c r="T252" s="158" t="s">
        <v>109</v>
      </c>
      <c r="U252" s="155"/>
      <c r="V252" s="169"/>
      <c r="W252" s="11" t="s">
        <v>109</v>
      </c>
      <c r="X252" s="3" t="s">
        <v>109</v>
      </c>
      <c r="Y252" s="3" t="s">
        <v>109</v>
      </c>
      <c r="Z252" s="3" t="s">
        <v>109</v>
      </c>
      <c r="AA252" s="28" t="s">
        <v>109</v>
      </c>
      <c r="AB252" s="34" t="s">
        <v>109</v>
      </c>
      <c r="AC252" s="3" t="s">
        <v>109</v>
      </c>
      <c r="AD252" s="3" t="s">
        <v>109</v>
      </c>
      <c r="AE252" s="28" t="s">
        <v>109</v>
      </c>
      <c r="AF252" s="108" t="s">
        <v>109</v>
      </c>
      <c r="AG252" s="3">
        <v>171</v>
      </c>
      <c r="AH252" s="97" t="s">
        <v>129</v>
      </c>
      <c r="AI252" s="27" t="s">
        <v>1270</v>
      </c>
      <c r="AJ252" s="34" t="s">
        <v>109</v>
      </c>
      <c r="AK252" s="28" t="s">
        <v>109</v>
      </c>
      <c r="AL252" s="52"/>
    </row>
    <row r="253" spans="1:38" x14ac:dyDescent="0.25">
      <c r="A253" s="3">
        <v>3</v>
      </c>
      <c r="B253" s="3" t="s">
        <v>888</v>
      </c>
      <c r="C253" s="3" t="s">
        <v>889</v>
      </c>
      <c r="D253" s="21" t="s">
        <v>953</v>
      </c>
      <c r="E253" s="23" t="s">
        <v>288</v>
      </c>
      <c r="F253" s="34">
        <v>20016373</v>
      </c>
      <c r="G253" s="43" t="s">
        <v>111</v>
      </c>
      <c r="H253" s="3"/>
      <c r="I253" s="3" t="s">
        <v>954</v>
      </c>
      <c r="J253" s="28">
        <v>33</v>
      </c>
      <c r="K253" s="70">
        <v>17.02</v>
      </c>
      <c r="L253" s="71">
        <f t="shared" si="20"/>
        <v>561.66</v>
      </c>
      <c r="M253" s="34" t="s">
        <v>109</v>
      </c>
      <c r="N253" s="3" t="s">
        <v>109</v>
      </c>
      <c r="O253" s="3" t="s">
        <v>109</v>
      </c>
      <c r="P253" s="3" t="s">
        <v>109</v>
      </c>
      <c r="Q253" s="9" t="s">
        <v>109</v>
      </c>
      <c r="R253" s="155" t="s">
        <v>109</v>
      </c>
      <c r="S253" s="3" t="s">
        <v>109</v>
      </c>
      <c r="T253" s="158" t="s">
        <v>109</v>
      </c>
      <c r="U253" s="155"/>
      <c r="V253" s="169"/>
      <c r="W253" s="11" t="s">
        <v>109</v>
      </c>
      <c r="X253" s="3" t="s">
        <v>109</v>
      </c>
      <c r="Y253" s="3" t="s">
        <v>109</v>
      </c>
      <c r="Z253" s="3" t="s">
        <v>109</v>
      </c>
      <c r="AA253" s="28" t="s">
        <v>109</v>
      </c>
      <c r="AB253" s="34" t="s">
        <v>109</v>
      </c>
      <c r="AC253" s="3" t="s">
        <v>109</v>
      </c>
      <c r="AD253" s="3" t="s">
        <v>109</v>
      </c>
      <c r="AE253" s="28" t="s">
        <v>109</v>
      </c>
      <c r="AF253" s="108" t="s">
        <v>109</v>
      </c>
      <c r="AG253" s="3">
        <v>172</v>
      </c>
      <c r="AH253" s="97" t="s">
        <v>129</v>
      </c>
      <c r="AI253" s="27" t="s">
        <v>1270</v>
      </c>
      <c r="AJ253" s="34" t="s">
        <v>109</v>
      </c>
      <c r="AK253" s="28" t="s">
        <v>109</v>
      </c>
      <c r="AL253" s="52"/>
    </row>
    <row r="254" spans="1:38" x14ac:dyDescent="0.25">
      <c r="A254" s="3">
        <v>3</v>
      </c>
      <c r="B254" s="3" t="s">
        <v>888</v>
      </c>
      <c r="C254" s="3" t="s">
        <v>889</v>
      </c>
      <c r="D254" s="21" t="s">
        <v>955</v>
      </c>
      <c r="E254" s="23" t="s">
        <v>288</v>
      </c>
      <c r="F254" s="34">
        <v>20016373</v>
      </c>
      <c r="G254" s="43" t="s">
        <v>111</v>
      </c>
      <c r="H254" s="3"/>
      <c r="I254" s="3" t="s">
        <v>957</v>
      </c>
      <c r="J254" s="28">
        <v>33</v>
      </c>
      <c r="K254" s="70">
        <v>17.02</v>
      </c>
      <c r="L254" s="71">
        <f t="shared" si="20"/>
        <v>561.66</v>
      </c>
      <c r="M254" s="34" t="s">
        <v>109</v>
      </c>
      <c r="N254" s="3" t="s">
        <v>109</v>
      </c>
      <c r="O254" s="3" t="s">
        <v>109</v>
      </c>
      <c r="P254" s="3" t="s">
        <v>109</v>
      </c>
      <c r="Q254" s="9" t="s">
        <v>109</v>
      </c>
      <c r="R254" s="155" t="s">
        <v>109</v>
      </c>
      <c r="S254" s="3" t="s">
        <v>109</v>
      </c>
      <c r="T254" s="158" t="s">
        <v>109</v>
      </c>
      <c r="U254" s="155"/>
      <c r="V254" s="169"/>
      <c r="W254" s="11" t="s">
        <v>109</v>
      </c>
      <c r="X254" s="3" t="s">
        <v>109</v>
      </c>
      <c r="Y254" s="3" t="s">
        <v>109</v>
      </c>
      <c r="Z254" s="3" t="s">
        <v>109</v>
      </c>
      <c r="AA254" s="28" t="s">
        <v>109</v>
      </c>
      <c r="AB254" s="34" t="s">
        <v>109</v>
      </c>
      <c r="AC254" s="3" t="s">
        <v>109</v>
      </c>
      <c r="AD254" s="3" t="s">
        <v>109</v>
      </c>
      <c r="AE254" s="28" t="s">
        <v>109</v>
      </c>
      <c r="AF254" s="108" t="s">
        <v>109</v>
      </c>
      <c r="AG254" s="3">
        <v>173</v>
      </c>
      <c r="AH254" s="97" t="s">
        <v>129</v>
      </c>
      <c r="AI254" s="27" t="s">
        <v>1270</v>
      </c>
      <c r="AJ254" s="34" t="s">
        <v>109</v>
      </c>
      <c r="AK254" s="28" t="s">
        <v>109</v>
      </c>
      <c r="AL254" s="52"/>
    </row>
    <row r="255" spans="1:38" x14ac:dyDescent="0.25">
      <c r="A255" s="3">
        <v>3</v>
      </c>
      <c r="B255" s="3" t="s">
        <v>888</v>
      </c>
      <c r="C255" s="3" t="s">
        <v>889</v>
      </c>
      <c r="D255" s="21" t="s">
        <v>956</v>
      </c>
      <c r="E255" s="23" t="s">
        <v>288</v>
      </c>
      <c r="F255" s="34">
        <v>20016373</v>
      </c>
      <c r="G255" s="43" t="s">
        <v>111</v>
      </c>
      <c r="H255" s="3"/>
      <c r="I255" s="3" t="s">
        <v>958</v>
      </c>
      <c r="J255" s="28">
        <v>33</v>
      </c>
      <c r="K255" s="70">
        <v>17.02</v>
      </c>
      <c r="L255" s="71">
        <f t="shared" si="20"/>
        <v>561.66</v>
      </c>
      <c r="M255" s="34" t="s">
        <v>109</v>
      </c>
      <c r="N255" s="3" t="s">
        <v>109</v>
      </c>
      <c r="O255" s="3" t="s">
        <v>109</v>
      </c>
      <c r="P255" s="3" t="s">
        <v>109</v>
      </c>
      <c r="Q255" s="9" t="s">
        <v>109</v>
      </c>
      <c r="R255" s="155" t="s">
        <v>109</v>
      </c>
      <c r="S255" s="3" t="s">
        <v>109</v>
      </c>
      <c r="T255" s="158" t="s">
        <v>109</v>
      </c>
      <c r="U255" s="155"/>
      <c r="V255" s="169"/>
      <c r="W255" s="11" t="s">
        <v>109</v>
      </c>
      <c r="X255" s="3" t="s">
        <v>109</v>
      </c>
      <c r="Y255" s="3" t="s">
        <v>109</v>
      </c>
      <c r="Z255" s="3" t="s">
        <v>109</v>
      </c>
      <c r="AA255" s="28" t="s">
        <v>109</v>
      </c>
      <c r="AB255" s="34" t="s">
        <v>109</v>
      </c>
      <c r="AC255" s="3" t="s">
        <v>109</v>
      </c>
      <c r="AD255" s="3" t="s">
        <v>109</v>
      </c>
      <c r="AE255" s="28" t="s">
        <v>109</v>
      </c>
      <c r="AF255" s="108" t="s">
        <v>109</v>
      </c>
      <c r="AG255" s="3">
        <v>174</v>
      </c>
      <c r="AH255" s="97" t="s">
        <v>129</v>
      </c>
      <c r="AI255" s="27" t="s">
        <v>1270</v>
      </c>
      <c r="AJ255" s="34" t="s">
        <v>109</v>
      </c>
      <c r="AK255" s="28" t="s">
        <v>109</v>
      </c>
      <c r="AL255" s="52"/>
    </row>
    <row r="256" spans="1:38" x14ac:dyDescent="0.25">
      <c r="A256" s="3">
        <v>3</v>
      </c>
      <c r="B256" s="3" t="s">
        <v>888</v>
      </c>
      <c r="C256" s="3" t="s">
        <v>1282</v>
      </c>
      <c r="D256" s="21" t="s">
        <v>959</v>
      </c>
      <c r="E256" s="23" t="s">
        <v>288</v>
      </c>
      <c r="F256" s="34">
        <v>20016373</v>
      </c>
      <c r="G256" s="16" t="s">
        <v>296</v>
      </c>
      <c r="H256" s="3"/>
      <c r="I256" s="3" t="s">
        <v>960</v>
      </c>
      <c r="J256" s="28">
        <v>63</v>
      </c>
      <c r="K256" s="70">
        <v>10.98</v>
      </c>
      <c r="L256" s="71">
        <f t="shared" si="20"/>
        <v>691.74</v>
      </c>
      <c r="M256" s="34" t="s">
        <v>109</v>
      </c>
      <c r="N256" s="3" t="s">
        <v>109</v>
      </c>
      <c r="O256" s="3" t="s">
        <v>109</v>
      </c>
      <c r="P256" s="3" t="s">
        <v>109</v>
      </c>
      <c r="Q256" s="9" t="s">
        <v>109</v>
      </c>
      <c r="R256" s="155" t="s">
        <v>109</v>
      </c>
      <c r="S256" s="3" t="s">
        <v>109</v>
      </c>
      <c r="T256" s="158" t="s">
        <v>109</v>
      </c>
      <c r="U256" s="155"/>
      <c r="V256" s="169"/>
      <c r="W256" s="11" t="s">
        <v>109</v>
      </c>
      <c r="X256" s="3" t="s">
        <v>109</v>
      </c>
      <c r="Y256" s="3" t="s">
        <v>109</v>
      </c>
      <c r="Z256" s="3" t="s">
        <v>109</v>
      </c>
      <c r="AA256" s="28" t="s">
        <v>109</v>
      </c>
      <c r="AB256" s="34" t="s">
        <v>109</v>
      </c>
      <c r="AC256" s="3" t="s">
        <v>109</v>
      </c>
      <c r="AD256" s="3" t="s">
        <v>109</v>
      </c>
      <c r="AE256" s="28" t="s">
        <v>109</v>
      </c>
      <c r="AF256" s="106" t="s">
        <v>112</v>
      </c>
      <c r="AG256" s="3">
        <v>175</v>
      </c>
      <c r="AH256" s="106" t="s">
        <v>112</v>
      </c>
      <c r="AI256" s="27" t="s">
        <v>1270</v>
      </c>
      <c r="AJ256" s="34" t="s">
        <v>109</v>
      </c>
      <c r="AK256" s="28" t="s">
        <v>109</v>
      </c>
      <c r="AL256" s="52"/>
    </row>
    <row r="257" spans="1:38" x14ac:dyDescent="0.25">
      <c r="A257" s="3">
        <v>3</v>
      </c>
      <c r="B257" s="3" t="s">
        <v>888</v>
      </c>
      <c r="C257" s="3" t="s">
        <v>1281</v>
      </c>
      <c r="D257" s="21" t="s">
        <v>961</v>
      </c>
      <c r="E257" s="23" t="s">
        <v>288</v>
      </c>
      <c r="F257" s="34">
        <v>20016373</v>
      </c>
      <c r="G257" s="16" t="s">
        <v>296</v>
      </c>
      <c r="H257" s="3"/>
      <c r="I257" s="3" t="s">
        <v>962</v>
      </c>
      <c r="J257" s="28">
        <v>390</v>
      </c>
      <c r="K257" s="70">
        <v>10.98</v>
      </c>
      <c r="L257" s="71">
        <f t="shared" si="20"/>
        <v>4282.2</v>
      </c>
      <c r="M257" s="34" t="s">
        <v>109</v>
      </c>
      <c r="N257" s="3" t="s">
        <v>109</v>
      </c>
      <c r="O257" s="3" t="s">
        <v>109</v>
      </c>
      <c r="P257" s="3" t="s">
        <v>109</v>
      </c>
      <c r="Q257" s="9" t="s">
        <v>109</v>
      </c>
      <c r="R257" s="155" t="s">
        <v>109</v>
      </c>
      <c r="S257" s="3" t="s">
        <v>109</v>
      </c>
      <c r="T257" s="158" t="s">
        <v>109</v>
      </c>
      <c r="U257" s="155"/>
      <c r="V257" s="169"/>
      <c r="W257" s="11" t="s">
        <v>109</v>
      </c>
      <c r="X257" s="3" t="s">
        <v>109</v>
      </c>
      <c r="Y257" s="3" t="s">
        <v>109</v>
      </c>
      <c r="Z257" s="3" t="s">
        <v>109</v>
      </c>
      <c r="AA257" s="28" t="s">
        <v>109</v>
      </c>
      <c r="AB257" s="34" t="s">
        <v>109</v>
      </c>
      <c r="AC257" s="3" t="s">
        <v>109</v>
      </c>
      <c r="AD257" s="3" t="s">
        <v>109</v>
      </c>
      <c r="AE257" s="28" t="s">
        <v>109</v>
      </c>
      <c r="AF257" s="106" t="s">
        <v>112</v>
      </c>
      <c r="AG257" s="3">
        <v>176</v>
      </c>
      <c r="AH257" s="106" t="s">
        <v>112</v>
      </c>
      <c r="AI257" s="27" t="s">
        <v>1270</v>
      </c>
      <c r="AJ257" s="34" t="s">
        <v>109</v>
      </c>
      <c r="AK257" s="28" t="s">
        <v>109</v>
      </c>
      <c r="AL257" s="52"/>
    </row>
    <row r="258" spans="1:38" ht="16.5" thickBot="1" x14ac:dyDescent="0.3">
      <c r="A258" s="3">
        <v>3</v>
      </c>
      <c r="B258" s="3" t="s">
        <v>888</v>
      </c>
      <c r="C258" s="3" t="s">
        <v>889</v>
      </c>
      <c r="D258" s="21" t="s">
        <v>963</v>
      </c>
      <c r="E258" s="23" t="s">
        <v>288</v>
      </c>
      <c r="F258" s="34">
        <v>20016373</v>
      </c>
      <c r="G258" s="16" t="s">
        <v>296</v>
      </c>
      <c r="H258" s="3"/>
      <c r="I258" s="3" t="s">
        <v>964</v>
      </c>
      <c r="J258" s="28">
        <v>20</v>
      </c>
      <c r="K258" s="70">
        <v>10.98</v>
      </c>
      <c r="L258" s="71">
        <f t="shared" si="20"/>
        <v>219.60000000000002</v>
      </c>
      <c r="M258" s="34" t="s">
        <v>109</v>
      </c>
      <c r="N258" s="3" t="s">
        <v>109</v>
      </c>
      <c r="O258" s="3" t="s">
        <v>109</v>
      </c>
      <c r="P258" s="3" t="s">
        <v>109</v>
      </c>
      <c r="Q258" s="9" t="s">
        <v>109</v>
      </c>
      <c r="R258" s="163" t="s">
        <v>109</v>
      </c>
      <c r="S258" s="164" t="s">
        <v>109</v>
      </c>
      <c r="T258" s="165" t="s">
        <v>109</v>
      </c>
      <c r="U258" s="163"/>
      <c r="V258" s="169"/>
      <c r="W258" s="11" t="s">
        <v>109</v>
      </c>
      <c r="X258" s="3" t="s">
        <v>109</v>
      </c>
      <c r="Y258" s="3" t="s">
        <v>109</v>
      </c>
      <c r="Z258" s="3" t="s">
        <v>109</v>
      </c>
      <c r="AA258" s="28" t="s">
        <v>109</v>
      </c>
      <c r="AB258" s="34" t="s">
        <v>109</v>
      </c>
      <c r="AC258" s="3" t="s">
        <v>109</v>
      </c>
      <c r="AD258" s="3" t="s">
        <v>109</v>
      </c>
      <c r="AE258" s="28" t="s">
        <v>109</v>
      </c>
      <c r="AF258" s="108" t="s">
        <v>109</v>
      </c>
      <c r="AG258" s="3">
        <v>177</v>
      </c>
      <c r="AH258" s="97" t="s">
        <v>129</v>
      </c>
      <c r="AI258" s="27" t="s">
        <v>1270</v>
      </c>
      <c r="AJ258" s="34" t="s">
        <v>109</v>
      </c>
      <c r="AK258" s="28" t="s">
        <v>109</v>
      </c>
      <c r="AL258" s="52"/>
    </row>
    <row r="259" spans="1:38" x14ac:dyDescent="0.25">
      <c r="A259" s="3">
        <v>2</v>
      </c>
      <c r="B259" s="21" t="s">
        <v>230</v>
      </c>
      <c r="C259" s="21" t="s">
        <v>230</v>
      </c>
      <c r="D259" s="21" t="s">
        <v>1645</v>
      </c>
      <c r="E259" s="9" t="s">
        <v>34</v>
      </c>
      <c r="F259" s="34">
        <v>20014819</v>
      </c>
      <c r="G259" s="16" t="s">
        <v>296</v>
      </c>
      <c r="H259" s="3" t="s">
        <v>1646</v>
      </c>
      <c r="I259" s="21" t="s">
        <v>592</v>
      </c>
      <c r="J259" s="28">
        <v>10</v>
      </c>
      <c r="K259" s="70">
        <v>10.98</v>
      </c>
      <c r="L259" s="143">
        <f t="shared" ref="L259:L262" si="24">J259*K259</f>
        <v>109.80000000000001</v>
      </c>
      <c r="M259" s="3"/>
      <c r="N259" s="11"/>
      <c r="O259" s="11"/>
      <c r="P259" s="11"/>
      <c r="Q259" s="11"/>
      <c r="R259" s="152"/>
      <c r="S259" s="152"/>
      <c r="T259" s="142"/>
      <c r="U259" s="166"/>
      <c r="V259" s="152"/>
      <c r="W259" s="11"/>
      <c r="X259" s="11"/>
      <c r="Y259" s="11"/>
      <c r="Z259" s="11"/>
      <c r="AA259" s="11"/>
      <c r="AB259" s="11"/>
      <c r="AC259" s="11"/>
      <c r="AD259" s="11"/>
      <c r="AE259" s="11"/>
      <c r="AF259" s="96"/>
      <c r="AG259" s="113"/>
      <c r="AH259" s="101"/>
      <c r="AI259" s="11"/>
      <c r="AJ259" s="11"/>
      <c r="AK259" s="11"/>
      <c r="AL259" s="52"/>
    </row>
    <row r="260" spans="1:38" x14ac:dyDescent="0.25">
      <c r="A260" s="3">
        <v>2</v>
      </c>
      <c r="B260" s="3" t="s">
        <v>297</v>
      </c>
      <c r="C260" s="3" t="s">
        <v>297</v>
      </c>
      <c r="D260" s="21" t="s">
        <v>1645</v>
      </c>
      <c r="E260" s="9" t="s">
        <v>34</v>
      </c>
      <c r="F260" s="34">
        <v>20014819</v>
      </c>
      <c r="G260" s="16" t="s">
        <v>296</v>
      </c>
      <c r="H260" s="3" t="s">
        <v>1647</v>
      </c>
      <c r="I260" s="21" t="s">
        <v>592</v>
      </c>
      <c r="J260" s="28">
        <v>10</v>
      </c>
      <c r="K260" s="70">
        <v>10.98</v>
      </c>
      <c r="L260" s="143">
        <f t="shared" si="24"/>
        <v>109.80000000000001</v>
      </c>
      <c r="M260" s="45"/>
      <c r="N260" s="45"/>
      <c r="O260" s="3"/>
      <c r="P260" s="21"/>
      <c r="Q260" s="3"/>
      <c r="R260" s="45"/>
      <c r="S260" s="45"/>
      <c r="T260" s="109"/>
      <c r="U260" s="45"/>
      <c r="V260" s="52"/>
      <c r="W260" s="45"/>
      <c r="X260" s="45"/>
      <c r="Y260" s="3"/>
      <c r="Z260" s="3"/>
      <c r="AA260" s="21"/>
      <c r="AB260" s="45"/>
      <c r="AC260" s="45"/>
      <c r="AD260" s="45"/>
      <c r="AE260" s="45"/>
      <c r="AF260" s="109"/>
      <c r="AG260" s="102"/>
      <c r="AH260" s="111"/>
      <c r="AI260" s="45"/>
      <c r="AJ260" s="3"/>
      <c r="AK260" s="45"/>
      <c r="AL260" s="52"/>
    </row>
    <row r="261" spans="1:38" x14ac:dyDescent="0.25">
      <c r="A261" s="3">
        <v>3</v>
      </c>
      <c r="B261" s="3" t="s">
        <v>192</v>
      </c>
      <c r="C261" s="3" t="s">
        <v>1648</v>
      </c>
      <c r="D261" s="3" t="s">
        <v>318</v>
      </c>
      <c r="E261" s="23" t="s">
        <v>288</v>
      </c>
      <c r="F261" s="34">
        <v>20016373</v>
      </c>
      <c r="G261" s="43" t="s">
        <v>111</v>
      </c>
      <c r="H261" s="3" t="s">
        <v>475</v>
      </c>
      <c r="I261" s="3"/>
      <c r="J261" s="3">
        <v>51</v>
      </c>
      <c r="K261" s="70">
        <v>17.02</v>
      </c>
      <c r="L261" s="71">
        <f t="shared" si="24"/>
        <v>868.02</v>
      </c>
      <c r="M261" s="45"/>
      <c r="N261" s="45"/>
      <c r="O261" s="3"/>
      <c r="P261" s="21"/>
      <c r="Q261" s="3"/>
      <c r="R261" s="45"/>
      <c r="S261" s="45"/>
      <c r="T261" s="109"/>
      <c r="U261" s="45"/>
      <c r="V261" s="52"/>
      <c r="W261" s="45"/>
      <c r="X261" s="45"/>
      <c r="Y261" s="3"/>
      <c r="Z261" s="3"/>
      <c r="AA261" s="21"/>
      <c r="AB261" s="45"/>
      <c r="AC261" s="45"/>
      <c r="AD261" s="45"/>
      <c r="AE261" s="45"/>
      <c r="AF261" s="109"/>
      <c r="AG261" s="102"/>
      <c r="AH261" s="111"/>
      <c r="AI261" s="45"/>
      <c r="AJ261" s="3"/>
      <c r="AK261" s="45"/>
      <c r="AL261" s="52"/>
    </row>
    <row r="262" spans="1:38" x14ac:dyDescent="0.25">
      <c r="A262" s="3">
        <v>3</v>
      </c>
      <c r="B262" s="3" t="s">
        <v>192</v>
      </c>
      <c r="C262" s="3" t="s">
        <v>1649</v>
      </c>
      <c r="D262" s="3" t="s">
        <v>318</v>
      </c>
      <c r="E262" s="23" t="s">
        <v>288</v>
      </c>
      <c r="F262" s="34">
        <v>20016373</v>
      </c>
      <c r="G262" s="43" t="s">
        <v>111</v>
      </c>
      <c r="H262" s="3" t="s">
        <v>475</v>
      </c>
      <c r="I262" s="3"/>
      <c r="J262" s="3">
        <v>51</v>
      </c>
      <c r="K262" s="70">
        <v>17.02</v>
      </c>
      <c r="L262" s="71">
        <f t="shared" si="24"/>
        <v>868.02</v>
      </c>
      <c r="M262" s="45"/>
      <c r="N262" s="45"/>
      <c r="O262" s="3"/>
      <c r="P262" s="21"/>
      <c r="Q262" s="3"/>
      <c r="R262" s="45"/>
      <c r="S262" s="45"/>
      <c r="T262" s="109"/>
      <c r="U262" s="45"/>
      <c r="V262" s="52"/>
      <c r="W262" s="45"/>
      <c r="X262" s="45"/>
      <c r="Y262" s="3"/>
      <c r="Z262" s="3"/>
      <c r="AA262" s="21"/>
      <c r="AB262" s="45"/>
      <c r="AC262" s="45"/>
      <c r="AD262" s="45"/>
      <c r="AE262" s="45"/>
      <c r="AF262" s="109"/>
      <c r="AG262" s="102"/>
      <c r="AH262" s="111"/>
      <c r="AI262" s="45"/>
      <c r="AJ262" s="3"/>
      <c r="AK262" s="45"/>
      <c r="AL262" s="52"/>
    </row>
    <row r="263" spans="1:38" x14ac:dyDescent="0.25">
      <c r="A263" s="1"/>
      <c r="B263" s="3"/>
      <c r="C263" s="3"/>
      <c r="D263" s="21"/>
      <c r="E263" s="8"/>
      <c r="F263" s="3"/>
      <c r="G263" s="3"/>
      <c r="H263" s="3"/>
      <c r="I263" s="3"/>
      <c r="J263" s="3"/>
      <c r="K263" s="24"/>
      <c r="L263" s="8"/>
      <c r="M263" s="45"/>
      <c r="N263" s="45"/>
      <c r="O263" s="3"/>
      <c r="P263" s="21"/>
      <c r="Q263" s="3"/>
      <c r="R263" s="45"/>
      <c r="S263" s="45"/>
      <c r="T263" s="9"/>
      <c r="U263" s="3"/>
      <c r="V263" s="11"/>
      <c r="W263" s="45"/>
      <c r="X263" s="45"/>
      <c r="Y263" s="3"/>
      <c r="Z263" s="3"/>
      <c r="AA263" s="21"/>
      <c r="AB263" s="45"/>
      <c r="AC263" s="45"/>
      <c r="AD263" s="45"/>
      <c r="AE263" s="45"/>
      <c r="AF263" s="109"/>
      <c r="AG263" s="102"/>
      <c r="AH263" s="111"/>
      <c r="AI263" s="45"/>
      <c r="AJ263" s="3"/>
      <c r="AK263" s="45"/>
      <c r="AL263" s="52"/>
    </row>
    <row r="264" spans="1:38" x14ac:dyDescent="0.25">
      <c r="A264" s="1"/>
      <c r="B264" s="3"/>
      <c r="C264" s="3"/>
      <c r="D264" s="21"/>
      <c r="E264" s="8"/>
      <c r="F264" s="3"/>
      <c r="G264" s="3"/>
      <c r="H264" s="3"/>
      <c r="I264" s="3"/>
      <c r="J264" s="3"/>
      <c r="K264" s="24"/>
      <c r="L264" s="8"/>
      <c r="M264" s="45"/>
      <c r="N264" s="45"/>
      <c r="O264" s="3"/>
      <c r="P264" s="21"/>
      <c r="Q264" s="3"/>
      <c r="R264" s="45"/>
      <c r="S264" s="45"/>
      <c r="T264" s="109"/>
      <c r="U264" s="45"/>
      <c r="V264" s="52"/>
      <c r="W264" s="45"/>
      <c r="X264" s="45"/>
      <c r="Y264" s="3"/>
      <c r="Z264" s="3"/>
      <c r="AA264" s="21"/>
      <c r="AB264" s="45"/>
      <c r="AC264" s="45"/>
      <c r="AD264" s="45"/>
      <c r="AE264" s="45"/>
      <c r="AF264" s="109"/>
      <c r="AG264" s="102"/>
      <c r="AH264" s="111"/>
      <c r="AI264" s="45"/>
      <c r="AJ264" s="3"/>
      <c r="AK264" s="45"/>
      <c r="AL264" s="52"/>
    </row>
    <row r="265" spans="1:38" x14ac:dyDescent="0.25">
      <c r="A265" s="1"/>
      <c r="B265" s="3"/>
      <c r="C265" s="3"/>
      <c r="D265" s="21"/>
      <c r="E265" s="8"/>
      <c r="F265" s="3"/>
      <c r="G265" s="3"/>
      <c r="H265" s="3"/>
      <c r="I265" s="3"/>
      <c r="J265" s="3"/>
      <c r="K265" s="24"/>
      <c r="L265" s="8"/>
      <c r="M265" s="45"/>
      <c r="N265" s="45"/>
      <c r="O265" s="3"/>
      <c r="P265" s="21"/>
      <c r="Q265" s="3"/>
      <c r="R265" s="45"/>
      <c r="S265" s="45"/>
      <c r="T265" s="109"/>
      <c r="U265" s="45"/>
      <c r="V265" s="52"/>
      <c r="W265" s="45"/>
      <c r="X265" s="45"/>
      <c r="Y265" s="3"/>
      <c r="Z265" s="3"/>
      <c r="AA265" s="21"/>
      <c r="AB265" s="45"/>
      <c r="AC265" s="45"/>
      <c r="AD265" s="45"/>
      <c r="AE265" s="45"/>
      <c r="AF265" s="109"/>
      <c r="AG265" s="102"/>
      <c r="AH265" s="111"/>
      <c r="AI265" s="45"/>
      <c r="AJ265" s="3"/>
      <c r="AK265" s="45"/>
      <c r="AL265" s="52"/>
    </row>
    <row r="266" spans="1:38" x14ac:dyDescent="0.25">
      <c r="A266" s="1"/>
      <c r="B266" s="3"/>
      <c r="C266" s="3"/>
      <c r="D266" s="21"/>
      <c r="E266" s="8"/>
      <c r="F266" s="3"/>
      <c r="G266" s="3"/>
      <c r="H266" s="3"/>
      <c r="I266" s="3"/>
      <c r="J266" s="3"/>
      <c r="L266" s="8"/>
      <c r="M266" s="45"/>
      <c r="N266" s="45"/>
      <c r="O266" s="3"/>
      <c r="P266" s="21"/>
      <c r="Q266" s="3"/>
      <c r="R266" s="45"/>
      <c r="S266" s="45"/>
      <c r="T266" s="109"/>
      <c r="U266" s="45"/>
      <c r="V266" s="52"/>
      <c r="W266" s="45"/>
      <c r="X266" s="45"/>
      <c r="Y266" s="3"/>
      <c r="Z266" s="3"/>
      <c r="AA266" s="21"/>
      <c r="AB266" s="45"/>
      <c r="AC266" s="45"/>
      <c r="AD266" s="45"/>
      <c r="AE266" s="45"/>
      <c r="AF266" s="109"/>
      <c r="AG266" s="102"/>
      <c r="AH266" s="111"/>
      <c r="AI266" s="45"/>
      <c r="AJ266" s="3"/>
      <c r="AK266" s="45"/>
      <c r="AL266" s="52"/>
    </row>
    <row r="267" spans="1:38" x14ac:dyDescent="0.25">
      <c r="A267" s="1"/>
      <c r="B267" s="3"/>
      <c r="C267" s="3"/>
      <c r="D267" s="21"/>
      <c r="E267" s="8"/>
      <c r="F267" s="3"/>
      <c r="G267" s="3"/>
      <c r="H267" s="3"/>
      <c r="I267" s="3"/>
      <c r="J267" s="3"/>
      <c r="K267" s="24"/>
      <c r="L267" s="8"/>
      <c r="M267" s="45"/>
      <c r="N267" s="45"/>
      <c r="O267" s="3"/>
      <c r="P267" s="21"/>
      <c r="Q267" s="3"/>
      <c r="R267" s="45"/>
      <c r="S267" s="45"/>
      <c r="T267" s="109"/>
      <c r="U267" s="45"/>
      <c r="V267" s="52"/>
      <c r="W267" s="45"/>
      <c r="X267" s="45"/>
      <c r="Y267" s="3"/>
      <c r="Z267" s="3"/>
      <c r="AA267" s="21"/>
      <c r="AB267" s="45"/>
      <c r="AC267" s="45"/>
      <c r="AD267" s="45"/>
      <c r="AE267" s="45"/>
      <c r="AF267" s="109"/>
      <c r="AG267" s="102"/>
      <c r="AH267" s="111"/>
      <c r="AI267" s="45"/>
      <c r="AJ267" s="3"/>
      <c r="AK267" s="45"/>
      <c r="AL267" s="52"/>
    </row>
    <row r="268" spans="1:38" x14ac:dyDescent="0.25">
      <c r="A268" s="1"/>
      <c r="B268" s="3"/>
      <c r="C268" s="3"/>
      <c r="D268" s="21"/>
      <c r="E268" s="8"/>
      <c r="F268" s="3"/>
      <c r="G268" s="3"/>
      <c r="H268" s="3"/>
      <c r="I268" s="3"/>
      <c r="J268" s="3"/>
      <c r="K268" s="24"/>
      <c r="L268" s="8"/>
      <c r="M268" s="45"/>
      <c r="N268" s="45"/>
      <c r="O268" s="3"/>
      <c r="P268" s="21"/>
      <c r="Q268" s="3"/>
      <c r="R268" s="45"/>
      <c r="S268" s="45"/>
      <c r="T268" s="109"/>
      <c r="U268" s="45"/>
      <c r="V268" s="52"/>
      <c r="W268" s="45"/>
      <c r="X268" s="45"/>
      <c r="Y268" s="3"/>
      <c r="Z268" s="3"/>
      <c r="AA268" s="21"/>
      <c r="AB268" s="45"/>
      <c r="AC268" s="45"/>
      <c r="AD268" s="45"/>
      <c r="AE268" s="45"/>
      <c r="AF268" s="109"/>
      <c r="AG268" s="102"/>
      <c r="AH268" s="111"/>
      <c r="AI268" s="45"/>
      <c r="AJ268" s="3"/>
      <c r="AK268" s="45"/>
      <c r="AL268" s="52"/>
    </row>
    <row r="269" spans="1:38" x14ac:dyDescent="0.25">
      <c r="A269" s="1"/>
      <c r="B269" s="3"/>
      <c r="C269" s="3"/>
      <c r="D269" s="21"/>
      <c r="E269" s="8"/>
      <c r="F269" s="3"/>
      <c r="G269" s="3"/>
      <c r="H269" s="3"/>
      <c r="I269" s="3"/>
      <c r="J269" s="3"/>
      <c r="K269" s="24"/>
      <c r="L269" s="8"/>
      <c r="M269" s="45"/>
      <c r="N269" s="45"/>
      <c r="O269" s="3"/>
      <c r="P269" s="21"/>
      <c r="Q269" s="3"/>
      <c r="R269" s="45"/>
      <c r="S269" s="45"/>
      <c r="T269" s="109"/>
      <c r="U269" s="45"/>
      <c r="V269" s="52"/>
      <c r="W269" s="45"/>
      <c r="X269" s="45"/>
      <c r="Y269" s="3"/>
      <c r="Z269" s="3"/>
      <c r="AA269" s="21"/>
      <c r="AB269" s="45"/>
      <c r="AC269" s="45"/>
      <c r="AD269" s="45"/>
      <c r="AE269" s="45"/>
      <c r="AF269" s="109"/>
      <c r="AG269" s="102"/>
      <c r="AH269" s="111"/>
      <c r="AI269" s="45"/>
      <c r="AJ269" s="3"/>
      <c r="AK269" s="45"/>
      <c r="AL269" s="52"/>
    </row>
    <row r="270" spans="1:38" x14ac:dyDescent="0.25">
      <c r="A270" s="1"/>
      <c r="B270" s="3"/>
      <c r="C270" s="3"/>
      <c r="D270" s="21"/>
      <c r="E270" s="8"/>
      <c r="F270" s="3"/>
      <c r="G270" s="3"/>
      <c r="H270" s="3"/>
      <c r="I270" s="3"/>
      <c r="J270" s="3"/>
      <c r="K270" s="24"/>
      <c r="L270" s="8"/>
      <c r="M270" s="45"/>
      <c r="N270" s="45"/>
      <c r="O270" s="3"/>
      <c r="P270" s="21"/>
      <c r="Q270" s="3"/>
      <c r="R270" s="45"/>
      <c r="S270" s="45"/>
      <c r="T270" s="109"/>
      <c r="U270" s="45"/>
      <c r="V270" s="52"/>
      <c r="W270" s="45"/>
      <c r="X270" s="45"/>
      <c r="Y270" s="3"/>
      <c r="Z270" s="3"/>
      <c r="AA270" s="21"/>
      <c r="AB270" s="45"/>
      <c r="AC270" s="45"/>
      <c r="AD270" s="45"/>
      <c r="AE270" s="45"/>
      <c r="AF270" s="109"/>
      <c r="AG270" s="102"/>
      <c r="AH270" s="111"/>
      <c r="AI270" s="45"/>
      <c r="AJ270" s="3"/>
      <c r="AK270" s="45"/>
      <c r="AL270" s="52"/>
    </row>
    <row r="271" spans="1:38" x14ac:dyDescent="0.25">
      <c r="A271" s="1"/>
      <c r="B271" s="3"/>
      <c r="C271" s="3"/>
      <c r="D271" s="21"/>
      <c r="E271" s="8"/>
      <c r="F271" s="3"/>
      <c r="G271" s="3"/>
      <c r="H271" s="3"/>
      <c r="I271" s="3"/>
      <c r="J271" s="3"/>
      <c r="K271" s="24"/>
      <c r="L271" s="8"/>
      <c r="M271" s="45"/>
      <c r="N271" s="45"/>
      <c r="O271" s="3"/>
      <c r="P271" s="21"/>
      <c r="Q271" s="3"/>
      <c r="R271" s="45"/>
      <c r="S271" s="45"/>
      <c r="T271" s="109"/>
      <c r="U271" s="45"/>
      <c r="V271" s="52"/>
      <c r="W271" s="45"/>
      <c r="X271" s="45"/>
      <c r="Y271" s="3"/>
      <c r="Z271" s="3"/>
      <c r="AA271" s="21"/>
      <c r="AB271" s="45"/>
      <c r="AC271" s="45"/>
      <c r="AD271" s="45"/>
      <c r="AE271" s="45"/>
      <c r="AF271" s="109"/>
      <c r="AG271" s="102"/>
      <c r="AH271" s="111"/>
      <c r="AI271" s="45"/>
      <c r="AJ271" s="3"/>
      <c r="AK271" s="45"/>
      <c r="AL271" s="52"/>
    </row>
    <row r="272" spans="1:38" x14ac:dyDescent="0.25">
      <c r="A272" s="1"/>
      <c r="B272" s="3"/>
      <c r="C272" s="3"/>
      <c r="D272" s="21"/>
      <c r="E272" s="8"/>
      <c r="F272" s="3"/>
      <c r="G272" s="3"/>
      <c r="H272" s="3"/>
      <c r="I272" s="3"/>
      <c r="J272" s="3"/>
      <c r="K272" s="24"/>
      <c r="L272" s="8"/>
      <c r="M272" s="45"/>
      <c r="N272" s="45"/>
      <c r="O272" s="3"/>
      <c r="P272" s="21"/>
      <c r="Q272" s="3"/>
      <c r="R272" s="45"/>
      <c r="S272" s="45"/>
      <c r="T272" s="109"/>
      <c r="U272" s="45"/>
      <c r="V272" s="52"/>
      <c r="W272" s="45"/>
      <c r="X272" s="45"/>
      <c r="Y272" s="3"/>
      <c r="Z272" s="3"/>
      <c r="AA272" s="21"/>
      <c r="AB272" s="45"/>
      <c r="AC272" s="45"/>
      <c r="AD272" s="45"/>
      <c r="AE272" s="45"/>
      <c r="AF272" s="109"/>
      <c r="AG272" s="102"/>
      <c r="AH272" s="111"/>
      <c r="AI272" s="45"/>
      <c r="AJ272" s="3"/>
      <c r="AK272" s="45"/>
      <c r="AL272" s="52"/>
    </row>
    <row r="273" spans="1:38" x14ac:dyDescent="0.25">
      <c r="A273" s="1"/>
      <c r="B273" s="3"/>
      <c r="C273" s="3"/>
      <c r="D273" s="21"/>
      <c r="E273" s="8"/>
      <c r="F273" s="3"/>
      <c r="G273" s="3"/>
      <c r="H273" s="3"/>
      <c r="I273" s="3"/>
      <c r="J273" s="3"/>
      <c r="K273" s="24"/>
      <c r="L273" s="8"/>
      <c r="M273" s="45"/>
      <c r="N273" s="45"/>
      <c r="O273" s="3"/>
      <c r="P273" s="21"/>
      <c r="Q273" s="3"/>
      <c r="R273" s="45"/>
      <c r="S273" s="45"/>
      <c r="T273" s="109"/>
      <c r="U273" s="45"/>
      <c r="V273" s="52"/>
      <c r="W273" s="45"/>
      <c r="X273" s="45"/>
      <c r="Y273" s="3"/>
      <c r="Z273" s="3"/>
      <c r="AA273" s="21"/>
      <c r="AB273" s="45"/>
      <c r="AC273" s="45"/>
      <c r="AD273" s="45"/>
      <c r="AE273" s="45"/>
      <c r="AF273" s="109"/>
      <c r="AG273" s="102"/>
      <c r="AH273" s="111"/>
      <c r="AI273" s="45"/>
      <c r="AJ273" s="3"/>
      <c r="AK273" s="45"/>
      <c r="AL273" s="52"/>
    </row>
    <row r="274" spans="1:38" x14ac:dyDescent="0.25">
      <c r="A274" s="1"/>
      <c r="B274" s="3"/>
      <c r="C274" s="3"/>
      <c r="D274" s="21"/>
      <c r="E274" s="8"/>
      <c r="F274" s="3"/>
      <c r="G274" s="3"/>
      <c r="H274" s="3"/>
      <c r="I274" s="3"/>
      <c r="J274" s="3"/>
      <c r="K274" s="24"/>
      <c r="L274" s="8"/>
      <c r="M274" s="45"/>
      <c r="N274" s="45"/>
      <c r="O274" s="3"/>
      <c r="P274" s="21"/>
      <c r="Q274" s="3"/>
      <c r="R274" s="45"/>
      <c r="S274" s="45"/>
      <c r="T274" s="109"/>
      <c r="U274" s="45"/>
      <c r="V274" s="52"/>
      <c r="W274" s="45"/>
      <c r="X274" s="45"/>
      <c r="Y274" s="3"/>
      <c r="Z274" s="3"/>
      <c r="AA274" s="21"/>
      <c r="AB274" s="45"/>
      <c r="AC274" s="45"/>
      <c r="AD274" s="45"/>
      <c r="AE274" s="45"/>
      <c r="AF274" s="109"/>
      <c r="AG274" s="102"/>
      <c r="AH274" s="111"/>
      <c r="AI274" s="45"/>
      <c r="AJ274" s="3"/>
      <c r="AK274" s="45"/>
      <c r="AL274" s="52"/>
    </row>
    <row r="275" spans="1:38" x14ac:dyDescent="0.25">
      <c r="A275" s="1"/>
      <c r="B275" s="3"/>
      <c r="C275" s="3"/>
      <c r="D275" s="21"/>
      <c r="E275" s="8"/>
      <c r="F275" s="3"/>
      <c r="G275" s="3"/>
      <c r="H275" s="3"/>
      <c r="I275" s="3"/>
      <c r="J275" s="3"/>
      <c r="K275" s="24"/>
      <c r="L275" s="8"/>
      <c r="M275" s="45"/>
      <c r="N275" s="45"/>
      <c r="O275" s="3"/>
      <c r="P275" s="21"/>
      <c r="Q275" s="3"/>
      <c r="R275" s="45"/>
      <c r="S275" s="45"/>
      <c r="T275" s="109"/>
      <c r="U275" s="45"/>
      <c r="V275" s="52"/>
      <c r="W275" s="45"/>
      <c r="X275" s="45"/>
      <c r="Y275" s="3"/>
      <c r="Z275" s="3"/>
      <c r="AA275" s="21"/>
      <c r="AB275" s="45"/>
      <c r="AC275" s="45"/>
      <c r="AD275" s="45"/>
      <c r="AE275" s="45"/>
      <c r="AF275" s="109"/>
      <c r="AG275" s="102"/>
      <c r="AH275" s="111"/>
      <c r="AI275" s="45"/>
      <c r="AJ275" s="3"/>
      <c r="AK275" s="45"/>
      <c r="AL275" s="52"/>
    </row>
    <row r="276" spans="1:38" x14ac:dyDescent="0.25">
      <c r="A276" s="1"/>
      <c r="B276" s="3"/>
      <c r="C276" s="3"/>
      <c r="D276" s="21"/>
      <c r="E276" s="8"/>
      <c r="F276" s="3"/>
      <c r="G276" s="3"/>
      <c r="H276" s="3"/>
      <c r="I276" s="3"/>
      <c r="J276" s="3"/>
      <c r="K276" s="24"/>
      <c r="L276" s="8"/>
      <c r="M276" s="45"/>
      <c r="N276" s="45"/>
      <c r="O276" s="3"/>
      <c r="P276" s="21"/>
      <c r="Q276" s="3"/>
      <c r="R276" s="45"/>
      <c r="S276" s="45"/>
      <c r="T276" s="109"/>
      <c r="U276" s="45"/>
      <c r="V276" s="52"/>
      <c r="W276" s="45"/>
      <c r="X276" s="45"/>
      <c r="Y276" s="3"/>
      <c r="Z276" s="3"/>
      <c r="AA276" s="21"/>
      <c r="AB276" s="45"/>
      <c r="AC276" s="45"/>
      <c r="AD276" s="45"/>
      <c r="AE276" s="45"/>
      <c r="AF276" s="109"/>
      <c r="AG276" s="102"/>
      <c r="AH276" s="111"/>
      <c r="AI276" s="45"/>
      <c r="AJ276" s="3"/>
      <c r="AK276" s="45"/>
      <c r="AL276" s="52"/>
    </row>
    <row r="277" spans="1:38" x14ac:dyDescent="0.25">
      <c r="A277" s="1"/>
      <c r="B277" s="3"/>
      <c r="C277" s="3"/>
      <c r="D277" s="21"/>
      <c r="E277" s="8"/>
      <c r="F277" s="3"/>
      <c r="G277" s="3"/>
      <c r="H277" s="3"/>
      <c r="I277" s="3"/>
      <c r="J277" s="3"/>
      <c r="K277" s="24"/>
      <c r="L277" s="8"/>
      <c r="M277" s="45"/>
      <c r="N277" s="45"/>
      <c r="O277" s="3"/>
      <c r="P277" s="21"/>
      <c r="Q277" s="3"/>
      <c r="R277" s="45"/>
      <c r="S277" s="45"/>
      <c r="T277" s="109"/>
      <c r="U277" s="45"/>
      <c r="V277" s="52"/>
      <c r="W277" s="45"/>
      <c r="X277" s="45"/>
      <c r="Y277" s="3"/>
      <c r="Z277" s="3"/>
      <c r="AA277" s="21"/>
      <c r="AB277" s="45"/>
      <c r="AC277" s="45"/>
      <c r="AD277" s="45"/>
      <c r="AE277" s="45"/>
      <c r="AF277" s="109"/>
      <c r="AG277" s="102"/>
      <c r="AH277" s="111"/>
      <c r="AI277" s="45"/>
      <c r="AJ277" s="3"/>
      <c r="AK277" s="45"/>
      <c r="AL277" s="52"/>
    </row>
    <row r="278" spans="1:38" x14ac:dyDescent="0.25">
      <c r="A278" s="1"/>
      <c r="B278" s="3"/>
      <c r="C278" s="3"/>
      <c r="D278" s="21"/>
      <c r="E278" s="8"/>
      <c r="F278" s="3"/>
      <c r="G278" s="3"/>
      <c r="H278" s="3"/>
      <c r="I278" s="3"/>
      <c r="J278" s="3"/>
      <c r="K278" s="24"/>
      <c r="L278" s="8"/>
      <c r="M278" s="45"/>
      <c r="N278" s="45"/>
      <c r="O278" s="3"/>
      <c r="P278" s="21"/>
      <c r="Q278" s="3"/>
      <c r="R278" s="45"/>
      <c r="S278" s="45"/>
      <c r="T278" s="109"/>
      <c r="U278" s="45"/>
      <c r="V278" s="52"/>
      <c r="W278" s="45"/>
      <c r="X278" s="45"/>
      <c r="Y278" s="3"/>
      <c r="Z278" s="3"/>
      <c r="AA278" s="21"/>
      <c r="AB278" s="45"/>
      <c r="AC278" s="45"/>
      <c r="AD278" s="45"/>
      <c r="AE278" s="45"/>
      <c r="AF278" s="109"/>
      <c r="AG278" s="102"/>
      <c r="AH278" s="111"/>
      <c r="AI278" s="45"/>
      <c r="AJ278" s="3"/>
      <c r="AK278" s="45"/>
      <c r="AL278" s="52"/>
    </row>
    <row r="279" spans="1:38" x14ac:dyDescent="0.25">
      <c r="A279" s="1"/>
      <c r="B279" s="3"/>
      <c r="C279" s="3"/>
      <c r="D279" s="21"/>
      <c r="E279" s="8"/>
      <c r="F279" s="3"/>
      <c r="G279" s="3"/>
      <c r="H279" s="3"/>
      <c r="I279" s="3"/>
      <c r="J279" s="3"/>
      <c r="K279" s="24"/>
      <c r="L279" s="8"/>
      <c r="M279" s="45"/>
      <c r="N279" s="45"/>
      <c r="O279" s="3"/>
      <c r="P279" s="21"/>
      <c r="Q279" s="3"/>
      <c r="R279" s="45"/>
      <c r="S279" s="45"/>
      <c r="T279" s="109"/>
      <c r="U279" s="45"/>
      <c r="V279" s="52"/>
      <c r="W279" s="45"/>
      <c r="X279" s="45"/>
      <c r="Y279" s="3"/>
      <c r="Z279" s="3"/>
      <c r="AA279" s="21"/>
      <c r="AB279" s="45"/>
      <c r="AC279" s="45"/>
      <c r="AD279" s="45"/>
      <c r="AE279" s="45"/>
      <c r="AF279" s="109"/>
      <c r="AG279" s="102"/>
      <c r="AH279" s="111"/>
      <c r="AI279" s="45"/>
      <c r="AJ279" s="3"/>
      <c r="AK279" s="45"/>
      <c r="AL279" s="52"/>
    </row>
    <row r="280" spans="1:38" x14ac:dyDescent="0.25">
      <c r="A280" s="1"/>
      <c r="B280" s="3"/>
      <c r="C280" s="3"/>
      <c r="D280" s="21"/>
      <c r="E280" s="8"/>
      <c r="F280" s="3"/>
      <c r="G280" s="3"/>
      <c r="H280" s="3"/>
      <c r="I280" s="3"/>
      <c r="J280" s="3"/>
      <c r="K280" s="24"/>
      <c r="L280" s="8"/>
      <c r="M280" s="45"/>
      <c r="N280" s="45"/>
      <c r="O280" s="3"/>
      <c r="P280" s="21"/>
      <c r="Q280" s="3"/>
      <c r="R280" s="45"/>
      <c r="S280" s="45"/>
      <c r="T280" s="109"/>
      <c r="U280" s="45"/>
      <c r="V280" s="52"/>
      <c r="W280" s="45"/>
      <c r="X280" s="45"/>
      <c r="Y280" s="3"/>
      <c r="Z280" s="3"/>
      <c r="AA280" s="21"/>
      <c r="AB280" s="45"/>
      <c r="AC280" s="45"/>
      <c r="AD280" s="45"/>
      <c r="AE280" s="45"/>
      <c r="AF280" s="109"/>
      <c r="AG280" s="102"/>
      <c r="AH280" s="111"/>
      <c r="AI280" s="45"/>
      <c r="AJ280" s="3"/>
      <c r="AK280" s="45"/>
      <c r="AL280" s="52"/>
    </row>
    <row r="281" spans="1:38" x14ac:dyDescent="0.25">
      <c r="A281" s="1"/>
      <c r="B281" s="3"/>
      <c r="C281" s="3"/>
      <c r="D281" s="21"/>
      <c r="E281" s="8"/>
      <c r="F281" s="3"/>
      <c r="G281" s="3"/>
      <c r="H281" s="3"/>
      <c r="I281" s="3"/>
      <c r="J281" s="3"/>
      <c r="K281" s="24"/>
      <c r="L281" s="8"/>
      <c r="M281" s="45"/>
      <c r="N281" s="45"/>
      <c r="O281" s="3"/>
      <c r="P281" s="21"/>
      <c r="Q281" s="3"/>
      <c r="R281" s="45"/>
      <c r="S281" s="45"/>
      <c r="T281" s="109"/>
      <c r="U281" s="45"/>
      <c r="V281" s="52"/>
      <c r="W281" s="45"/>
      <c r="X281" s="45"/>
      <c r="Y281" s="3"/>
      <c r="Z281" s="3"/>
      <c r="AA281" s="21"/>
      <c r="AB281" s="45"/>
      <c r="AC281" s="45"/>
      <c r="AD281" s="45"/>
      <c r="AE281" s="45"/>
      <c r="AF281" s="109"/>
      <c r="AG281" s="102"/>
      <c r="AH281" s="111"/>
      <c r="AI281" s="45"/>
      <c r="AJ281" s="3"/>
      <c r="AK281" s="45"/>
      <c r="AL281" s="52"/>
    </row>
    <row r="282" spans="1:38" x14ac:dyDescent="0.25">
      <c r="A282" s="1"/>
      <c r="B282" s="3"/>
      <c r="C282" s="3"/>
      <c r="D282" s="21"/>
      <c r="E282" s="8"/>
      <c r="F282" s="3"/>
      <c r="G282" s="3"/>
      <c r="H282" s="3"/>
      <c r="I282" s="3"/>
      <c r="J282" s="3"/>
      <c r="K282" s="24"/>
      <c r="L282" s="8"/>
      <c r="M282" s="45"/>
      <c r="N282" s="45"/>
      <c r="O282" s="3"/>
      <c r="P282" s="21"/>
      <c r="Q282" s="3"/>
      <c r="R282" s="45"/>
      <c r="S282" s="45"/>
      <c r="T282" s="109"/>
      <c r="U282" s="45"/>
      <c r="V282" s="52"/>
      <c r="W282" s="45"/>
      <c r="X282" s="45"/>
      <c r="Y282" s="3"/>
      <c r="Z282" s="3"/>
      <c r="AA282" s="21"/>
      <c r="AB282" s="45"/>
      <c r="AC282" s="45"/>
      <c r="AD282" s="45"/>
      <c r="AE282" s="45"/>
      <c r="AF282" s="109"/>
      <c r="AG282" s="102"/>
      <c r="AH282" s="111"/>
      <c r="AI282" s="45"/>
      <c r="AJ282" s="3"/>
      <c r="AK282" s="45"/>
      <c r="AL282" s="52"/>
    </row>
    <row r="283" spans="1:38" x14ac:dyDescent="0.25">
      <c r="A283" s="1"/>
      <c r="B283" s="3"/>
      <c r="C283" s="3"/>
      <c r="D283" s="21"/>
      <c r="E283" s="8"/>
      <c r="F283" s="3"/>
      <c r="G283" s="3"/>
      <c r="H283" s="3"/>
      <c r="I283" s="3"/>
      <c r="J283" s="3"/>
      <c r="K283" s="24"/>
      <c r="L283" s="8"/>
      <c r="M283" s="45"/>
      <c r="N283" s="45"/>
      <c r="O283" s="3"/>
      <c r="P283" s="21"/>
      <c r="Q283" s="3"/>
      <c r="R283" s="45"/>
      <c r="S283" s="45"/>
      <c r="T283" s="109"/>
      <c r="U283" s="45"/>
      <c r="V283" s="52"/>
      <c r="W283" s="45"/>
      <c r="X283" s="45"/>
      <c r="Y283" s="3"/>
      <c r="Z283" s="3"/>
      <c r="AA283" s="21"/>
      <c r="AB283" s="45"/>
      <c r="AC283" s="45"/>
      <c r="AD283" s="45"/>
      <c r="AE283" s="45"/>
      <c r="AF283" s="109"/>
      <c r="AG283" s="102"/>
      <c r="AH283" s="111"/>
      <c r="AI283" s="45"/>
      <c r="AJ283" s="3"/>
      <c r="AK283" s="45"/>
      <c r="AL283" s="52"/>
    </row>
    <row r="284" spans="1:38" x14ac:dyDescent="0.25">
      <c r="A284" s="1"/>
      <c r="B284" s="3"/>
      <c r="C284" s="3"/>
      <c r="D284" s="21"/>
      <c r="E284" s="8"/>
      <c r="F284" s="3"/>
      <c r="G284" s="3"/>
      <c r="H284" s="3"/>
      <c r="I284" s="3"/>
      <c r="J284" s="3"/>
      <c r="K284" s="24"/>
      <c r="L284" s="8"/>
      <c r="M284" s="45"/>
      <c r="N284" s="45"/>
      <c r="O284" s="3"/>
      <c r="P284" s="21"/>
      <c r="Q284" s="3"/>
      <c r="R284" s="45"/>
      <c r="S284" s="45"/>
      <c r="T284" s="109"/>
      <c r="U284" s="45"/>
      <c r="V284" s="52"/>
      <c r="W284" s="45"/>
      <c r="X284" s="45"/>
      <c r="Y284" s="3"/>
      <c r="Z284" s="3"/>
      <c r="AA284" s="21"/>
      <c r="AB284" s="45"/>
      <c r="AC284" s="45"/>
      <c r="AD284" s="45"/>
      <c r="AE284" s="45"/>
      <c r="AF284" s="109"/>
      <c r="AG284" s="102"/>
      <c r="AH284" s="111"/>
      <c r="AI284" s="45"/>
      <c r="AJ284" s="3"/>
      <c r="AK284" s="45"/>
      <c r="AL284" s="52"/>
    </row>
    <row r="285" spans="1:38" x14ac:dyDescent="0.25">
      <c r="A285" s="1"/>
      <c r="B285" s="3"/>
      <c r="C285" s="3"/>
      <c r="D285" s="21"/>
      <c r="E285" s="8"/>
      <c r="F285" s="3"/>
      <c r="G285" s="3"/>
      <c r="H285" s="3"/>
      <c r="I285" s="3"/>
      <c r="J285" s="3"/>
      <c r="K285" s="24"/>
      <c r="L285" s="8"/>
      <c r="M285" s="45"/>
      <c r="N285" s="45"/>
      <c r="O285" s="3"/>
      <c r="P285" s="21"/>
      <c r="Q285" s="3"/>
      <c r="R285" s="45"/>
      <c r="S285" s="45"/>
      <c r="T285" s="109"/>
      <c r="U285" s="45"/>
      <c r="V285" s="52"/>
      <c r="W285" s="45"/>
      <c r="X285" s="45"/>
      <c r="Y285" s="3"/>
      <c r="Z285" s="3"/>
      <c r="AA285" s="21"/>
      <c r="AB285" s="45"/>
      <c r="AC285" s="45"/>
      <c r="AD285" s="45"/>
      <c r="AE285" s="45"/>
      <c r="AF285" s="109"/>
      <c r="AG285" s="102"/>
      <c r="AH285" s="111"/>
      <c r="AI285" s="45"/>
      <c r="AJ285" s="3"/>
      <c r="AK285" s="45"/>
      <c r="AL285" s="52"/>
    </row>
    <row r="286" spans="1:38" x14ac:dyDescent="0.25">
      <c r="A286" s="1"/>
      <c r="B286" s="3"/>
      <c r="C286" s="3"/>
      <c r="D286" s="21"/>
      <c r="E286" s="8"/>
      <c r="F286" s="3"/>
      <c r="G286" s="3"/>
      <c r="H286" s="3"/>
      <c r="I286" s="3"/>
      <c r="J286" s="3"/>
      <c r="K286" s="24"/>
      <c r="L286" s="8"/>
      <c r="M286" s="45"/>
      <c r="N286" s="45"/>
      <c r="O286" s="3"/>
      <c r="P286" s="21"/>
      <c r="Q286" s="3"/>
      <c r="R286" s="45"/>
      <c r="S286" s="45"/>
      <c r="T286" s="109"/>
      <c r="U286" s="45"/>
      <c r="V286" s="52"/>
      <c r="W286" s="45"/>
      <c r="X286" s="45"/>
      <c r="Y286" s="3"/>
      <c r="Z286" s="3"/>
      <c r="AA286" s="21"/>
      <c r="AB286" s="45"/>
      <c r="AC286" s="45"/>
      <c r="AD286" s="45"/>
      <c r="AE286" s="45"/>
      <c r="AF286" s="109"/>
      <c r="AG286" s="102"/>
      <c r="AH286" s="111"/>
      <c r="AI286" s="45"/>
      <c r="AJ286" s="3"/>
      <c r="AK286" s="45"/>
      <c r="AL286" s="52"/>
    </row>
    <row r="287" spans="1:38" x14ac:dyDescent="0.25">
      <c r="A287" s="1"/>
      <c r="B287" s="3"/>
      <c r="C287" s="3"/>
      <c r="D287" s="21"/>
      <c r="E287" s="8"/>
      <c r="F287" s="3"/>
      <c r="G287" s="3"/>
      <c r="H287" s="3"/>
      <c r="I287" s="3"/>
      <c r="J287" s="3"/>
      <c r="K287" s="24"/>
      <c r="L287" s="8"/>
      <c r="M287" s="45"/>
      <c r="N287" s="45"/>
      <c r="O287" s="3"/>
      <c r="P287" s="21"/>
      <c r="Q287" s="3"/>
      <c r="R287" s="45"/>
      <c r="S287" s="45"/>
      <c r="T287" s="109"/>
      <c r="U287" s="45"/>
      <c r="V287" s="52"/>
      <c r="W287" s="45"/>
      <c r="X287" s="45"/>
      <c r="Y287" s="3"/>
      <c r="Z287" s="3"/>
      <c r="AA287" s="21"/>
      <c r="AB287" s="45"/>
      <c r="AC287" s="45"/>
      <c r="AD287" s="45"/>
      <c r="AE287" s="45"/>
      <c r="AF287" s="109"/>
      <c r="AG287" s="102"/>
      <c r="AH287" s="111"/>
      <c r="AI287" s="45"/>
      <c r="AJ287" s="3"/>
      <c r="AK287" s="45"/>
      <c r="AL287" s="52"/>
    </row>
    <row r="288" spans="1:38" x14ac:dyDescent="0.25">
      <c r="A288" s="1"/>
      <c r="B288" s="3"/>
      <c r="C288" s="3"/>
      <c r="D288" s="21"/>
      <c r="E288" s="8"/>
      <c r="F288" s="3"/>
      <c r="G288" s="3"/>
      <c r="H288" s="3"/>
      <c r="I288" s="3"/>
      <c r="J288" s="3"/>
      <c r="K288" s="24"/>
      <c r="L288" s="8"/>
      <c r="M288" s="45"/>
      <c r="N288" s="45"/>
      <c r="O288" s="3"/>
      <c r="P288" s="21"/>
      <c r="Q288" s="3"/>
      <c r="R288" s="45"/>
      <c r="S288" s="45"/>
      <c r="T288" s="109"/>
      <c r="U288" s="45"/>
      <c r="V288" s="52"/>
      <c r="W288" s="45"/>
      <c r="X288" s="45"/>
      <c r="Y288" s="3"/>
      <c r="Z288" s="3"/>
      <c r="AA288" s="21"/>
      <c r="AB288" s="45"/>
      <c r="AC288" s="45"/>
      <c r="AD288" s="45"/>
      <c r="AE288" s="45"/>
      <c r="AF288" s="109"/>
      <c r="AG288" s="102"/>
      <c r="AH288" s="111"/>
      <c r="AI288" s="45"/>
      <c r="AJ288" s="3"/>
      <c r="AK288" s="45"/>
      <c r="AL288" s="52"/>
    </row>
    <row r="289" spans="1:38" x14ac:dyDescent="0.25">
      <c r="A289" s="1"/>
      <c r="B289" s="3"/>
      <c r="C289" s="3"/>
      <c r="D289" s="21"/>
      <c r="E289" s="8"/>
      <c r="F289" s="3"/>
      <c r="G289" s="3"/>
      <c r="H289" s="3"/>
      <c r="I289" s="3"/>
      <c r="J289" s="3"/>
      <c r="K289" s="24"/>
      <c r="L289" s="8"/>
      <c r="M289" s="45"/>
      <c r="N289" s="45"/>
      <c r="O289" s="3"/>
      <c r="P289" s="21"/>
      <c r="Q289" s="3"/>
      <c r="R289" s="45"/>
      <c r="S289" s="45"/>
      <c r="T289" s="109"/>
      <c r="U289" s="45"/>
      <c r="V289" s="52"/>
      <c r="W289" s="45"/>
      <c r="X289" s="45"/>
      <c r="Y289" s="3"/>
      <c r="Z289" s="3"/>
      <c r="AA289" s="21"/>
      <c r="AB289" s="45"/>
      <c r="AC289" s="45"/>
      <c r="AD289" s="45"/>
      <c r="AE289" s="45"/>
      <c r="AF289" s="109"/>
      <c r="AG289" s="102"/>
      <c r="AH289" s="111"/>
      <c r="AI289" s="45"/>
      <c r="AJ289" s="3"/>
      <c r="AK289" s="45"/>
      <c r="AL289" s="52"/>
    </row>
    <row r="290" spans="1:38" x14ac:dyDescent="0.25">
      <c r="A290" s="1"/>
      <c r="B290" s="3"/>
      <c r="C290" s="3"/>
      <c r="D290" s="21"/>
      <c r="E290" s="8"/>
      <c r="F290" s="3"/>
      <c r="G290" s="3"/>
      <c r="H290" s="3"/>
      <c r="I290" s="3"/>
      <c r="J290" s="3"/>
      <c r="K290" s="24"/>
      <c r="L290" s="8"/>
      <c r="M290" s="45"/>
      <c r="N290" s="45"/>
      <c r="O290" s="3"/>
      <c r="P290" s="21"/>
      <c r="Q290" s="3"/>
      <c r="R290" s="45"/>
      <c r="S290" s="45"/>
      <c r="T290" s="109"/>
      <c r="U290" s="45"/>
      <c r="V290" s="52"/>
      <c r="W290" s="45"/>
      <c r="X290" s="45"/>
      <c r="Y290" s="3"/>
      <c r="Z290" s="3"/>
      <c r="AA290" s="21"/>
      <c r="AB290" s="45"/>
      <c r="AC290" s="45"/>
      <c r="AD290" s="45"/>
      <c r="AE290" s="45"/>
      <c r="AF290" s="109"/>
      <c r="AG290" s="102"/>
      <c r="AH290" s="111"/>
      <c r="AI290" s="45"/>
      <c r="AJ290" s="3"/>
      <c r="AK290" s="45"/>
      <c r="AL290" s="52"/>
    </row>
    <row r="291" spans="1:38" x14ac:dyDescent="0.25">
      <c r="A291" s="1"/>
      <c r="B291" s="3"/>
      <c r="C291" s="3"/>
      <c r="D291" s="21"/>
      <c r="E291" s="8"/>
      <c r="F291" s="3"/>
      <c r="G291" s="3"/>
      <c r="H291" s="3"/>
      <c r="I291" s="3"/>
      <c r="J291" s="3"/>
      <c r="K291" s="24"/>
      <c r="L291" s="8"/>
      <c r="M291" s="45"/>
      <c r="N291" s="45"/>
      <c r="O291" s="3"/>
      <c r="P291" s="21"/>
      <c r="Q291" s="3"/>
      <c r="R291" s="45"/>
      <c r="S291" s="45"/>
      <c r="T291" s="109"/>
      <c r="U291" s="45"/>
      <c r="V291" s="52"/>
      <c r="W291" s="45"/>
      <c r="X291" s="45"/>
      <c r="Y291" s="3"/>
      <c r="Z291" s="3"/>
      <c r="AA291" s="21"/>
      <c r="AB291" s="45"/>
      <c r="AC291" s="45"/>
      <c r="AD291" s="45"/>
      <c r="AE291" s="45"/>
      <c r="AF291" s="109"/>
      <c r="AG291" s="102"/>
      <c r="AH291" s="111"/>
      <c r="AI291" s="45"/>
      <c r="AJ291" s="3"/>
      <c r="AK291" s="45"/>
      <c r="AL291" s="52"/>
    </row>
    <row r="292" spans="1:38" x14ac:dyDescent="0.25">
      <c r="A292" s="1"/>
      <c r="B292" s="3"/>
      <c r="C292" s="3"/>
      <c r="D292" s="21"/>
      <c r="E292" s="8"/>
      <c r="F292" s="3"/>
      <c r="G292" s="3"/>
      <c r="H292" s="3"/>
      <c r="I292" s="3"/>
      <c r="J292" s="3"/>
      <c r="K292" s="24"/>
      <c r="L292" s="8"/>
      <c r="M292" s="45"/>
      <c r="N292" s="45"/>
      <c r="O292" s="3"/>
      <c r="P292" s="21"/>
      <c r="Q292" s="3"/>
      <c r="R292" s="45"/>
      <c r="S292" s="45"/>
      <c r="T292" s="109"/>
      <c r="U292" s="45"/>
      <c r="V292" s="52"/>
      <c r="W292" s="45"/>
      <c r="X292" s="45"/>
      <c r="Y292" s="3"/>
      <c r="Z292" s="3"/>
      <c r="AA292" s="21"/>
      <c r="AB292" s="45"/>
      <c r="AC292" s="45"/>
      <c r="AD292" s="45"/>
      <c r="AE292" s="45"/>
      <c r="AF292" s="109"/>
      <c r="AG292" s="102"/>
      <c r="AH292" s="111"/>
      <c r="AI292" s="45"/>
      <c r="AJ292" s="3"/>
      <c r="AK292" s="45"/>
      <c r="AL292" s="52"/>
    </row>
    <row r="293" spans="1:38" x14ac:dyDescent="0.25">
      <c r="A293" s="1"/>
      <c r="B293" s="3"/>
      <c r="C293" s="3"/>
      <c r="D293" s="21"/>
      <c r="E293" s="8"/>
      <c r="F293" s="3"/>
      <c r="G293" s="3"/>
      <c r="H293" s="3"/>
      <c r="I293" s="3"/>
      <c r="J293" s="3"/>
      <c r="K293" s="24"/>
      <c r="L293" s="8"/>
      <c r="M293" s="45"/>
      <c r="N293" s="45"/>
      <c r="O293" s="3"/>
      <c r="P293" s="21"/>
      <c r="Q293" s="3"/>
      <c r="R293" s="45"/>
      <c r="S293" s="45"/>
      <c r="T293" s="109"/>
      <c r="U293" s="45"/>
      <c r="V293" s="52"/>
      <c r="W293" s="45"/>
      <c r="X293" s="45"/>
      <c r="Y293" s="3"/>
      <c r="Z293" s="3"/>
      <c r="AA293" s="21"/>
      <c r="AB293" s="45"/>
      <c r="AC293" s="45"/>
      <c r="AD293" s="45"/>
      <c r="AE293" s="45"/>
      <c r="AF293" s="109"/>
      <c r="AG293" s="102"/>
      <c r="AH293" s="111"/>
      <c r="AI293" s="45"/>
      <c r="AJ293" s="3"/>
      <c r="AK293" s="45"/>
      <c r="AL293" s="52"/>
    </row>
    <row r="294" spans="1:38" x14ac:dyDescent="0.25">
      <c r="A294" s="1"/>
      <c r="B294" s="3"/>
      <c r="C294" s="3"/>
      <c r="D294" s="21"/>
      <c r="E294" s="8"/>
      <c r="F294" s="3"/>
      <c r="G294" s="3"/>
      <c r="H294" s="3"/>
      <c r="I294" s="3"/>
      <c r="J294" s="3"/>
      <c r="K294" s="24"/>
      <c r="L294" s="8"/>
      <c r="M294" s="45"/>
      <c r="N294" s="45"/>
      <c r="O294" s="3"/>
      <c r="P294" s="21"/>
      <c r="Q294" s="3"/>
      <c r="R294" s="45"/>
      <c r="S294" s="45"/>
      <c r="T294" s="109"/>
      <c r="U294" s="45"/>
      <c r="V294" s="52"/>
      <c r="W294" s="45"/>
      <c r="X294" s="45"/>
      <c r="Y294" s="3"/>
      <c r="Z294" s="3"/>
      <c r="AA294" s="21"/>
      <c r="AB294" s="45"/>
      <c r="AC294" s="45"/>
      <c r="AD294" s="45"/>
      <c r="AE294" s="45"/>
      <c r="AF294" s="109"/>
      <c r="AG294" s="102"/>
      <c r="AH294" s="111"/>
      <c r="AI294" s="45"/>
      <c r="AJ294" s="3"/>
      <c r="AK294" s="45"/>
      <c r="AL294" s="52"/>
    </row>
    <row r="295" spans="1:38" x14ac:dyDescent="0.25">
      <c r="A295" s="1"/>
      <c r="B295" s="3"/>
      <c r="C295" s="3"/>
      <c r="D295" s="21"/>
      <c r="E295" s="8"/>
      <c r="F295" s="3"/>
      <c r="G295" s="3"/>
      <c r="H295" s="3"/>
      <c r="I295" s="3"/>
      <c r="J295" s="3"/>
      <c r="K295" s="24"/>
      <c r="L295" s="8"/>
      <c r="M295" s="45"/>
      <c r="N295" s="45"/>
      <c r="O295" s="3"/>
      <c r="P295" s="21"/>
      <c r="Q295" s="3"/>
      <c r="R295" s="45"/>
      <c r="S295" s="45"/>
      <c r="T295" s="109"/>
      <c r="U295" s="45"/>
      <c r="V295" s="52"/>
      <c r="W295" s="45"/>
      <c r="X295" s="45"/>
      <c r="Y295" s="3"/>
      <c r="Z295" s="3"/>
      <c r="AA295" s="21"/>
      <c r="AB295" s="45"/>
      <c r="AC295" s="45"/>
      <c r="AD295" s="45"/>
      <c r="AE295" s="45"/>
      <c r="AF295" s="109"/>
      <c r="AG295" s="102"/>
      <c r="AH295" s="111"/>
      <c r="AI295" s="45"/>
      <c r="AJ295" s="3"/>
      <c r="AK295" s="45"/>
      <c r="AL295" s="52"/>
    </row>
    <row r="296" spans="1:38" x14ac:dyDescent="0.25">
      <c r="A296" s="1"/>
      <c r="B296" s="3"/>
      <c r="C296" s="3"/>
      <c r="D296" s="21"/>
      <c r="E296" s="8"/>
      <c r="F296" s="3"/>
      <c r="G296" s="3"/>
      <c r="H296" s="3"/>
      <c r="I296" s="3"/>
      <c r="J296" s="3"/>
      <c r="K296" s="24"/>
      <c r="L296" s="8"/>
      <c r="M296" s="45"/>
      <c r="N296" s="45"/>
      <c r="O296" s="3"/>
      <c r="P296" s="21"/>
      <c r="Q296" s="3"/>
      <c r="R296" s="45"/>
      <c r="S296" s="45"/>
      <c r="T296" s="109"/>
      <c r="U296" s="45"/>
      <c r="V296" s="52"/>
      <c r="W296" s="45"/>
      <c r="X296" s="45"/>
      <c r="Y296" s="3"/>
      <c r="Z296" s="3"/>
      <c r="AA296" s="21"/>
      <c r="AB296" s="45"/>
      <c r="AC296" s="45"/>
      <c r="AD296" s="45"/>
      <c r="AE296" s="45"/>
      <c r="AF296" s="109"/>
      <c r="AG296" s="102"/>
      <c r="AH296" s="111"/>
      <c r="AI296" s="45"/>
      <c r="AJ296" s="3"/>
      <c r="AK296" s="45"/>
      <c r="AL296" s="52"/>
    </row>
    <row r="297" spans="1:38" x14ac:dyDescent="0.25">
      <c r="A297" s="1"/>
      <c r="B297" s="3"/>
      <c r="C297" s="3"/>
      <c r="D297" s="21"/>
      <c r="E297" s="8"/>
      <c r="F297" s="3"/>
      <c r="G297" s="3"/>
      <c r="H297" s="3"/>
      <c r="I297" s="3"/>
      <c r="J297" s="3"/>
      <c r="K297" s="24"/>
      <c r="L297" s="8"/>
      <c r="M297" s="45"/>
      <c r="N297" s="45"/>
      <c r="O297" s="3"/>
      <c r="P297" s="21"/>
      <c r="Q297" s="3"/>
      <c r="R297" s="45"/>
      <c r="S297" s="45"/>
      <c r="T297" s="109"/>
      <c r="U297" s="45"/>
      <c r="V297" s="52"/>
      <c r="W297" s="45"/>
      <c r="X297" s="45"/>
      <c r="Y297" s="3"/>
      <c r="Z297" s="3"/>
      <c r="AA297" s="21"/>
      <c r="AB297" s="45"/>
      <c r="AC297" s="45"/>
      <c r="AD297" s="45"/>
      <c r="AE297" s="45"/>
      <c r="AF297" s="109"/>
      <c r="AG297" s="102"/>
      <c r="AH297" s="111"/>
      <c r="AI297" s="45"/>
      <c r="AJ297" s="3"/>
      <c r="AK297" s="45"/>
      <c r="AL297" s="52"/>
    </row>
    <row r="298" spans="1:38" x14ac:dyDescent="0.25">
      <c r="A298" s="1"/>
      <c r="B298" s="3"/>
      <c r="C298" s="3"/>
      <c r="D298" s="21"/>
      <c r="E298" s="8"/>
      <c r="F298" s="3"/>
      <c r="G298" s="3"/>
      <c r="H298" s="3"/>
      <c r="I298" s="3"/>
      <c r="J298" s="3"/>
      <c r="K298" s="24"/>
      <c r="L298" s="8"/>
      <c r="M298" s="45"/>
      <c r="N298" s="45"/>
      <c r="O298" s="3"/>
      <c r="P298" s="21"/>
      <c r="Q298" s="3"/>
      <c r="R298" s="45"/>
      <c r="S298" s="45"/>
      <c r="T298" s="109"/>
      <c r="U298" s="45"/>
      <c r="V298" s="52"/>
      <c r="W298" s="45"/>
      <c r="X298" s="45"/>
      <c r="Y298" s="3"/>
      <c r="Z298" s="3"/>
      <c r="AA298" s="21"/>
      <c r="AB298" s="45"/>
      <c r="AC298" s="45"/>
      <c r="AD298" s="45"/>
      <c r="AE298" s="45"/>
      <c r="AF298" s="109"/>
      <c r="AG298" s="102"/>
      <c r="AH298" s="111"/>
      <c r="AI298" s="45"/>
      <c r="AJ298" s="3"/>
      <c r="AK298" s="45"/>
      <c r="AL298" s="52"/>
    </row>
    <row r="299" spans="1:38" x14ac:dyDescent="0.25">
      <c r="A299" s="1"/>
      <c r="B299" s="3"/>
      <c r="C299" s="3"/>
      <c r="D299" s="21"/>
      <c r="E299" s="8"/>
      <c r="F299" s="3"/>
      <c r="G299" s="3"/>
      <c r="H299" s="3"/>
      <c r="I299" s="3"/>
      <c r="J299" s="3"/>
      <c r="K299" s="24"/>
      <c r="L299" s="8"/>
      <c r="M299" s="45"/>
      <c r="N299" s="45"/>
      <c r="O299" s="3"/>
      <c r="P299" s="21"/>
      <c r="Q299" s="3"/>
      <c r="R299" s="45"/>
      <c r="S299" s="45"/>
      <c r="T299" s="109"/>
      <c r="U299" s="45"/>
      <c r="V299" s="52"/>
      <c r="W299" s="45"/>
      <c r="X299" s="45"/>
      <c r="Y299" s="3"/>
      <c r="Z299" s="3"/>
      <c r="AA299" s="21"/>
      <c r="AB299" s="45"/>
      <c r="AC299" s="45"/>
      <c r="AD299" s="45"/>
      <c r="AE299" s="45"/>
      <c r="AF299" s="109"/>
      <c r="AG299" s="102"/>
      <c r="AH299" s="111"/>
      <c r="AI299" s="45"/>
      <c r="AJ299" s="3"/>
      <c r="AK299" s="45"/>
      <c r="AL299" s="52"/>
    </row>
    <row r="300" spans="1:38" x14ac:dyDescent="0.25">
      <c r="A300" s="1"/>
      <c r="B300" s="3"/>
      <c r="C300" s="3"/>
      <c r="D300" s="21"/>
      <c r="E300" s="8"/>
      <c r="F300" s="3"/>
      <c r="G300" s="3"/>
      <c r="H300" s="3"/>
      <c r="I300" s="3"/>
      <c r="J300" s="3"/>
      <c r="K300" s="24"/>
      <c r="L300" s="8"/>
      <c r="M300" s="45"/>
      <c r="N300" s="45"/>
      <c r="O300" s="3"/>
      <c r="P300" s="21"/>
      <c r="Q300" s="3"/>
      <c r="R300" s="45"/>
      <c r="S300" s="45"/>
      <c r="T300" s="109"/>
      <c r="U300" s="45"/>
      <c r="V300" s="52"/>
      <c r="W300" s="45"/>
      <c r="X300" s="45"/>
      <c r="Y300" s="3"/>
      <c r="Z300" s="3"/>
      <c r="AA300" s="21"/>
      <c r="AB300" s="45"/>
      <c r="AC300" s="45"/>
      <c r="AD300" s="45"/>
      <c r="AE300" s="45"/>
      <c r="AF300" s="109"/>
      <c r="AG300" s="102"/>
      <c r="AH300" s="111"/>
      <c r="AI300" s="45"/>
      <c r="AJ300" s="3"/>
      <c r="AK300" s="45"/>
      <c r="AL300" s="52"/>
    </row>
    <row r="301" spans="1:38" x14ac:dyDescent="0.25">
      <c r="A301" s="1"/>
      <c r="B301" s="3"/>
      <c r="C301" s="3"/>
      <c r="D301" s="21"/>
      <c r="E301" s="8"/>
      <c r="F301" s="3"/>
      <c r="G301" s="3"/>
      <c r="H301" s="3"/>
      <c r="I301" s="3"/>
      <c r="J301" s="3"/>
      <c r="K301" s="24"/>
      <c r="L301" s="8"/>
      <c r="M301" s="45"/>
      <c r="N301" s="45"/>
      <c r="O301" s="3"/>
      <c r="P301" s="21"/>
      <c r="Q301" s="3"/>
      <c r="R301" s="45"/>
      <c r="S301" s="45"/>
      <c r="T301" s="109"/>
      <c r="U301" s="45"/>
      <c r="V301" s="52"/>
      <c r="W301" s="45"/>
      <c r="X301" s="45"/>
      <c r="Y301" s="3"/>
      <c r="Z301" s="3"/>
      <c r="AA301" s="21"/>
      <c r="AB301" s="45"/>
      <c r="AC301" s="45"/>
      <c r="AD301" s="45"/>
      <c r="AE301" s="45"/>
      <c r="AF301" s="109"/>
      <c r="AG301" s="102"/>
      <c r="AH301" s="111"/>
      <c r="AI301" s="45"/>
      <c r="AJ301" s="3"/>
      <c r="AK301" s="45"/>
      <c r="AL301" s="52"/>
    </row>
    <row r="302" spans="1:38" x14ac:dyDescent="0.25">
      <c r="A302" s="1"/>
      <c r="B302" s="3"/>
      <c r="C302" s="3"/>
      <c r="D302" s="21"/>
      <c r="E302" s="8"/>
      <c r="F302" s="3"/>
      <c r="G302" s="3"/>
      <c r="H302" s="3"/>
      <c r="I302" s="3"/>
      <c r="J302" s="3"/>
      <c r="K302" s="24"/>
      <c r="L302" s="8"/>
      <c r="M302" s="45"/>
      <c r="N302" s="45"/>
      <c r="O302" s="3"/>
      <c r="P302" s="21"/>
      <c r="Q302" s="3"/>
      <c r="R302" s="45"/>
      <c r="S302" s="45"/>
      <c r="T302" s="109"/>
      <c r="U302" s="45"/>
      <c r="V302" s="52"/>
      <c r="W302" s="45"/>
      <c r="X302" s="45"/>
      <c r="Y302" s="3"/>
      <c r="Z302" s="3"/>
      <c r="AA302" s="21"/>
      <c r="AB302" s="45"/>
      <c r="AC302" s="45"/>
      <c r="AD302" s="45"/>
      <c r="AE302" s="45"/>
      <c r="AF302" s="109"/>
      <c r="AG302" s="102"/>
      <c r="AH302" s="111"/>
      <c r="AI302" s="45"/>
      <c r="AJ302" s="3"/>
      <c r="AK302" s="45"/>
      <c r="AL302" s="52"/>
    </row>
    <row r="303" spans="1:38" x14ac:dyDescent="0.25">
      <c r="A303" s="1"/>
      <c r="B303" s="3"/>
      <c r="C303" s="3"/>
      <c r="D303" s="21"/>
      <c r="E303" s="8"/>
      <c r="F303" s="3"/>
      <c r="G303" s="3"/>
      <c r="H303" s="3"/>
      <c r="I303" s="3"/>
      <c r="J303" s="3"/>
      <c r="K303" s="24"/>
      <c r="L303" s="8"/>
      <c r="M303" s="45"/>
      <c r="N303" s="45"/>
      <c r="O303" s="3"/>
      <c r="P303" s="21"/>
      <c r="Q303" s="3"/>
      <c r="R303" s="45"/>
      <c r="S303" s="45"/>
      <c r="T303" s="109"/>
      <c r="U303" s="45"/>
      <c r="V303" s="52"/>
      <c r="W303" s="45"/>
      <c r="X303" s="45"/>
      <c r="Y303" s="3"/>
      <c r="Z303" s="3"/>
      <c r="AA303" s="21"/>
      <c r="AB303" s="45"/>
      <c r="AC303" s="45"/>
      <c r="AD303" s="45"/>
      <c r="AE303" s="45"/>
      <c r="AF303" s="109"/>
      <c r="AG303" s="102"/>
      <c r="AH303" s="111"/>
      <c r="AI303" s="45"/>
      <c r="AJ303" s="3"/>
      <c r="AK303" s="45"/>
      <c r="AL303" s="52"/>
    </row>
    <row r="304" spans="1:38" x14ac:dyDescent="0.25">
      <c r="A304" s="1"/>
      <c r="B304" s="3"/>
      <c r="C304" s="3"/>
      <c r="D304" s="21"/>
      <c r="E304" s="8"/>
      <c r="F304" s="3"/>
      <c r="G304" s="3"/>
      <c r="H304" s="3"/>
      <c r="I304" s="3"/>
      <c r="J304" s="3"/>
      <c r="K304" s="24"/>
      <c r="L304" s="8"/>
      <c r="M304" s="45"/>
      <c r="N304" s="45"/>
      <c r="O304" s="3"/>
      <c r="P304" s="21"/>
      <c r="Q304" s="3"/>
      <c r="R304" s="45"/>
      <c r="S304" s="45"/>
      <c r="T304" s="109"/>
      <c r="U304" s="45"/>
      <c r="V304" s="52"/>
      <c r="W304" s="45"/>
      <c r="X304" s="45"/>
      <c r="Y304" s="3"/>
      <c r="Z304" s="3"/>
      <c r="AA304" s="21"/>
      <c r="AB304" s="45"/>
      <c r="AC304" s="45"/>
      <c r="AD304" s="45"/>
      <c r="AE304" s="45"/>
      <c r="AF304" s="109"/>
      <c r="AG304" s="102"/>
      <c r="AH304" s="111"/>
      <c r="AI304" s="45"/>
      <c r="AJ304" s="3"/>
      <c r="AK304" s="45"/>
      <c r="AL304" s="52"/>
    </row>
    <row r="305" spans="1:38" x14ac:dyDescent="0.25">
      <c r="A305" s="1"/>
      <c r="B305" s="3"/>
      <c r="C305" s="3"/>
      <c r="D305" s="21"/>
      <c r="E305" s="8"/>
      <c r="F305" s="3"/>
      <c r="G305" s="3"/>
      <c r="H305" s="3"/>
      <c r="I305" s="3"/>
      <c r="J305" s="3"/>
      <c r="K305" s="24"/>
      <c r="L305" s="8"/>
      <c r="M305" s="45"/>
      <c r="N305" s="45"/>
      <c r="O305" s="3"/>
      <c r="P305" s="21"/>
      <c r="Q305" s="3"/>
      <c r="R305" s="45"/>
      <c r="S305" s="45"/>
      <c r="T305" s="109"/>
      <c r="U305" s="45"/>
      <c r="V305" s="52"/>
      <c r="W305" s="45"/>
      <c r="X305" s="45"/>
      <c r="Y305" s="3"/>
      <c r="Z305" s="3"/>
      <c r="AA305" s="21"/>
      <c r="AB305" s="45"/>
      <c r="AC305" s="45"/>
      <c r="AD305" s="45"/>
      <c r="AE305" s="45"/>
      <c r="AF305" s="109"/>
      <c r="AG305" s="102"/>
      <c r="AH305" s="111"/>
      <c r="AI305" s="45"/>
      <c r="AJ305" s="3"/>
      <c r="AK305" s="45"/>
      <c r="AL305" s="52"/>
    </row>
    <row r="306" spans="1:38" x14ac:dyDescent="0.25">
      <c r="A306" s="1"/>
      <c r="B306" s="3"/>
      <c r="C306" s="3"/>
      <c r="D306" s="21"/>
      <c r="E306" s="8"/>
      <c r="F306" s="3"/>
      <c r="G306" s="3"/>
      <c r="H306" s="3"/>
      <c r="I306" s="3"/>
      <c r="J306" s="3"/>
      <c r="K306" s="24"/>
      <c r="L306" s="8"/>
      <c r="M306" s="45"/>
      <c r="N306" s="45"/>
      <c r="O306" s="3"/>
      <c r="P306" s="21"/>
      <c r="Q306" s="3"/>
      <c r="R306" s="45"/>
      <c r="S306" s="45"/>
      <c r="T306" s="109"/>
      <c r="U306" s="45"/>
      <c r="V306" s="52"/>
      <c r="W306" s="45"/>
      <c r="X306" s="45"/>
      <c r="Y306" s="3"/>
      <c r="Z306" s="3"/>
      <c r="AA306" s="21"/>
      <c r="AB306" s="45"/>
      <c r="AC306" s="45"/>
      <c r="AD306" s="45"/>
      <c r="AE306" s="45"/>
      <c r="AF306" s="109"/>
      <c r="AG306" s="102"/>
      <c r="AH306" s="111"/>
      <c r="AI306" s="45"/>
      <c r="AJ306" s="3"/>
      <c r="AK306" s="45"/>
      <c r="AL306" s="52"/>
    </row>
    <row r="307" spans="1:38" x14ac:dyDescent="0.25">
      <c r="A307" s="1"/>
      <c r="B307" s="3"/>
      <c r="C307" s="3"/>
      <c r="D307" s="21"/>
      <c r="E307" s="8"/>
      <c r="F307" s="3"/>
      <c r="G307" s="3"/>
      <c r="H307" s="3"/>
      <c r="I307" s="3"/>
      <c r="J307" s="3"/>
      <c r="K307" s="24"/>
      <c r="L307" s="8"/>
      <c r="M307" s="45"/>
      <c r="N307" s="45"/>
      <c r="O307" s="3"/>
      <c r="P307" s="21"/>
      <c r="Q307" s="3"/>
      <c r="R307" s="45"/>
      <c r="S307" s="45"/>
      <c r="T307" s="109"/>
      <c r="U307" s="45"/>
      <c r="V307" s="52"/>
      <c r="W307" s="45"/>
      <c r="X307" s="45"/>
      <c r="Y307" s="3"/>
      <c r="Z307" s="3"/>
      <c r="AA307" s="21"/>
      <c r="AB307" s="45"/>
      <c r="AC307" s="45"/>
      <c r="AD307" s="45"/>
      <c r="AE307" s="45"/>
      <c r="AF307" s="109"/>
      <c r="AG307" s="102"/>
      <c r="AH307" s="111"/>
      <c r="AI307" s="45"/>
      <c r="AJ307" s="3"/>
      <c r="AK307" s="45"/>
      <c r="AL307" s="52"/>
    </row>
    <row r="308" spans="1:38" x14ac:dyDescent="0.25">
      <c r="A308" s="1"/>
      <c r="B308" s="3"/>
      <c r="C308" s="3"/>
      <c r="D308" s="21"/>
      <c r="E308" s="8"/>
      <c r="F308" s="3"/>
      <c r="G308" s="3"/>
      <c r="H308" s="3"/>
      <c r="I308" s="3"/>
      <c r="J308" s="3"/>
      <c r="K308" s="24"/>
      <c r="L308" s="8"/>
      <c r="M308" s="45"/>
      <c r="N308" s="45"/>
      <c r="O308" s="3"/>
      <c r="P308" s="21"/>
      <c r="Q308" s="3"/>
      <c r="R308" s="45"/>
      <c r="S308" s="45"/>
      <c r="T308" s="109"/>
      <c r="U308" s="45"/>
      <c r="V308" s="52"/>
      <c r="W308" s="45"/>
      <c r="X308" s="45"/>
      <c r="Y308" s="3"/>
      <c r="Z308" s="3"/>
      <c r="AA308" s="21"/>
      <c r="AB308" s="45"/>
      <c r="AC308" s="45"/>
      <c r="AD308" s="45"/>
      <c r="AE308" s="45"/>
      <c r="AF308" s="109"/>
      <c r="AG308" s="102"/>
      <c r="AH308" s="111"/>
      <c r="AI308" s="45"/>
      <c r="AJ308" s="3"/>
      <c r="AK308" s="45"/>
      <c r="AL308" s="52"/>
    </row>
    <row r="309" spans="1:38" x14ac:dyDescent="0.25">
      <c r="A309" s="1"/>
      <c r="B309" s="3"/>
      <c r="C309" s="3"/>
      <c r="D309" s="21"/>
      <c r="E309" s="8"/>
      <c r="F309" s="3"/>
      <c r="G309" s="3"/>
      <c r="H309" s="3"/>
      <c r="I309" s="3"/>
      <c r="J309" s="3"/>
      <c r="K309" s="24"/>
      <c r="L309" s="8"/>
      <c r="M309" s="45"/>
      <c r="N309" s="45"/>
      <c r="O309" s="3"/>
      <c r="P309" s="21"/>
      <c r="Q309" s="3"/>
      <c r="R309" s="45"/>
      <c r="S309" s="45"/>
      <c r="T309" s="109"/>
      <c r="U309" s="45"/>
      <c r="V309" s="52"/>
      <c r="W309" s="45"/>
      <c r="X309" s="45"/>
      <c r="Y309" s="3"/>
      <c r="Z309" s="3"/>
      <c r="AA309" s="21"/>
      <c r="AB309" s="45"/>
      <c r="AC309" s="45"/>
      <c r="AD309" s="45"/>
      <c r="AE309" s="45"/>
      <c r="AF309" s="109"/>
      <c r="AG309" s="102"/>
      <c r="AH309" s="111"/>
      <c r="AI309" s="45"/>
      <c r="AJ309" s="3"/>
      <c r="AK309" s="45"/>
      <c r="AL309" s="52"/>
    </row>
    <row r="310" spans="1:38" x14ac:dyDescent="0.25">
      <c r="A310" s="1"/>
      <c r="B310" s="3"/>
      <c r="C310" s="3"/>
      <c r="D310" s="21"/>
      <c r="E310" s="8"/>
      <c r="F310" s="3"/>
      <c r="G310" s="3"/>
      <c r="H310" s="3"/>
      <c r="I310" s="3"/>
      <c r="J310" s="3"/>
      <c r="K310" s="24"/>
      <c r="L310" s="8"/>
      <c r="M310" s="45"/>
      <c r="N310" s="45"/>
      <c r="O310" s="3"/>
      <c r="P310" s="21"/>
      <c r="Q310" s="3"/>
      <c r="R310" s="45"/>
      <c r="S310" s="45"/>
      <c r="T310" s="109"/>
      <c r="U310" s="45"/>
      <c r="V310" s="52"/>
      <c r="W310" s="45"/>
      <c r="X310" s="45"/>
      <c r="Y310" s="3"/>
      <c r="Z310" s="3"/>
      <c r="AA310" s="21"/>
      <c r="AB310" s="45"/>
      <c r="AC310" s="45"/>
      <c r="AD310" s="45"/>
      <c r="AE310" s="45"/>
      <c r="AF310" s="109"/>
      <c r="AG310" s="102"/>
      <c r="AH310" s="111"/>
      <c r="AI310" s="45"/>
      <c r="AJ310" s="3"/>
      <c r="AK310" s="45"/>
      <c r="AL310" s="52"/>
    </row>
    <row r="311" spans="1:38" x14ac:dyDescent="0.25">
      <c r="A311" s="1"/>
      <c r="B311" s="3"/>
      <c r="C311" s="3"/>
      <c r="D311" s="21"/>
      <c r="E311" s="8"/>
      <c r="F311" s="3"/>
      <c r="G311" s="3"/>
      <c r="H311" s="3"/>
      <c r="I311" s="3"/>
      <c r="J311" s="3"/>
      <c r="K311" s="24"/>
      <c r="L311" s="8"/>
      <c r="M311" s="45"/>
      <c r="N311" s="45"/>
      <c r="O311" s="3"/>
      <c r="P311" s="21"/>
      <c r="Q311" s="3"/>
      <c r="R311" s="45"/>
      <c r="S311" s="45"/>
      <c r="T311" s="109"/>
      <c r="U311" s="45"/>
      <c r="V311" s="52"/>
      <c r="W311" s="45"/>
      <c r="X311" s="45"/>
      <c r="Y311" s="3"/>
      <c r="Z311" s="3"/>
      <c r="AA311" s="21"/>
      <c r="AB311" s="45"/>
      <c r="AC311" s="45"/>
      <c r="AD311" s="45"/>
      <c r="AE311" s="45"/>
      <c r="AF311" s="109"/>
      <c r="AG311" s="102"/>
      <c r="AH311" s="111"/>
      <c r="AI311" s="45"/>
      <c r="AJ311" s="3"/>
      <c r="AK311" s="45"/>
      <c r="AL311" s="52"/>
    </row>
    <row r="312" spans="1:38" x14ac:dyDescent="0.25">
      <c r="A312" s="1"/>
      <c r="B312" s="3"/>
      <c r="C312" s="3"/>
      <c r="D312" s="21"/>
      <c r="E312" s="8"/>
      <c r="F312" s="3"/>
      <c r="G312" s="3"/>
      <c r="H312" s="3"/>
      <c r="I312" s="3"/>
      <c r="J312" s="3"/>
      <c r="K312" s="24"/>
      <c r="L312" s="8"/>
      <c r="M312" s="45"/>
      <c r="N312" s="45"/>
      <c r="O312" s="3"/>
      <c r="P312" s="21"/>
      <c r="Q312" s="3"/>
      <c r="R312" s="45"/>
      <c r="S312" s="45"/>
      <c r="T312" s="109"/>
      <c r="U312" s="45"/>
      <c r="V312" s="52"/>
      <c r="W312" s="45"/>
      <c r="X312" s="45"/>
      <c r="Y312" s="3"/>
      <c r="Z312" s="3"/>
      <c r="AA312" s="21"/>
      <c r="AB312" s="45"/>
      <c r="AC312" s="45"/>
      <c r="AD312" s="45"/>
      <c r="AE312" s="45"/>
      <c r="AF312" s="109"/>
      <c r="AG312" s="102"/>
      <c r="AH312" s="111"/>
      <c r="AI312" s="45"/>
      <c r="AJ312" s="3"/>
      <c r="AK312" s="45"/>
      <c r="AL312" s="52"/>
    </row>
    <row r="313" spans="1:38" x14ac:dyDescent="0.25">
      <c r="A313" s="1"/>
      <c r="B313" s="3"/>
      <c r="C313" s="3"/>
      <c r="D313" s="21"/>
      <c r="E313" s="8"/>
      <c r="F313" s="3"/>
      <c r="G313" s="3"/>
      <c r="H313" s="3"/>
      <c r="I313" s="3"/>
      <c r="J313" s="3"/>
      <c r="K313" s="24"/>
      <c r="L313" s="8"/>
      <c r="M313" s="45"/>
      <c r="N313" s="45"/>
      <c r="O313" s="3"/>
      <c r="P313" s="21"/>
      <c r="Q313" s="3"/>
      <c r="R313" s="45"/>
      <c r="S313" s="45"/>
      <c r="T313" s="109"/>
      <c r="U313" s="45"/>
      <c r="V313" s="52"/>
      <c r="W313" s="45"/>
      <c r="X313" s="45"/>
      <c r="Y313" s="3"/>
      <c r="Z313" s="3"/>
      <c r="AA313" s="21"/>
      <c r="AB313" s="45"/>
      <c r="AC313" s="45"/>
      <c r="AD313" s="45"/>
      <c r="AE313" s="45"/>
      <c r="AF313" s="109"/>
      <c r="AG313" s="102"/>
      <c r="AH313" s="111"/>
      <c r="AI313" s="45"/>
      <c r="AJ313" s="3"/>
      <c r="AK313" s="45"/>
      <c r="AL313" s="52"/>
    </row>
    <row r="314" spans="1:38" x14ac:dyDescent="0.25">
      <c r="A314" s="1"/>
      <c r="B314" s="3"/>
      <c r="C314" s="3"/>
      <c r="D314" s="21"/>
      <c r="E314" s="8"/>
      <c r="F314" s="3"/>
      <c r="G314" s="3"/>
      <c r="H314" s="3"/>
      <c r="I314" s="3"/>
      <c r="J314" s="3"/>
      <c r="K314" s="24"/>
      <c r="L314" s="8"/>
      <c r="M314" s="45"/>
      <c r="N314" s="45"/>
      <c r="O314" s="3"/>
      <c r="P314" s="21"/>
      <c r="Q314" s="3"/>
      <c r="R314" s="45"/>
      <c r="S314" s="45"/>
      <c r="T314" s="109"/>
      <c r="U314" s="45"/>
      <c r="V314" s="52"/>
      <c r="W314" s="45"/>
      <c r="X314" s="45"/>
      <c r="Y314" s="3"/>
      <c r="Z314" s="3"/>
      <c r="AA314" s="21"/>
      <c r="AB314" s="45"/>
      <c r="AC314" s="45"/>
      <c r="AD314" s="45"/>
      <c r="AE314" s="45"/>
      <c r="AF314" s="109"/>
      <c r="AG314" s="102"/>
      <c r="AH314" s="111"/>
      <c r="AI314" s="45"/>
      <c r="AJ314" s="3"/>
      <c r="AK314" s="45"/>
      <c r="AL314" s="52"/>
    </row>
    <row r="315" spans="1:38" x14ac:dyDescent="0.25">
      <c r="A315" s="1"/>
      <c r="B315" s="3"/>
      <c r="C315" s="3"/>
      <c r="D315" s="21"/>
      <c r="E315" s="8"/>
      <c r="F315" s="3"/>
      <c r="G315" s="3"/>
      <c r="H315" s="3"/>
      <c r="I315" s="3"/>
      <c r="J315" s="3"/>
      <c r="K315" s="24"/>
      <c r="L315" s="8"/>
      <c r="M315" s="45"/>
      <c r="N315" s="45"/>
      <c r="O315" s="3"/>
      <c r="P315" s="21"/>
      <c r="Q315" s="3"/>
      <c r="R315" s="45"/>
      <c r="S315" s="45"/>
      <c r="T315" s="109"/>
      <c r="U315" s="45"/>
      <c r="V315" s="52"/>
      <c r="W315" s="45"/>
      <c r="X315" s="45"/>
      <c r="Y315" s="3"/>
      <c r="Z315" s="3"/>
      <c r="AA315" s="21"/>
      <c r="AB315" s="45"/>
      <c r="AC315" s="45"/>
      <c r="AD315" s="45"/>
      <c r="AE315" s="45"/>
      <c r="AF315" s="109"/>
      <c r="AG315" s="102"/>
      <c r="AH315" s="111"/>
      <c r="AI315" s="45"/>
      <c r="AJ315" s="3"/>
      <c r="AK315" s="45"/>
      <c r="AL315" s="52"/>
    </row>
    <row r="316" spans="1:38" x14ac:dyDescent="0.25">
      <c r="A316" s="1"/>
      <c r="B316" s="3"/>
      <c r="C316" s="3"/>
      <c r="D316" s="21"/>
      <c r="E316" s="8"/>
      <c r="F316" s="3"/>
      <c r="G316" s="3"/>
      <c r="H316" s="3"/>
      <c r="I316" s="3"/>
      <c r="J316" s="3"/>
      <c r="K316" s="24"/>
      <c r="L316" s="8"/>
      <c r="M316" s="45"/>
      <c r="N316" s="45"/>
      <c r="O316" s="3"/>
      <c r="P316" s="21"/>
      <c r="Q316" s="3"/>
      <c r="R316" s="45"/>
      <c r="S316" s="45"/>
      <c r="T316" s="109"/>
      <c r="U316" s="45"/>
      <c r="V316" s="52"/>
      <c r="W316" s="45"/>
      <c r="X316" s="45"/>
      <c r="Y316" s="3"/>
      <c r="Z316" s="3"/>
      <c r="AA316" s="21"/>
      <c r="AB316" s="45"/>
      <c r="AC316" s="45"/>
      <c r="AD316" s="45"/>
      <c r="AE316" s="45"/>
      <c r="AF316" s="109"/>
      <c r="AG316" s="102"/>
      <c r="AH316" s="111"/>
      <c r="AI316" s="45"/>
      <c r="AJ316" s="3"/>
      <c r="AK316" s="45"/>
      <c r="AL316" s="52"/>
    </row>
    <row r="317" spans="1:38" x14ac:dyDescent="0.25">
      <c r="A317" s="1"/>
      <c r="B317" s="3"/>
      <c r="C317" s="3"/>
      <c r="D317" s="21"/>
      <c r="E317" s="8"/>
      <c r="F317" s="3"/>
      <c r="G317" s="3"/>
      <c r="H317" s="3"/>
      <c r="I317" s="3"/>
      <c r="J317" s="3"/>
      <c r="K317" s="24"/>
      <c r="L317" s="8"/>
      <c r="M317" s="45"/>
      <c r="N317" s="45"/>
      <c r="O317" s="3"/>
      <c r="P317" s="21"/>
      <c r="Q317" s="3"/>
      <c r="R317" s="45"/>
      <c r="S317" s="45"/>
      <c r="T317" s="109"/>
      <c r="U317" s="45"/>
      <c r="V317" s="52"/>
      <c r="W317" s="45"/>
      <c r="X317" s="45"/>
      <c r="Y317" s="3"/>
      <c r="Z317" s="3"/>
      <c r="AA317" s="21"/>
      <c r="AB317" s="45"/>
      <c r="AC317" s="45"/>
      <c r="AD317" s="45"/>
      <c r="AE317" s="45"/>
      <c r="AF317" s="109"/>
      <c r="AG317" s="102"/>
      <c r="AH317" s="111"/>
      <c r="AI317" s="45"/>
      <c r="AJ317" s="3"/>
      <c r="AK317" s="45"/>
      <c r="AL317" s="52"/>
    </row>
    <row r="318" spans="1:38" x14ac:dyDescent="0.25">
      <c r="A318" s="1"/>
      <c r="B318" s="3"/>
      <c r="C318" s="3"/>
      <c r="D318" s="21"/>
      <c r="E318" s="8"/>
      <c r="F318" s="3"/>
      <c r="G318" s="3"/>
      <c r="H318" s="3"/>
      <c r="I318" s="3"/>
      <c r="J318" s="3"/>
      <c r="K318" s="24"/>
      <c r="L318" s="8"/>
      <c r="M318" s="45"/>
      <c r="N318" s="45"/>
      <c r="O318" s="3"/>
      <c r="P318" s="21"/>
      <c r="Q318" s="3"/>
      <c r="R318" s="45"/>
      <c r="S318" s="45"/>
      <c r="T318" s="109"/>
      <c r="U318" s="45"/>
      <c r="V318" s="52"/>
      <c r="W318" s="45"/>
      <c r="X318" s="45"/>
      <c r="Y318" s="3"/>
      <c r="Z318" s="3"/>
      <c r="AA318" s="21"/>
      <c r="AB318" s="45"/>
      <c r="AC318" s="45"/>
      <c r="AD318" s="45"/>
      <c r="AE318" s="45"/>
      <c r="AF318" s="109"/>
      <c r="AG318" s="102"/>
      <c r="AH318" s="111"/>
      <c r="AI318" s="45"/>
      <c r="AJ318" s="3"/>
      <c r="AK318" s="45"/>
      <c r="AL318" s="52"/>
    </row>
    <row r="319" spans="1:38" x14ac:dyDescent="0.25">
      <c r="A319" s="1"/>
      <c r="B319" s="3"/>
      <c r="C319" s="3"/>
      <c r="D319" s="21"/>
      <c r="E319" s="8"/>
      <c r="F319" s="3"/>
      <c r="G319" s="3"/>
      <c r="H319" s="3"/>
      <c r="I319" s="3"/>
      <c r="J319" s="3"/>
      <c r="K319" s="24"/>
      <c r="L319" s="8"/>
      <c r="M319" s="45"/>
      <c r="N319" s="45"/>
      <c r="O319" s="3"/>
      <c r="P319" s="21"/>
      <c r="Q319" s="3"/>
      <c r="R319" s="45"/>
      <c r="S319" s="45"/>
      <c r="T319" s="109"/>
      <c r="U319" s="45"/>
      <c r="V319" s="52"/>
      <c r="W319" s="45"/>
      <c r="X319" s="45"/>
      <c r="Y319" s="3"/>
      <c r="Z319" s="3"/>
      <c r="AA319" s="21"/>
      <c r="AB319" s="45"/>
      <c r="AC319" s="45"/>
      <c r="AD319" s="45"/>
      <c r="AE319" s="45"/>
      <c r="AF319" s="109"/>
      <c r="AG319" s="102"/>
      <c r="AH319" s="111"/>
      <c r="AI319" s="45"/>
      <c r="AJ319" s="3"/>
      <c r="AK319" s="45"/>
      <c r="AL319" s="52"/>
    </row>
    <row r="320" spans="1:38" x14ac:dyDescent="0.25">
      <c r="A320" s="1"/>
      <c r="B320" s="3"/>
      <c r="C320" s="3"/>
      <c r="D320" s="21"/>
      <c r="E320" s="8"/>
      <c r="F320" s="3"/>
      <c r="G320" s="3"/>
      <c r="H320" s="3"/>
      <c r="I320" s="3"/>
      <c r="J320" s="3"/>
      <c r="K320" s="24"/>
      <c r="L320" s="8"/>
      <c r="M320" s="45"/>
      <c r="N320" s="45"/>
      <c r="O320" s="3"/>
      <c r="P320" s="21"/>
      <c r="Q320" s="3"/>
      <c r="R320" s="45"/>
      <c r="S320" s="45"/>
      <c r="T320" s="109"/>
      <c r="U320" s="45"/>
      <c r="V320" s="52"/>
      <c r="W320" s="45"/>
      <c r="X320" s="45"/>
      <c r="Y320" s="3"/>
      <c r="Z320" s="3"/>
      <c r="AA320" s="21"/>
      <c r="AB320" s="45"/>
      <c r="AC320" s="45"/>
      <c r="AD320" s="45"/>
      <c r="AE320" s="45"/>
      <c r="AF320" s="109"/>
      <c r="AG320" s="102"/>
      <c r="AH320" s="111"/>
      <c r="AI320" s="45"/>
      <c r="AJ320" s="3"/>
      <c r="AK320" s="45"/>
      <c r="AL320" s="52"/>
    </row>
    <row r="321" spans="1:38" x14ac:dyDescent="0.25">
      <c r="A321" s="1"/>
      <c r="B321" s="3"/>
      <c r="C321" s="3"/>
      <c r="D321" s="21"/>
      <c r="E321" s="8"/>
      <c r="F321" s="3"/>
      <c r="G321" s="3"/>
      <c r="H321" s="3"/>
      <c r="I321" s="3"/>
      <c r="J321" s="3"/>
      <c r="K321" s="24"/>
      <c r="L321" s="8"/>
      <c r="M321" s="45"/>
      <c r="N321" s="45"/>
      <c r="O321" s="3"/>
      <c r="P321" s="21"/>
      <c r="Q321" s="3"/>
      <c r="R321" s="45"/>
      <c r="S321" s="45"/>
      <c r="T321" s="109"/>
      <c r="U321" s="45"/>
      <c r="V321" s="52"/>
      <c r="W321" s="45"/>
      <c r="X321" s="45"/>
      <c r="Y321" s="3"/>
      <c r="Z321" s="3"/>
      <c r="AA321" s="21"/>
      <c r="AB321" s="45"/>
      <c r="AC321" s="45"/>
      <c r="AD321" s="45"/>
      <c r="AE321" s="45"/>
      <c r="AF321" s="109"/>
      <c r="AG321" s="102"/>
      <c r="AH321" s="111"/>
      <c r="AI321" s="45"/>
      <c r="AJ321" s="3"/>
      <c r="AK321" s="45"/>
      <c r="AL321" s="52"/>
    </row>
    <row r="322" spans="1:38" x14ac:dyDescent="0.25">
      <c r="A322" s="1"/>
      <c r="B322" s="3"/>
      <c r="C322" s="3"/>
      <c r="D322" s="21"/>
      <c r="E322" s="8"/>
      <c r="F322" s="3"/>
      <c r="G322" s="3"/>
      <c r="H322" s="3"/>
      <c r="I322" s="3"/>
      <c r="J322" s="3"/>
      <c r="K322" s="24"/>
      <c r="L322" s="8"/>
      <c r="M322" s="45"/>
      <c r="N322" s="45"/>
      <c r="O322" s="3"/>
      <c r="P322" s="21"/>
      <c r="Q322" s="3"/>
      <c r="R322" s="45"/>
      <c r="S322" s="45"/>
      <c r="T322" s="109"/>
      <c r="U322" s="45"/>
      <c r="V322" s="52"/>
      <c r="W322" s="45"/>
      <c r="X322" s="45"/>
      <c r="Y322" s="3"/>
      <c r="Z322" s="3"/>
      <c r="AA322" s="21"/>
      <c r="AB322" s="45"/>
      <c r="AC322" s="45"/>
      <c r="AD322" s="45"/>
      <c r="AE322" s="45"/>
      <c r="AF322" s="109"/>
      <c r="AG322" s="102"/>
      <c r="AH322" s="111"/>
      <c r="AI322" s="45"/>
      <c r="AJ322" s="3"/>
      <c r="AK322" s="45"/>
      <c r="AL322" s="52"/>
    </row>
    <row r="323" spans="1:38" x14ac:dyDescent="0.25">
      <c r="A323" s="1"/>
      <c r="B323" s="3"/>
      <c r="C323" s="3"/>
      <c r="D323" s="21"/>
      <c r="E323" s="8"/>
      <c r="F323" s="3"/>
      <c r="G323" s="3"/>
      <c r="H323" s="3"/>
      <c r="I323" s="3"/>
      <c r="J323" s="3"/>
      <c r="K323" s="24"/>
      <c r="L323" s="8"/>
      <c r="M323" s="45"/>
      <c r="N323" s="45"/>
      <c r="O323" s="3"/>
      <c r="P323" s="21"/>
      <c r="Q323" s="3"/>
      <c r="R323" s="45"/>
      <c r="S323" s="45"/>
      <c r="T323" s="109"/>
      <c r="U323" s="45"/>
      <c r="V323" s="52"/>
      <c r="W323" s="45"/>
      <c r="X323" s="45"/>
      <c r="Y323" s="3"/>
      <c r="Z323" s="3"/>
      <c r="AA323" s="21"/>
      <c r="AB323" s="45"/>
      <c r="AC323" s="45"/>
      <c r="AD323" s="45"/>
      <c r="AE323" s="45"/>
      <c r="AF323" s="109"/>
      <c r="AG323" s="102"/>
      <c r="AH323" s="111"/>
      <c r="AI323" s="45"/>
      <c r="AJ323" s="3"/>
      <c r="AK323" s="45"/>
      <c r="AL323" s="52"/>
    </row>
  </sheetData>
  <autoFilter ref="A3:AL262" xr:uid="{802911F7-934C-4EA1-97B9-2021615B94BD}"/>
  <mergeCells count="11">
    <mergeCell ref="AF2:AI2"/>
    <mergeCell ref="A2:E2"/>
    <mergeCell ref="AB2:AE2"/>
    <mergeCell ref="A1:AL1"/>
    <mergeCell ref="AJ2:AK2"/>
    <mergeCell ref="K2:L2"/>
    <mergeCell ref="M2:Q2"/>
    <mergeCell ref="R2:T2"/>
    <mergeCell ref="W2:AA2"/>
    <mergeCell ref="F2:J2"/>
    <mergeCell ref="U2:V2"/>
  </mergeCells>
  <phoneticPr fontId="10" type="noConversion"/>
  <conditionalFormatting sqref="D3">
    <cfRule type="colorScale" priority="2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5 D8:D52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4">
    <cfRule type="colorScale" priority="2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6">
    <cfRule type="colorScale" priority="2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:D58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">
    <cfRule type="colorScale" priority="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0:D61 D64:D65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1:D2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69">
    <cfRule type="cellIs" dxfId="145" priority="57" operator="equal">
      <formula>"A"</formula>
    </cfRule>
    <cfRule type="cellIs" dxfId="144" priority="56" operator="equal">
      <formula>"C"</formula>
    </cfRule>
  </conditionalFormatting>
  <conditionalFormatting sqref="E158:E201">
    <cfRule type="cellIs" dxfId="143" priority="54" operator="equal">
      <formula>"C"</formula>
    </cfRule>
    <cfRule type="cellIs" dxfId="142" priority="55" operator="equal">
      <formula>"A"</formula>
    </cfRule>
  </conditionalFormatting>
  <conditionalFormatting sqref="E206:E210">
    <cfRule type="cellIs" dxfId="141" priority="42" operator="equal">
      <formula>"A"</formula>
    </cfRule>
    <cfRule type="cellIs" dxfId="140" priority="41" operator="equal">
      <formula>"C"</formula>
    </cfRule>
  </conditionalFormatting>
  <conditionalFormatting sqref="E219:E258">
    <cfRule type="cellIs" dxfId="139" priority="23" operator="equal">
      <formula>"A"</formula>
    </cfRule>
    <cfRule type="cellIs" dxfId="138" priority="22" operator="equal">
      <formula>"C"</formula>
    </cfRule>
  </conditionalFormatting>
  <conditionalFormatting sqref="E105:H105 E106:G107">
    <cfRule type="cellIs" dxfId="137" priority="198" operator="equal">
      <formula>"B"</formula>
    </cfRule>
    <cfRule type="cellIs" dxfId="136" priority="195" operator="equal">
      <formula>"B$F$105"</formula>
    </cfRule>
  </conditionalFormatting>
  <conditionalFormatting sqref="E259:H262">
    <cfRule type="cellIs" dxfId="135" priority="2" operator="equal">
      <formula>"C"</formula>
    </cfRule>
    <cfRule type="cellIs" dxfId="134" priority="3" operator="equal">
      <formula>"A"</formula>
    </cfRule>
  </conditionalFormatting>
  <conditionalFormatting sqref="F3:G3">
    <cfRule type="cellIs" dxfId="133" priority="173" operator="equal">
      <formula>"220 EP"</formula>
    </cfRule>
  </conditionalFormatting>
  <conditionalFormatting sqref="F158:G197">
    <cfRule type="cellIs" dxfId="132" priority="14" operator="equal">
      <formula>"C"</formula>
    </cfRule>
    <cfRule type="cellIs" dxfId="131" priority="15" operator="equal">
      <formula>"A"</formula>
    </cfRule>
  </conditionalFormatting>
  <conditionalFormatting sqref="F14:H20">
    <cfRule type="cellIs" dxfId="130" priority="132" operator="equal">
      <formula>"C"</formula>
    </cfRule>
    <cfRule type="cellIs" dxfId="129" priority="133" operator="equal">
      <formula>"A"</formula>
    </cfRule>
  </conditionalFormatting>
  <conditionalFormatting sqref="G3:G204">
    <cfRule type="cellIs" dxfId="128" priority="16" operator="equal">
      <formula>"RS-460"</formula>
    </cfRule>
  </conditionalFormatting>
  <conditionalFormatting sqref="G11">
    <cfRule type="cellIs" dxfId="127" priority="53" operator="equal">
      <formula>"RS 460"</formula>
    </cfRule>
  </conditionalFormatting>
  <conditionalFormatting sqref="G14:G15 G202">
    <cfRule type="cellIs" dxfId="126" priority="52" operator="equal">
      <formula>"RS 460"</formula>
    </cfRule>
  </conditionalFormatting>
  <conditionalFormatting sqref="G114">
    <cfRule type="cellIs" dxfId="125" priority="20" operator="equal">
      <formula>"HM 68"</formula>
    </cfRule>
    <cfRule type="cellIs" dxfId="124" priority="193" operator="equal">
      <formula>"HM 68"</formula>
    </cfRule>
  </conditionalFormatting>
  <conditionalFormatting sqref="G157">
    <cfRule type="cellIs" dxfId="123" priority="17" operator="equal">
      <formula>"HM 68"</formula>
    </cfRule>
    <cfRule type="cellIs" dxfId="122" priority="18" operator="equal">
      <formula>"HM 68"</formula>
    </cfRule>
  </conditionalFormatting>
  <conditionalFormatting sqref="G190:G191">
    <cfRule type="cellIs" dxfId="121" priority="13" operator="equal">
      <formula>"HM 68"</formula>
    </cfRule>
    <cfRule type="cellIs" dxfId="120" priority="12" operator="equal">
      <formula>"HM 68"</formula>
    </cfRule>
  </conditionalFormatting>
  <conditionalFormatting sqref="G198:G201">
    <cfRule type="cellIs" dxfId="119" priority="49" operator="equal">
      <formula>"C"</formula>
    </cfRule>
    <cfRule type="cellIs" dxfId="118" priority="50" operator="equal">
      <formula>"A"</formula>
    </cfRule>
  </conditionalFormatting>
  <conditionalFormatting sqref="G203:G204">
    <cfRule type="cellIs" dxfId="117" priority="46" operator="equal">
      <formula>"C"</formula>
    </cfRule>
    <cfRule type="cellIs" dxfId="116" priority="47" operator="equal">
      <formula>"A"</formula>
    </cfRule>
  </conditionalFormatting>
  <conditionalFormatting sqref="G206:G227 G229:G258">
    <cfRule type="cellIs" dxfId="115" priority="10" operator="equal">
      <formula>"A"</formula>
    </cfRule>
    <cfRule type="cellIs" dxfId="114" priority="9" operator="equal">
      <formula>"C"</formula>
    </cfRule>
  </conditionalFormatting>
  <conditionalFormatting sqref="G206:G227 G229:G262">
    <cfRule type="cellIs" dxfId="113" priority="11" operator="equal">
      <formula>"RS-460"</formula>
    </cfRule>
  </conditionalFormatting>
  <conditionalFormatting sqref="G256:G260">
    <cfRule type="cellIs" dxfId="112" priority="8" operator="equal">
      <formula>"HM 68"</formula>
    </cfRule>
    <cfRule type="cellIs" dxfId="111" priority="7" operator="equal">
      <formula>"HM 68"</formula>
    </cfRule>
  </conditionalFormatting>
  <conditionalFormatting sqref="H3:H4 G5:H13 G21:H21 F22:H25 G26:H26 F27:H30 G31:H31 F32:H39 G40:H42 F43:H47 G48:H51 F52:H52 G53:H53 F54:H54 G55:H55 F56:H56 G57:H57 G58:G59 F60:H60 G61:G63 H63:H69 E70:H105 E106:G108 E109:H154 E155:G156 E157:H157 F202:G202">
    <cfRule type="cellIs" dxfId="110" priority="220" operator="equal">
      <formula>"C"</formula>
    </cfRule>
    <cfRule type="cellIs" dxfId="109" priority="221" operator="equal">
      <formula>"A"</formula>
    </cfRule>
  </conditionalFormatting>
  <conditionalFormatting sqref="M3">
    <cfRule type="cellIs" dxfId="108" priority="177" operator="equal">
      <formula>"220 EP"</formula>
    </cfRule>
  </conditionalFormatting>
  <conditionalFormatting sqref="M17:N20">
    <cfRule type="cellIs" dxfId="107" priority="166" operator="equal">
      <formula>"CM32"</formula>
    </cfRule>
  </conditionalFormatting>
  <conditionalFormatting sqref="M22:N25">
    <cfRule type="cellIs" dxfId="106" priority="164" operator="equal">
      <formula>"CM32"</formula>
    </cfRule>
  </conditionalFormatting>
  <conditionalFormatting sqref="M27:N30">
    <cfRule type="cellIs" dxfId="105" priority="160" operator="equal">
      <formula>"CM32"</formula>
    </cfRule>
  </conditionalFormatting>
  <conditionalFormatting sqref="M32:N35">
    <cfRule type="cellIs" dxfId="104" priority="156" operator="equal">
      <formula>"CM32"</formula>
    </cfRule>
  </conditionalFormatting>
  <conditionalFormatting sqref="M44:N47">
    <cfRule type="cellIs" dxfId="103" priority="150" operator="equal">
      <formula>"CM32"</formula>
    </cfRule>
  </conditionalFormatting>
  <conditionalFormatting sqref="M63:N63 M192:N195">
    <cfRule type="cellIs" dxfId="102" priority="71" operator="equal">
      <formula>"CM32"</formula>
    </cfRule>
  </conditionalFormatting>
  <conditionalFormatting sqref="N3:N16">
    <cfRule type="cellIs" dxfId="101" priority="113" operator="equal">
      <formula>"PU-2/150M"</formula>
    </cfRule>
  </conditionalFormatting>
  <conditionalFormatting sqref="N21">
    <cfRule type="cellIs" dxfId="100" priority="138" operator="equal">
      <formula>"PU-2/150M"</formula>
    </cfRule>
  </conditionalFormatting>
  <conditionalFormatting sqref="N26">
    <cfRule type="cellIs" dxfId="99" priority="137" operator="equal">
      <formula>"PU-2/150M"</formula>
    </cfRule>
  </conditionalFormatting>
  <conditionalFormatting sqref="N31">
    <cfRule type="cellIs" dxfId="98" priority="136" operator="equal">
      <formula>"PU-2/150M"</formula>
    </cfRule>
  </conditionalFormatting>
  <conditionalFormatting sqref="N36:N43">
    <cfRule type="cellIs" dxfId="97" priority="112" operator="equal">
      <formula>"PU-2/150M"</formula>
    </cfRule>
  </conditionalFormatting>
  <conditionalFormatting sqref="N48:N59">
    <cfRule type="cellIs" dxfId="96" priority="134" operator="equal">
      <formula>"PU-2/150M"</formula>
    </cfRule>
  </conditionalFormatting>
  <conditionalFormatting sqref="N60">
    <cfRule type="cellIs" dxfId="95" priority="122" operator="equal">
      <formula>"PU-2/150M"</formula>
    </cfRule>
  </conditionalFormatting>
  <conditionalFormatting sqref="N64:N69">
    <cfRule type="cellIs" dxfId="94" priority="111" operator="equal">
      <formula>"PU-2/150M"</formula>
    </cfRule>
  </conditionalFormatting>
  <conditionalFormatting sqref="N156">
    <cfRule type="cellIs" dxfId="93" priority="94" operator="equal">
      <formula>"PU-2/150M"</formula>
    </cfRule>
  </conditionalFormatting>
  <conditionalFormatting sqref="N182:N183">
    <cfRule type="cellIs" dxfId="92" priority="95" operator="equal">
      <formula>"PU-2/150M"</formula>
    </cfRule>
  </conditionalFormatting>
  <conditionalFormatting sqref="N185:N189">
    <cfRule type="cellIs" dxfId="91" priority="92" operator="equal">
      <formula>"PU-2/150M"</formula>
    </cfRule>
  </conditionalFormatting>
  <conditionalFormatting sqref="N196:N197">
    <cfRule type="cellIs" dxfId="90" priority="58" operator="equal">
      <formula>"PU-2/150M"</formula>
    </cfRule>
  </conditionalFormatting>
  <conditionalFormatting sqref="N202:N205">
    <cfRule type="cellIs" dxfId="89" priority="223" operator="equal">
      <formula>"PU-2/150M"</formula>
    </cfRule>
  </conditionalFormatting>
  <conditionalFormatting sqref="N210:N212">
    <cfRule type="cellIs" dxfId="88" priority="21" operator="equal">
      <formula>"PU-2/150M"</formula>
    </cfRule>
  </conditionalFormatting>
  <conditionalFormatting sqref="N225:N231">
    <cfRule type="cellIs" dxfId="87" priority="34" operator="equal">
      <formula>"PU-2/150M"</formula>
    </cfRule>
  </conditionalFormatting>
  <conditionalFormatting sqref="O3">
    <cfRule type="cellIs" dxfId="86" priority="180" operator="equal">
      <formula>"A"</formula>
    </cfRule>
    <cfRule type="cellIs" dxfId="85" priority="179" operator="equal">
      <formula>"C"</formula>
    </cfRule>
  </conditionalFormatting>
  <conditionalFormatting sqref="Q63">
    <cfRule type="cellIs" dxfId="84" priority="73" operator="equal">
      <formula>"CM32"</formula>
    </cfRule>
  </conditionalFormatting>
  <conditionalFormatting sqref="Q192:U195 W192:W195">
    <cfRule type="cellIs" dxfId="83" priority="86" operator="equal">
      <formula>"CM32"</formula>
    </cfRule>
  </conditionalFormatting>
  <conditionalFormatting sqref="R3">
    <cfRule type="cellIs" dxfId="82" priority="174" operator="equal">
      <formula>"220 EP"</formula>
    </cfRule>
  </conditionalFormatting>
  <conditionalFormatting sqref="R4:R11">
    <cfRule type="cellIs" dxfId="81" priority="170" operator="equal">
      <formula>"CM32"</formula>
    </cfRule>
  </conditionalFormatting>
  <conditionalFormatting sqref="R14:R52 R202:R205 R211:R212">
    <cfRule type="cellIs" dxfId="80" priority="77" operator="equal">
      <formula>"CM32"</formula>
    </cfRule>
  </conditionalFormatting>
  <conditionalFormatting sqref="R58:R63">
    <cfRule type="cellIs" dxfId="79" priority="90" operator="equal">
      <formula>"CM32"</formula>
    </cfRule>
  </conditionalFormatting>
  <conditionalFormatting sqref="R225">
    <cfRule type="cellIs" dxfId="78" priority="30" operator="equal">
      <formula>"CM32"</formula>
    </cfRule>
  </conditionalFormatting>
  <conditionalFormatting sqref="S3:S11 S60:U63 W61:W63">
    <cfRule type="cellIs" dxfId="77" priority="224" operator="equal">
      <formula>"CM32"</formula>
    </cfRule>
  </conditionalFormatting>
  <conditionalFormatting sqref="S14:S225">
    <cfRule type="cellIs" dxfId="76" priority="32" operator="equal">
      <formula>"CM32"</formula>
    </cfRule>
  </conditionalFormatting>
  <conditionalFormatting sqref="T15:U15 W15 T36:U40 W36:W40">
    <cfRule type="cellIs" dxfId="75" priority="208" operator="equal">
      <formula>"CM32"</formula>
    </cfRule>
  </conditionalFormatting>
  <conditionalFormatting sqref="W185:W187">
    <cfRule type="cellIs" dxfId="74" priority="81" operator="equal">
      <formula>"220 EP"</formula>
    </cfRule>
  </conditionalFormatting>
  <conditionalFormatting sqref="W3:X231">
    <cfRule type="cellIs" dxfId="73" priority="64" operator="equal">
      <formula>"220 EP"</formula>
    </cfRule>
  </conditionalFormatting>
  <conditionalFormatting sqref="AB40">
    <cfRule type="cellIs" dxfId="72" priority="68" operator="equal">
      <formula>"RS-460"</formula>
    </cfRule>
    <cfRule type="cellIs" dxfId="71" priority="67" operator="equal">
      <formula>"A"</formula>
    </cfRule>
    <cfRule type="cellIs" dxfId="70" priority="66" operator="equal">
      <formula>"C"</formula>
    </cfRule>
  </conditionalFormatting>
  <conditionalFormatting sqref="AB48:AB55">
    <cfRule type="cellIs" dxfId="69" priority="126" operator="equal">
      <formula>"C"</formula>
    </cfRule>
    <cfRule type="cellIs" dxfId="68" priority="127" operator="equal">
      <formula>"A"</formula>
    </cfRule>
    <cfRule type="cellIs" dxfId="67" priority="128" operator="equal">
      <formula>"RS-460"</formula>
    </cfRule>
  </conditionalFormatting>
  <conditionalFormatting sqref="AB57 AB60 AB63:AB105 AB108:AB157 AB192:AB197">
    <cfRule type="cellIs" dxfId="66" priority="131" operator="equal">
      <formula>"RM 220"</formula>
    </cfRule>
  </conditionalFormatting>
  <conditionalFormatting sqref="AB58:AB59">
    <cfRule type="cellIs" dxfId="65" priority="123" operator="equal">
      <formula>"C"</formula>
    </cfRule>
    <cfRule type="cellIs" dxfId="64" priority="124" operator="equal">
      <formula>"A"</formula>
    </cfRule>
    <cfRule type="cellIs" dxfId="63" priority="125" operator="equal">
      <formula>"RS-460"</formula>
    </cfRule>
  </conditionalFormatting>
  <conditionalFormatting sqref="AB62">
    <cfRule type="cellIs" dxfId="62" priority="6" operator="equal">
      <formula>"RS-460"</formula>
    </cfRule>
    <cfRule type="cellIs" dxfId="61" priority="5" operator="equal">
      <formula>"A"</formula>
    </cfRule>
    <cfRule type="cellIs" dxfId="60" priority="4" operator="equal">
      <formula>"C"</formula>
    </cfRule>
  </conditionalFormatting>
  <conditionalFormatting sqref="AB106:AE107">
    <cfRule type="cellIs" dxfId="59" priority="63" operator="equal">
      <formula>"RM 220"</formula>
    </cfRule>
  </conditionalFormatting>
  <pageMargins left="0.511811024" right="0.511811024" top="0.78740157499999996" bottom="0.78740157499999996" header="0.31496062000000002" footer="0.31496062000000002"/>
  <pageSetup paperSize="8"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1055-885B-4EE8-9426-2C418BE824B2}">
  <dimension ref="A1:AJ27"/>
  <sheetViews>
    <sheetView workbookViewId="0">
      <selection activeCell="D37" sqref="D37"/>
    </sheetView>
  </sheetViews>
  <sheetFormatPr defaultRowHeight="15" x14ac:dyDescent="0.25"/>
  <cols>
    <col min="2" max="2" width="14.28515625" customWidth="1"/>
    <col min="3" max="3" width="16.5703125" customWidth="1"/>
    <col min="4" max="4" width="47.85546875" customWidth="1"/>
    <col min="8" max="8" width="40.7109375" customWidth="1"/>
    <col min="9" max="9" width="14.5703125" customWidth="1"/>
    <col min="11" max="11" width="10.85546875" customWidth="1"/>
    <col min="12" max="12" width="16" customWidth="1"/>
    <col min="14" max="14" width="11.85546875" customWidth="1"/>
    <col min="15" max="15" width="44.5703125" customWidth="1"/>
    <col min="16" max="16" width="12.7109375" customWidth="1"/>
    <col min="17" max="17" width="14.28515625" customWidth="1"/>
  </cols>
  <sheetData>
    <row r="1" spans="1:36" s="7" customFormat="1" ht="45" customHeight="1" x14ac:dyDescent="0.25">
      <c r="A1" s="5" t="s">
        <v>0</v>
      </c>
      <c r="B1" s="5" t="s">
        <v>130</v>
      </c>
      <c r="C1" s="5" t="s">
        <v>131</v>
      </c>
      <c r="D1" s="5" t="s">
        <v>1</v>
      </c>
      <c r="E1" s="17" t="s">
        <v>2</v>
      </c>
      <c r="F1" s="26" t="s">
        <v>323</v>
      </c>
      <c r="G1" s="5" t="s">
        <v>115</v>
      </c>
      <c r="H1" s="5" t="s">
        <v>319</v>
      </c>
      <c r="I1" s="5" t="s">
        <v>1</v>
      </c>
      <c r="J1" s="32" t="s">
        <v>101</v>
      </c>
      <c r="K1" s="41" t="s">
        <v>186</v>
      </c>
      <c r="L1" s="69" t="s">
        <v>187</v>
      </c>
      <c r="M1" s="26" t="s">
        <v>323</v>
      </c>
      <c r="N1" s="5" t="s">
        <v>120</v>
      </c>
      <c r="O1" s="5" t="s">
        <v>319</v>
      </c>
      <c r="P1" s="5" t="s">
        <v>1</v>
      </c>
      <c r="Q1" s="25" t="s">
        <v>121</v>
      </c>
      <c r="R1" s="26" t="s">
        <v>323</v>
      </c>
      <c r="S1" s="5" t="s">
        <v>116</v>
      </c>
      <c r="T1" s="32" t="s">
        <v>102</v>
      </c>
      <c r="U1" s="26" t="s">
        <v>323</v>
      </c>
      <c r="V1" s="5" t="s">
        <v>104</v>
      </c>
      <c r="W1" s="5" t="s">
        <v>108</v>
      </c>
      <c r="X1" s="5" t="s">
        <v>321</v>
      </c>
      <c r="Y1" s="32" t="s">
        <v>322</v>
      </c>
      <c r="Z1" s="26" t="s">
        <v>116</v>
      </c>
      <c r="AA1" s="5" t="s">
        <v>326</v>
      </c>
      <c r="AB1" s="5" t="s">
        <v>325</v>
      </c>
      <c r="AC1" s="32" t="s">
        <v>102</v>
      </c>
      <c r="AD1" s="41" t="s">
        <v>113</v>
      </c>
      <c r="AE1" s="104" t="s">
        <v>1267</v>
      </c>
      <c r="AF1" s="110" t="s">
        <v>1269</v>
      </c>
      <c r="AG1" s="32" t="s">
        <v>1268</v>
      </c>
      <c r="AH1" s="26" t="s">
        <v>327</v>
      </c>
      <c r="AI1" s="32" t="s">
        <v>328</v>
      </c>
      <c r="AJ1" s="13" t="s">
        <v>3</v>
      </c>
    </row>
    <row r="2" spans="1:36" ht="15.75" x14ac:dyDescent="0.25">
      <c r="A2" s="3">
        <v>1</v>
      </c>
      <c r="B2" s="3" t="s">
        <v>9</v>
      </c>
      <c r="C2" s="3" t="s">
        <v>10</v>
      </c>
      <c r="D2" s="3" t="s">
        <v>318</v>
      </c>
      <c r="E2" s="23" t="s">
        <v>8</v>
      </c>
      <c r="F2" s="34">
        <v>20002899</v>
      </c>
      <c r="G2" s="44" t="s">
        <v>334</v>
      </c>
      <c r="H2" s="3" t="s">
        <v>335</v>
      </c>
      <c r="I2" s="3" t="s">
        <v>11</v>
      </c>
      <c r="J2" s="27">
        <v>23</v>
      </c>
      <c r="K2" s="70">
        <v>56</v>
      </c>
      <c r="L2" s="71">
        <v>1288</v>
      </c>
      <c r="M2" s="34">
        <v>30005613</v>
      </c>
      <c r="N2" s="2" t="s">
        <v>125</v>
      </c>
      <c r="O2" s="19" t="s">
        <v>336</v>
      </c>
      <c r="P2" s="2" t="s">
        <v>133</v>
      </c>
      <c r="Q2" s="27" t="s">
        <v>180</v>
      </c>
      <c r="R2" s="34">
        <v>30093974</v>
      </c>
      <c r="S2" s="2" t="s">
        <v>128</v>
      </c>
      <c r="T2" s="27">
        <v>17.5</v>
      </c>
      <c r="U2" s="34">
        <v>20016490</v>
      </c>
      <c r="V2" s="2" t="s">
        <v>110</v>
      </c>
      <c r="W2" s="2">
        <v>4</v>
      </c>
      <c r="X2" s="2">
        <v>2</v>
      </c>
      <c r="Y2" s="27">
        <v>8</v>
      </c>
      <c r="Z2" s="74" t="s">
        <v>111</v>
      </c>
      <c r="AA2" s="2">
        <v>5</v>
      </c>
      <c r="AB2" s="2" t="s">
        <v>324</v>
      </c>
      <c r="AC2" s="27">
        <v>1450</v>
      </c>
      <c r="AD2" s="106" t="s">
        <v>112</v>
      </c>
      <c r="AE2" s="112" t="s">
        <v>1248</v>
      </c>
      <c r="AF2" s="106" t="s">
        <v>112</v>
      </c>
      <c r="AG2" s="27" t="s">
        <v>1270</v>
      </c>
      <c r="AH2" s="33">
        <v>65</v>
      </c>
      <c r="AI2" s="27">
        <v>72.8</v>
      </c>
      <c r="AJ2" s="10"/>
    </row>
    <row r="3" spans="1:36" ht="15.75" x14ac:dyDescent="0.25">
      <c r="A3" s="3">
        <v>1</v>
      </c>
      <c r="B3" s="3" t="s">
        <v>16</v>
      </c>
      <c r="C3" s="3" t="s">
        <v>17</v>
      </c>
      <c r="D3" s="3" t="s">
        <v>318</v>
      </c>
      <c r="E3" s="23" t="s">
        <v>8</v>
      </c>
      <c r="F3" s="34">
        <v>20002899</v>
      </c>
      <c r="G3" s="44" t="s">
        <v>334</v>
      </c>
      <c r="H3" s="3" t="s">
        <v>332</v>
      </c>
      <c r="I3" s="3" t="s">
        <v>18</v>
      </c>
      <c r="J3" s="27">
        <v>288</v>
      </c>
      <c r="K3" s="70">
        <v>56</v>
      </c>
      <c r="L3" s="71">
        <v>16128</v>
      </c>
      <c r="M3" s="34">
        <v>30005613</v>
      </c>
      <c r="N3" s="2" t="s">
        <v>125</v>
      </c>
      <c r="O3" s="19" t="s">
        <v>339</v>
      </c>
      <c r="P3" s="2" t="s">
        <v>136</v>
      </c>
      <c r="Q3" s="27" t="s">
        <v>180</v>
      </c>
      <c r="R3" s="34">
        <v>30093974</v>
      </c>
      <c r="S3" s="2" t="s">
        <v>128</v>
      </c>
      <c r="T3" s="27">
        <v>115</v>
      </c>
      <c r="U3" s="34">
        <v>20016490</v>
      </c>
      <c r="V3" s="2" t="s">
        <v>110</v>
      </c>
      <c r="W3" s="2">
        <v>10</v>
      </c>
      <c r="X3" s="2">
        <v>2</v>
      </c>
      <c r="Y3" s="27">
        <v>20</v>
      </c>
      <c r="Z3" s="33" t="s">
        <v>117</v>
      </c>
      <c r="AA3" s="2" t="s">
        <v>117</v>
      </c>
      <c r="AB3" s="2" t="s">
        <v>109</v>
      </c>
      <c r="AC3" s="27" t="s">
        <v>109</v>
      </c>
      <c r="AD3" s="106" t="s">
        <v>112</v>
      </c>
      <c r="AE3" s="112" t="s">
        <v>1244</v>
      </c>
      <c r="AF3" s="106" t="s">
        <v>112</v>
      </c>
      <c r="AG3" s="27" t="s">
        <v>1270</v>
      </c>
      <c r="AH3" s="33">
        <v>69</v>
      </c>
      <c r="AI3" s="27">
        <v>77.28</v>
      </c>
      <c r="AJ3" s="10"/>
    </row>
    <row r="4" spans="1:36" ht="15.75" x14ac:dyDescent="0.25">
      <c r="A4" s="3">
        <v>1</v>
      </c>
      <c r="B4" s="3" t="s">
        <v>16</v>
      </c>
      <c r="C4" s="3" t="s">
        <v>17</v>
      </c>
      <c r="D4" s="3" t="s">
        <v>318</v>
      </c>
      <c r="E4" s="23" t="s">
        <v>8</v>
      </c>
      <c r="F4" s="34">
        <v>20002899</v>
      </c>
      <c r="G4" s="44" t="s">
        <v>334</v>
      </c>
      <c r="H4" s="3" t="s">
        <v>333</v>
      </c>
      <c r="I4" s="3" t="s">
        <v>19</v>
      </c>
      <c r="J4" s="27">
        <v>288</v>
      </c>
      <c r="K4" s="70">
        <v>56</v>
      </c>
      <c r="L4" s="71">
        <v>16128</v>
      </c>
      <c r="M4" s="34">
        <v>30005613</v>
      </c>
      <c r="N4" s="2" t="s">
        <v>125</v>
      </c>
      <c r="O4" s="19" t="s">
        <v>340</v>
      </c>
      <c r="P4" s="2" t="s">
        <v>137</v>
      </c>
      <c r="Q4" s="27" t="s">
        <v>180</v>
      </c>
      <c r="R4" s="34">
        <v>30093974</v>
      </c>
      <c r="S4" s="2" t="s">
        <v>128</v>
      </c>
      <c r="T4" s="27">
        <v>115</v>
      </c>
      <c r="U4" s="34">
        <v>20016490</v>
      </c>
      <c r="V4" s="2" t="s">
        <v>110</v>
      </c>
      <c r="W4" s="2">
        <v>10</v>
      </c>
      <c r="X4" s="2">
        <v>2</v>
      </c>
      <c r="Y4" s="27">
        <v>20</v>
      </c>
      <c r="Z4" s="33" t="s">
        <v>109</v>
      </c>
      <c r="AA4" s="2"/>
      <c r="AB4" s="2" t="s">
        <v>109</v>
      </c>
      <c r="AC4" s="27" t="s">
        <v>109</v>
      </c>
      <c r="AD4" s="106" t="s">
        <v>112</v>
      </c>
      <c r="AE4" s="112" t="s">
        <v>1245</v>
      </c>
      <c r="AF4" s="106" t="s">
        <v>112</v>
      </c>
      <c r="AG4" s="27" t="s">
        <v>1270</v>
      </c>
      <c r="AH4" s="33">
        <v>69</v>
      </c>
      <c r="AI4" s="27">
        <v>77.28</v>
      </c>
      <c r="AJ4" s="10"/>
    </row>
    <row r="5" spans="1:36" ht="15.75" x14ac:dyDescent="0.25">
      <c r="A5" s="3">
        <v>1</v>
      </c>
      <c r="B5" s="3" t="s">
        <v>23</v>
      </c>
      <c r="C5" s="3" t="s">
        <v>24</v>
      </c>
      <c r="D5" s="3" t="s">
        <v>318</v>
      </c>
      <c r="E5" s="23" t="s">
        <v>8</v>
      </c>
      <c r="F5" s="34">
        <v>20002899</v>
      </c>
      <c r="G5" s="44" t="s">
        <v>334</v>
      </c>
      <c r="H5" s="3" t="s">
        <v>343</v>
      </c>
      <c r="I5" s="3" t="s">
        <v>139</v>
      </c>
      <c r="J5" s="27">
        <v>35</v>
      </c>
      <c r="K5" s="70">
        <v>56</v>
      </c>
      <c r="L5" s="71">
        <v>1960</v>
      </c>
      <c r="M5" s="34">
        <v>30005613</v>
      </c>
      <c r="N5" s="2" t="s">
        <v>125</v>
      </c>
      <c r="O5" s="19" t="s">
        <v>344</v>
      </c>
      <c r="P5" s="2" t="s">
        <v>140</v>
      </c>
      <c r="Q5" s="27" t="s">
        <v>180</v>
      </c>
      <c r="R5" s="34">
        <v>30093974</v>
      </c>
      <c r="S5" s="2" t="s">
        <v>128</v>
      </c>
      <c r="T5" s="27">
        <v>20</v>
      </c>
      <c r="U5" s="34">
        <v>20016490</v>
      </c>
      <c r="V5" s="2" t="s">
        <v>110</v>
      </c>
      <c r="W5" s="2">
        <v>4</v>
      </c>
      <c r="X5" s="2">
        <v>2</v>
      </c>
      <c r="Y5" s="27">
        <v>8</v>
      </c>
      <c r="Z5" s="33" t="s">
        <v>117</v>
      </c>
      <c r="AA5" s="2" t="s">
        <v>117</v>
      </c>
      <c r="AB5" s="2" t="s">
        <v>109</v>
      </c>
      <c r="AC5" s="27" t="s">
        <v>109</v>
      </c>
      <c r="AD5" s="106" t="s">
        <v>112</v>
      </c>
      <c r="AE5" s="112" t="s">
        <v>1247</v>
      </c>
      <c r="AF5" s="106" t="s">
        <v>112</v>
      </c>
      <c r="AG5" s="27" t="s">
        <v>1270</v>
      </c>
      <c r="AH5" s="33">
        <v>62</v>
      </c>
      <c r="AI5" s="27">
        <v>69.44</v>
      </c>
      <c r="AJ5" s="10"/>
    </row>
    <row r="6" spans="1:36" ht="15.75" x14ac:dyDescent="0.25">
      <c r="A6" s="3">
        <v>1</v>
      </c>
      <c r="B6" s="3" t="s">
        <v>28</v>
      </c>
      <c r="C6" s="3" t="s">
        <v>29</v>
      </c>
      <c r="D6" s="3" t="s">
        <v>318</v>
      </c>
      <c r="E6" s="23" t="s">
        <v>8</v>
      </c>
      <c r="F6" s="34">
        <v>20002899</v>
      </c>
      <c r="G6" s="44" t="s">
        <v>334</v>
      </c>
      <c r="H6" s="3" t="s">
        <v>347</v>
      </c>
      <c r="I6" s="3" t="s">
        <v>30</v>
      </c>
      <c r="J6" s="27">
        <v>22</v>
      </c>
      <c r="K6" s="70">
        <v>56</v>
      </c>
      <c r="L6" s="71">
        <v>1232</v>
      </c>
      <c r="M6" s="34">
        <v>30005613</v>
      </c>
      <c r="N6" s="2" t="s">
        <v>125</v>
      </c>
      <c r="O6" s="19" t="s">
        <v>348</v>
      </c>
      <c r="P6" s="2" t="s">
        <v>142</v>
      </c>
      <c r="Q6" s="27" t="s">
        <v>122</v>
      </c>
      <c r="R6" s="33" t="s">
        <v>109</v>
      </c>
      <c r="S6" s="2" t="s">
        <v>109</v>
      </c>
      <c r="T6" s="27" t="s">
        <v>109</v>
      </c>
      <c r="U6" s="34">
        <v>20016490</v>
      </c>
      <c r="V6" s="2" t="s">
        <v>110</v>
      </c>
      <c r="W6" s="2">
        <v>4</v>
      </c>
      <c r="X6" s="2">
        <v>2</v>
      </c>
      <c r="Y6" s="27">
        <v>8</v>
      </c>
      <c r="Z6" s="33" t="s">
        <v>117</v>
      </c>
      <c r="AA6" s="2" t="s">
        <v>117</v>
      </c>
      <c r="AB6" s="2" t="s">
        <v>109</v>
      </c>
      <c r="AC6" s="27" t="s">
        <v>109</v>
      </c>
      <c r="AD6" s="106" t="s">
        <v>112</v>
      </c>
      <c r="AE6" s="112" t="s">
        <v>1250</v>
      </c>
      <c r="AF6" s="106" t="s">
        <v>112</v>
      </c>
      <c r="AG6" s="27" t="s">
        <v>1270</v>
      </c>
      <c r="AH6" s="33">
        <v>68</v>
      </c>
      <c r="AI6" s="27">
        <v>76.16</v>
      </c>
      <c r="AJ6" s="10"/>
    </row>
    <row r="7" spans="1:36" ht="15.75" x14ac:dyDescent="0.25">
      <c r="A7" s="3">
        <v>1</v>
      </c>
      <c r="B7" s="3" t="s">
        <v>47</v>
      </c>
      <c r="C7" s="3" t="s">
        <v>48</v>
      </c>
      <c r="D7" s="3" t="s">
        <v>318</v>
      </c>
      <c r="E7" s="23" t="s">
        <v>288</v>
      </c>
      <c r="F7" s="34">
        <v>20002899</v>
      </c>
      <c r="G7" s="44" t="s">
        <v>334</v>
      </c>
      <c r="H7" s="3" t="s">
        <v>360</v>
      </c>
      <c r="I7" s="3" t="s">
        <v>49</v>
      </c>
      <c r="J7" s="28">
        <v>58</v>
      </c>
      <c r="K7" s="70">
        <v>56</v>
      </c>
      <c r="L7" s="71">
        <v>3248</v>
      </c>
      <c r="M7" s="34">
        <v>30005613</v>
      </c>
      <c r="N7" s="2" t="s">
        <v>125</v>
      </c>
      <c r="O7" s="19" t="s">
        <v>366</v>
      </c>
      <c r="P7" s="2" t="s">
        <v>147</v>
      </c>
      <c r="Q7" s="27" t="s">
        <v>123</v>
      </c>
      <c r="R7" s="34">
        <v>30093974</v>
      </c>
      <c r="S7" s="2" t="s">
        <v>128</v>
      </c>
      <c r="T7" s="27">
        <v>53</v>
      </c>
      <c r="U7" s="34">
        <v>20016490</v>
      </c>
      <c r="V7" s="2" t="s">
        <v>110</v>
      </c>
      <c r="W7" s="2">
        <v>4</v>
      </c>
      <c r="X7" s="6">
        <v>1</v>
      </c>
      <c r="Y7" s="27">
        <v>4</v>
      </c>
      <c r="Z7" s="33" t="s">
        <v>109</v>
      </c>
      <c r="AA7" s="2" t="s">
        <v>109</v>
      </c>
      <c r="AB7" s="2" t="s">
        <v>109</v>
      </c>
      <c r="AC7" s="27" t="s">
        <v>109</v>
      </c>
      <c r="AD7" s="106" t="s">
        <v>126</v>
      </c>
      <c r="AE7" s="112" t="s">
        <v>1252</v>
      </c>
      <c r="AF7" s="106" t="s">
        <v>112</v>
      </c>
      <c r="AG7" s="27" t="s">
        <v>1270</v>
      </c>
      <c r="AH7" s="33">
        <v>70</v>
      </c>
      <c r="AI7" s="27">
        <v>78.400000000000006</v>
      </c>
      <c r="AJ7" s="10"/>
    </row>
    <row r="8" spans="1:36" ht="15.75" x14ac:dyDescent="0.25">
      <c r="A8" s="3">
        <v>1</v>
      </c>
      <c r="B8" s="3" t="s">
        <v>47</v>
      </c>
      <c r="C8" s="3" t="s">
        <v>48</v>
      </c>
      <c r="D8" s="3" t="s">
        <v>39</v>
      </c>
      <c r="E8" s="23" t="s">
        <v>288</v>
      </c>
      <c r="F8" s="34">
        <v>20016373</v>
      </c>
      <c r="G8" s="43" t="s">
        <v>111</v>
      </c>
      <c r="H8" s="3" t="s">
        <v>361</v>
      </c>
      <c r="I8" s="3" t="s">
        <v>50</v>
      </c>
      <c r="J8" s="27">
        <v>5.4</v>
      </c>
      <c r="K8" s="70"/>
      <c r="L8" s="71">
        <v>0</v>
      </c>
      <c r="M8" s="34" t="s">
        <v>109</v>
      </c>
      <c r="N8" s="3" t="s">
        <v>109</v>
      </c>
      <c r="O8" s="19" t="s">
        <v>365</v>
      </c>
      <c r="P8" s="3" t="s">
        <v>148</v>
      </c>
      <c r="Q8" s="28" t="s">
        <v>109</v>
      </c>
      <c r="R8" s="34" t="s">
        <v>109</v>
      </c>
      <c r="S8" s="3" t="s">
        <v>109</v>
      </c>
      <c r="T8" s="28" t="s">
        <v>109</v>
      </c>
      <c r="U8" s="34">
        <v>20016490</v>
      </c>
      <c r="V8" s="2" t="s">
        <v>110</v>
      </c>
      <c r="W8" s="3">
        <v>1</v>
      </c>
      <c r="X8" s="6">
        <v>1</v>
      </c>
      <c r="Y8" s="27">
        <v>1</v>
      </c>
      <c r="Z8" s="33" t="s">
        <v>109</v>
      </c>
      <c r="AA8" s="2" t="s">
        <v>109</v>
      </c>
      <c r="AB8" s="2" t="s">
        <v>109</v>
      </c>
      <c r="AC8" s="27" t="s">
        <v>109</v>
      </c>
      <c r="AD8" s="107" t="s">
        <v>109</v>
      </c>
      <c r="AE8" s="112"/>
      <c r="AF8" s="99"/>
      <c r="AG8" s="27"/>
      <c r="AH8" s="34" t="s">
        <v>109</v>
      </c>
      <c r="AI8" s="28" t="s">
        <v>109</v>
      </c>
      <c r="AJ8" s="11"/>
    </row>
    <row r="9" spans="1:36" ht="15.75" x14ac:dyDescent="0.25">
      <c r="A9" s="3">
        <v>1</v>
      </c>
      <c r="B9" s="3" t="s">
        <v>47</v>
      </c>
      <c r="C9" s="3" t="s">
        <v>48</v>
      </c>
      <c r="D9" s="3" t="s">
        <v>41</v>
      </c>
      <c r="E9" s="23" t="s">
        <v>288</v>
      </c>
      <c r="F9" s="34">
        <v>20016373</v>
      </c>
      <c r="G9" s="43" t="s">
        <v>111</v>
      </c>
      <c r="H9" s="3" t="s">
        <v>362</v>
      </c>
      <c r="I9" s="3" t="s">
        <v>51</v>
      </c>
      <c r="J9" s="27">
        <v>5.4</v>
      </c>
      <c r="K9" s="70"/>
      <c r="L9" s="71">
        <v>0</v>
      </c>
      <c r="M9" s="34" t="s">
        <v>109</v>
      </c>
      <c r="N9" s="3" t="s">
        <v>109</v>
      </c>
      <c r="O9" s="19" t="s">
        <v>367</v>
      </c>
      <c r="P9" s="3" t="s">
        <v>149</v>
      </c>
      <c r="Q9" s="28" t="s">
        <v>109</v>
      </c>
      <c r="R9" s="34" t="s">
        <v>109</v>
      </c>
      <c r="S9" s="3" t="s">
        <v>109</v>
      </c>
      <c r="T9" s="28" t="s">
        <v>109</v>
      </c>
      <c r="U9" s="34">
        <v>20016490</v>
      </c>
      <c r="V9" s="2" t="s">
        <v>110</v>
      </c>
      <c r="W9" s="3">
        <v>1</v>
      </c>
      <c r="X9" s="6">
        <v>1</v>
      </c>
      <c r="Y9" s="27">
        <v>1</v>
      </c>
      <c r="Z9" s="33" t="s">
        <v>109</v>
      </c>
      <c r="AA9" s="2" t="s">
        <v>109</v>
      </c>
      <c r="AB9" s="2" t="s">
        <v>109</v>
      </c>
      <c r="AC9" s="27" t="s">
        <v>109</v>
      </c>
      <c r="AD9" s="107" t="s">
        <v>109</v>
      </c>
      <c r="AE9" s="112"/>
      <c r="AF9" s="99"/>
      <c r="AG9" s="27"/>
      <c r="AH9" s="34" t="s">
        <v>109</v>
      </c>
      <c r="AI9" s="28" t="s">
        <v>109</v>
      </c>
      <c r="AJ9" s="11"/>
    </row>
    <row r="10" spans="1:36" ht="15.75" x14ac:dyDescent="0.25">
      <c r="A10" s="3">
        <v>1</v>
      </c>
      <c r="B10" s="3" t="s">
        <v>47</v>
      </c>
      <c r="C10" s="3" t="s">
        <v>48</v>
      </c>
      <c r="D10" s="3" t="s">
        <v>43</v>
      </c>
      <c r="E10" s="23" t="s">
        <v>288</v>
      </c>
      <c r="F10" s="34">
        <v>20016373</v>
      </c>
      <c r="G10" s="43" t="s">
        <v>111</v>
      </c>
      <c r="H10" s="3" t="s">
        <v>363</v>
      </c>
      <c r="I10" s="3" t="s">
        <v>52</v>
      </c>
      <c r="J10" s="27">
        <v>5.4</v>
      </c>
      <c r="K10" s="70"/>
      <c r="L10" s="71">
        <v>0</v>
      </c>
      <c r="M10" s="34" t="s">
        <v>109</v>
      </c>
      <c r="N10" s="3" t="s">
        <v>109</v>
      </c>
      <c r="O10" s="19" t="s">
        <v>368</v>
      </c>
      <c r="P10" s="3" t="s">
        <v>150</v>
      </c>
      <c r="Q10" s="28" t="s">
        <v>109</v>
      </c>
      <c r="R10" s="34" t="s">
        <v>109</v>
      </c>
      <c r="S10" s="3" t="s">
        <v>109</v>
      </c>
      <c r="T10" s="28" t="s">
        <v>109</v>
      </c>
      <c r="U10" s="34">
        <v>20016490</v>
      </c>
      <c r="V10" s="2" t="s">
        <v>110</v>
      </c>
      <c r="W10" s="3">
        <v>1</v>
      </c>
      <c r="X10" s="6">
        <v>1</v>
      </c>
      <c r="Y10" s="27">
        <v>1</v>
      </c>
      <c r="Z10" s="33" t="s">
        <v>109</v>
      </c>
      <c r="AA10" s="2" t="s">
        <v>109</v>
      </c>
      <c r="AB10" s="2" t="s">
        <v>109</v>
      </c>
      <c r="AC10" s="27" t="s">
        <v>109</v>
      </c>
      <c r="AD10" s="107" t="s">
        <v>109</v>
      </c>
      <c r="AE10" s="112"/>
      <c r="AF10" s="99"/>
      <c r="AG10" s="27"/>
      <c r="AH10" s="34" t="s">
        <v>109</v>
      </c>
      <c r="AI10" s="28" t="s">
        <v>109</v>
      </c>
      <c r="AJ10" s="11"/>
    </row>
    <row r="11" spans="1:36" ht="15.75" x14ac:dyDescent="0.25">
      <c r="A11" s="3">
        <v>1</v>
      </c>
      <c r="B11" s="3" t="s">
        <v>47</v>
      </c>
      <c r="C11" s="3" t="s">
        <v>48</v>
      </c>
      <c r="D11" s="3" t="s">
        <v>45</v>
      </c>
      <c r="E11" s="23" t="s">
        <v>288</v>
      </c>
      <c r="F11" s="34">
        <v>20016373</v>
      </c>
      <c r="G11" s="43" t="s">
        <v>111</v>
      </c>
      <c r="H11" s="3" t="s">
        <v>364</v>
      </c>
      <c r="I11" s="3" t="s">
        <v>53</v>
      </c>
      <c r="J11" s="27">
        <v>5.4</v>
      </c>
      <c r="K11" s="70"/>
      <c r="L11" s="71">
        <v>0</v>
      </c>
      <c r="M11" s="34" t="s">
        <v>109</v>
      </c>
      <c r="N11" s="3" t="s">
        <v>109</v>
      </c>
      <c r="O11" s="19" t="s">
        <v>369</v>
      </c>
      <c r="P11" s="3" t="s">
        <v>151</v>
      </c>
      <c r="Q11" s="28" t="s">
        <v>109</v>
      </c>
      <c r="R11" s="34" t="s">
        <v>109</v>
      </c>
      <c r="S11" s="3" t="s">
        <v>109</v>
      </c>
      <c r="T11" s="28" t="s">
        <v>109</v>
      </c>
      <c r="U11" s="34">
        <v>20016490</v>
      </c>
      <c r="V11" s="2" t="s">
        <v>110</v>
      </c>
      <c r="W11" s="3">
        <v>1</v>
      </c>
      <c r="X11" s="6">
        <v>1</v>
      </c>
      <c r="Y11" s="27">
        <v>1</v>
      </c>
      <c r="Z11" s="33" t="s">
        <v>109</v>
      </c>
      <c r="AA11" s="2" t="s">
        <v>109</v>
      </c>
      <c r="AB11" s="2" t="s">
        <v>109</v>
      </c>
      <c r="AC11" s="27" t="s">
        <v>109</v>
      </c>
      <c r="AD11" s="107" t="s">
        <v>109</v>
      </c>
      <c r="AE11" s="112"/>
      <c r="AF11" s="99"/>
      <c r="AG11" s="27"/>
      <c r="AH11" s="34" t="s">
        <v>109</v>
      </c>
      <c r="AI11" s="28" t="s">
        <v>109</v>
      </c>
      <c r="AJ11" s="11"/>
    </row>
    <row r="12" spans="1:36" ht="15.75" x14ac:dyDescent="0.25">
      <c r="A12" s="3">
        <v>1</v>
      </c>
      <c r="B12" s="3" t="s">
        <v>73</v>
      </c>
      <c r="C12" s="3" t="s">
        <v>74</v>
      </c>
      <c r="D12" s="3" t="s">
        <v>318</v>
      </c>
      <c r="E12" s="23" t="s">
        <v>288</v>
      </c>
      <c r="F12" s="34">
        <v>20002899</v>
      </c>
      <c r="G12" s="44" t="s">
        <v>334</v>
      </c>
      <c r="H12" s="3" t="s">
        <v>403</v>
      </c>
      <c r="I12" s="3" t="s">
        <v>75</v>
      </c>
      <c r="J12" s="27">
        <v>58</v>
      </c>
      <c r="K12" s="70">
        <v>56</v>
      </c>
      <c r="L12" s="71">
        <v>3248</v>
      </c>
      <c r="M12" s="34">
        <v>30005613</v>
      </c>
      <c r="N12" s="2" t="s">
        <v>125</v>
      </c>
      <c r="O12" s="19" t="s">
        <v>404</v>
      </c>
      <c r="P12" s="2" t="s">
        <v>170</v>
      </c>
      <c r="Q12" s="28" t="s">
        <v>176</v>
      </c>
      <c r="R12" s="34">
        <v>30093974</v>
      </c>
      <c r="S12" s="2" t="s">
        <v>128</v>
      </c>
      <c r="T12" s="36">
        <v>44</v>
      </c>
      <c r="U12" s="34">
        <v>20016490</v>
      </c>
      <c r="V12" s="2" t="s">
        <v>110</v>
      </c>
      <c r="W12" s="3">
        <v>4</v>
      </c>
      <c r="X12" s="3">
        <v>2</v>
      </c>
      <c r="Y12" s="27">
        <v>8</v>
      </c>
      <c r="Z12" s="75" t="s">
        <v>111</v>
      </c>
      <c r="AA12" s="2">
        <v>5</v>
      </c>
      <c r="AB12" s="2" t="s">
        <v>324</v>
      </c>
      <c r="AC12" s="28">
        <v>1450</v>
      </c>
      <c r="AD12" s="106" t="s">
        <v>112</v>
      </c>
      <c r="AE12" s="112" t="s">
        <v>1256</v>
      </c>
      <c r="AF12" s="106" t="s">
        <v>112</v>
      </c>
      <c r="AG12" s="27" t="s">
        <v>1270</v>
      </c>
      <c r="AH12" s="39">
        <v>65</v>
      </c>
      <c r="AI12" s="27">
        <v>72.8</v>
      </c>
      <c r="AJ12" s="10"/>
    </row>
    <row r="13" spans="1:36" ht="15.75" x14ac:dyDescent="0.25">
      <c r="A13" s="3">
        <v>1</v>
      </c>
      <c r="B13" s="3" t="s">
        <v>79</v>
      </c>
      <c r="C13" s="3" t="s">
        <v>80</v>
      </c>
      <c r="D13" s="3" t="s">
        <v>318</v>
      </c>
      <c r="E13" s="23" t="s">
        <v>288</v>
      </c>
      <c r="F13" s="34">
        <v>20002899</v>
      </c>
      <c r="G13" s="44" t="s">
        <v>334</v>
      </c>
      <c r="H13" s="3" t="s">
        <v>407</v>
      </c>
      <c r="I13" s="3" t="s">
        <v>81</v>
      </c>
      <c r="J13" s="27">
        <v>58</v>
      </c>
      <c r="K13" s="70">
        <v>56</v>
      </c>
      <c r="L13" s="71">
        <v>3248</v>
      </c>
      <c r="M13" s="34">
        <v>30005613</v>
      </c>
      <c r="N13" s="2" t="s">
        <v>125</v>
      </c>
      <c r="O13" s="19" t="s">
        <v>408</v>
      </c>
      <c r="P13" s="2" t="s">
        <v>172</v>
      </c>
      <c r="Q13" s="28" t="s">
        <v>176</v>
      </c>
      <c r="R13" s="34">
        <v>30093974</v>
      </c>
      <c r="S13" s="2" t="s">
        <v>128</v>
      </c>
      <c r="T13" s="36">
        <v>44</v>
      </c>
      <c r="U13" s="34">
        <v>20016490</v>
      </c>
      <c r="V13" s="2" t="s">
        <v>110</v>
      </c>
      <c r="W13" s="3">
        <v>4</v>
      </c>
      <c r="X13" s="3">
        <v>2</v>
      </c>
      <c r="Y13" s="27">
        <v>8</v>
      </c>
      <c r="Z13" s="75" t="s">
        <v>111</v>
      </c>
      <c r="AA13" s="2">
        <v>5</v>
      </c>
      <c r="AB13" s="2" t="s">
        <v>324</v>
      </c>
      <c r="AC13" s="28">
        <v>1450</v>
      </c>
      <c r="AD13" s="106" t="s">
        <v>112</v>
      </c>
      <c r="AE13" s="112" t="s">
        <v>1258</v>
      </c>
      <c r="AF13" s="106" t="s">
        <v>112</v>
      </c>
      <c r="AG13" s="27" t="s">
        <v>1270</v>
      </c>
      <c r="AH13" s="39">
        <v>64</v>
      </c>
      <c r="AI13" s="27">
        <v>71.680000000000007</v>
      </c>
      <c r="AJ13" s="10"/>
    </row>
    <row r="14" spans="1:36" ht="15.75" x14ac:dyDescent="0.25">
      <c r="A14" s="3">
        <v>1</v>
      </c>
      <c r="B14" s="3" t="s">
        <v>97</v>
      </c>
      <c r="C14" s="3" t="s">
        <v>98</v>
      </c>
      <c r="D14" s="3" t="s">
        <v>318</v>
      </c>
      <c r="E14" s="23" t="s">
        <v>288</v>
      </c>
      <c r="F14" s="34">
        <v>20002899</v>
      </c>
      <c r="G14" s="44" t="s">
        <v>334</v>
      </c>
      <c r="H14" s="3" t="s">
        <v>419</v>
      </c>
      <c r="I14" s="3" t="s">
        <v>99</v>
      </c>
      <c r="J14" s="27">
        <v>52</v>
      </c>
      <c r="K14" s="70">
        <v>56</v>
      </c>
      <c r="L14" s="71">
        <v>2912</v>
      </c>
      <c r="M14" s="34">
        <v>30005613</v>
      </c>
      <c r="N14" s="2" t="s">
        <v>125</v>
      </c>
      <c r="O14" s="19" t="s">
        <v>420</v>
      </c>
      <c r="P14" s="3" t="s">
        <v>164</v>
      </c>
      <c r="Q14" s="28" t="s">
        <v>176</v>
      </c>
      <c r="R14" s="34">
        <v>30093974</v>
      </c>
      <c r="S14" s="2" t="s">
        <v>128</v>
      </c>
      <c r="T14" s="27">
        <v>52</v>
      </c>
      <c r="U14" s="34">
        <v>20016490</v>
      </c>
      <c r="V14" s="2" t="s">
        <v>110</v>
      </c>
      <c r="W14" s="3">
        <v>4</v>
      </c>
      <c r="X14" s="3">
        <v>2</v>
      </c>
      <c r="Y14" s="27">
        <v>8</v>
      </c>
      <c r="Z14" s="33" t="s">
        <v>109</v>
      </c>
      <c r="AA14" s="2" t="s">
        <v>109</v>
      </c>
      <c r="AB14" s="2" t="s">
        <v>109</v>
      </c>
      <c r="AC14" s="27" t="s">
        <v>109</v>
      </c>
      <c r="AD14" s="106" t="s">
        <v>112</v>
      </c>
      <c r="AE14" s="112" t="s">
        <v>1264</v>
      </c>
      <c r="AF14" s="106" t="s">
        <v>112</v>
      </c>
      <c r="AG14" s="27" t="s">
        <v>1270</v>
      </c>
      <c r="AH14" s="39">
        <v>70</v>
      </c>
      <c r="AI14" s="27">
        <v>78.400000000000006</v>
      </c>
      <c r="AJ14" s="11"/>
    </row>
    <row r="15" spans="1:36" ht="15.75" x14ac:dyDescent="0.25">
      <c r="A15" s="3">
        <v>2</v>
      </c>
      <c r="B15" s="21" t="s">
        <v>216</v>
      </c>
      <c r="C15" s="3" t="s">
        <v>214</v>
      </c>
      <c r="D15" s="21" t="s">
        <v>217</v>
      </c>
      <c r="E15" s="23" t="s">
        <v>288</v>
      </c>
      <c r="F15" s="34">
        <v>20002899</v>
      </c>
      <c r="G15" s="44" t="s">
        <v>334</v>
      </c>
      <c r="H15" s="3" t="s">
        <v>504</v>
      </c>
      <c r="I15" s="21" t="s">
        <v>219</v>
      </c>
      <c r="J15" s="38">
        <v>184</v>
      </c>
      <c r="K15" s="70">
        <v>56</v>
      </c>
      <c r="L15" s="71">
        <v>10304</v>
      </c>
      <c r="M15" s="34">
        <v>30005613</v>
      </c>
      <c r="N15" s="2" t="s">
        <v>125</v>
      </c>
      <c r="O15" s="19" t="s">
        <v>506</v>
      </c>
      <c r="P15" s="21" t="s">
        <v>220</v>
      </c>
      <c r="Q15" s="29" t="s">
        <v>213</v>
      </c>
      <c r="R15" s="34">
        <v>30093974</v>
      </c>
      <c r="S15" s="2" t="s">
        <v>128</v>
      </c>
      <c r="T15" s="27">
        <v>105</v>
      </c>
      <c r="U15" s="34">
        <v>20016490</v>
      </c>
      <c r="V15" s="2" t="s">
        <v>110</v>
      </c>
      <c r="W15" s="21">
        <v>9</v>
      </c>
      <c r="X15" s="3">
        <v>2</v>
      </c>
      <c r="Y15" s="27">
        <v>18</v>
      </c>
      <c r="Z15" s="33" t="s">
        <v>109</v>
      </c>
      <c r="AA15" s="3" t="s">
        <v>109</v>
      </c>
      <c r="AB15" s="2" t="s">
        <v>109</v>
      </c>
      <c r="AC15" s="27" t="s">
        <v>109</v>
      </c>
      <c r="AD15" s="106" t="s">
        <v>112</v>
      </c>
      <c r="AE15" s="3">
        <v>35</v>
      </c>
      <c r="AF15" s="106" t="s">
        <v>112</v>
      </c>
      <c r="AG15" s="27" t="s">
        <v>1270</v>
      </c>
      <c r="AH15" s="34">
        <v>70</v>
      </c>
      <c r="AI15" s="29">
        <v>78.400000000000006</v>
      </c>
      <c r="AJ15" s="24"/>
    </row>
    <row r="16" spans="1:36" ht="15.75" x14ac:dyDescent="0.25">
      <c r="A16" s="3">
        <v>2</v>
      </c>
      <c r="B16" s="21" t="s">
        <v>216</v>
      </c>
      <c r="C16" s="3" t="s">
        <v>214</v>
      </c>
      <c r="D16" s="21" t="s">
        <v>218</v>
      </c>
      <c r="E16" s="23" t="s">
        <v>288</v>
      </c>
      <c r="F16" s="34">
        <v>20002899</v>
      </c>
      <c r="G16" s="44" t="s">
        <v>334</v>
      </c>
      <c r="H16" s="3" t="s">
        <v>505</v>
      </c>
      <c r="I16" s="21" t="s">
        <v>219</v>
      </c>
      <c r="J16" s="38">
        <v>184</v>
      </c>
      <c r="K16" s="70">
        <v>56</v>
      </c>
      <c r="L16" s="71">
        <v>10304</v>
      </c>
      <c r="M16" s="34">
        <v>30005613</v>
      </c>
      <c r="N16" s="2" t="s">
        <v>125</v>
      </c>
      <c r="O16" s="19" t="s">
        <v>507</v>
      </c>
      <c r="P16" s="21" t="s">
        <v>221</v>
      </c>
      <c r="Q16" s="29" t="s">
        <v>213</v>
      </c>
      <c r="R16" s="34">
        <v>30093974</v>
      </c>
      <c r="S16" s="2" t="s">
        <v>128</v>
      </c>
      <c r="T16" s="27">
        <v>105</v>
      </c>
      <c r="U16" s="34">
        <v>20016490</v>
      </c>
      <c r="V16" s="2" t="s">
        <v>110</v>
      </c>
      <c r="W16" s="21">
        <v>9</v>
      </c>
      <c r="X16" s="3">
        <v>2</v>
      </c>
      <c r="Y16" s="27">
        <v>18</v>
      </c>
      <c r="Z16" s="33" t="s">
        <v>109</v>
      </c>
      <c r="AA16" s="3" t="s">
        <v>109</v>
      </c>
      <c r="AB16" s="2" t="s">
        <v>109</v>
      </c>
      <c r="AC16" s="27" t="s">
        <v>109</v>
      </c>
      <c r="AD16" s="106" t="s">
        <v>112</v>
      </c>
      <c r="AE16" s="3">
        <v>36</v>
      </c>
      <c r="AF16" s="106" t="s">
        <v>112</v>
      </c>
      <c r="AG16" s="27" t="s">
        <v>1270</v>
      </c>
      <c r="AH16" s="34">
        <v>69</v>
      </c>
      <c r="AI16" s="29">
        <v>77.28</v>
      </c>
      <c r="AJ16" s="24"/>
    </row>
    <row r="17" spans="1:36" ht="15.75" x14ac:dyDescent="0.25">
      <c r="A17" s="3">
        <v>2</v>
      </c>
      <c r="B17" s="21" t="s">
        <v>227</v>
      </c>
      <c r="C17" s="3" t="s">
        <v>223</v>
      </c>
      <c r="D17" s="21" t="s">
        <v>318</v>
      </c>
      <c r="E17" s="23" t="s">
        <v>288</v>
      </c>
      <c r="F17" s="34">
        <v>20002899</v>
      </c>
      <c r="G17" s="44" t="s">
        <v>334</v>
      </c>
      <c r="H17" s="3" t="s">
        <v>510</v>
      </c>
      <c r="I17" s="21" t="s">
        <v>228</v>
      </c>
      <c r="J17" s="38">
        <v>58</v>
      </c>
      <c r="K17" s="70">
        <v>56</v>
      </c>
      <c r="L17" s="71">
        <v>3248</v>
      </c>
      <c r="M17" s="34">
        <v>30005613</v>
      </c>
      <c r="N17" s="2" t="s">
        <v>125</v>
      </c>
      <c r="O17" s="19" t="s">
        <v>511</v>
      </c>
      <c r="P17" s="21" t="s">
        <v>229</v>
      </c>
      <c r="Q17" s="29" t="s">
        <v>213</v>
      </c>
      <c r="R17" s="34">
        <v>30093974</v>
      </c>
      <c r="S17" s="2" t="s">
        <v>128</v>
      </c>
      <c r="T17" s="27">
        <v>64</v>
      </c>
      <c r="U17" s="34">
        <v>20016490</v>
      </c>
      <c r="V17" s="2" t="s">
        <v>110</v>
      </c>
      <c r="W17" s="21">
        <v>4</v>
      </c>
      <c r="X17" s="3">
        <v>2</v>
      </c>
      <c r="Y17" s="27">
        <v>8</v>
      </c>
      <c r="Z17" s="33" t="s">
        <v>109</v>
      </c>
      <c r="AA17" s="3" t="s">
        <v>109</v>
      </c>
      <c r="AB17" s="2" t="s">
        <v>109</v>
      </c>
      <c r="AC17" s="27" t="s">
        <v>109</v>
      </c>
      <c r="AD17" s="106" t="s">
        <v>112</v>
      </c>
      <c r="AE17" s="3">
        <v>38</v>
      </c>
      <c r="AF17" s="106" t="s">
        <v>112</v>
      </c>
      <c r="AG17" s="27" t="s">
        <v>1270</v>
      </c>
      <c r="AH17" s="40">
        <v>67</v>
      </c>
      <c r="AI17" s="29">
        <v>75.039999999999992</v>
      </c>
      <c r="AJ17" s="24"/>
    </row>
    <row r="18" spans="1:36" ht="16.5" x14ac:dyDescent="0.25">
      <c r="A18" s="3">
        <v>2</v>
      </c>
      <c r="B18" s="21" t="s">
        <v>230</v>
      </c>
      <c r="C18" s="3" t="s">
        <v>231</v>
      </c>
      <c r="D18" s="21" t="s">
        <v>516</v>
      </c>
      <c r="E18" s="23" t="s">
        <v>34</v>
      </c>
      <c r="F18" s="34">
        <v>20016373</v>
      </c>
      <c r="G18" s="43" t="s">
        <v>111</v>
      </c>
      <c r="H18" s="21" t="s">
        <v>591</v>
      </c>
      <c r="I18" s="21" t="s">
        <v>589</v>
      </c>
      <c r="J18" s="28">
        <v>30</v>
      </c>
      <c r="K18" s="72"/>
      <c r="L18" s="73"/>
      <c r="M18" s="34">
        <v>30005613</v>
      </c>
      <c r="N18" s="56" t="s">
        <v>125</v>
      </c>
      <c r="O18" s="3" t="s">
        <v>595</v>
      </c>
      <c r="P18" s="22" t="s">
        <v>594</v>
      </c>
      <c r="Q18" s="30" t="s">
        <v>124</v>
      </c>
      <c r="R18" s="37" t="s">
        <v>109</v>
      </c>
      <c r="S18" s="22" t="s">
        <v>109</v>
      </c>
      <c r="T18" s="30" t="s">
        <v>109</v>
      </c>
      <c r="U18" s="34">
        <v>20016490</v>
      </c>
      <c r="V18" s="2" t="s">
        <v>110</v>
      </c>
      <c r="W18" s="22">
        <v>2</v>
      </c>
      <c r="X18" s="22">
        <v>2</v>
      </c>
      <c r="Y18" s="30">
        <f>W18*X18</f>
        <v>4</v>
      </c>
      <c r="Z18" s="33" t="s">
        <v>109</v>
      </c>
      <c r="AA18" s="2" t="s">
        <v>109</v>
      </c>
      <c r="AB18" s="2" t="s">
        <v>109</v>
      </c>
      <c r="AC18" s="27" t="s">
        <v>109</v>
      </c>
      <c r="AD18" s="106" t="s">
        <v>112</v>
      </c>
      <c r="AE18" s="2">
        <v>58</v>
      </c>
      <c r="AF18" s="106" t="s">
        <v>112</v>
      </c>
      <c r="AG18" s="27" t="s">
        <v>1270</v>
      </c>
      <c r="AH18" s="34">
        <v>57</v>
      </c>
      <c r="AI18" s="30">
        <f>AH18+AH18*12%</f>
        <v>63.84</v>
      </c>
      <c r="AJ18" s="24"/>
    </row>
    <row r="19" spans="1:36" ht="16.5" x14ac:dyDescent="0.25">
      <c r="A19" s="3">
        <v>2</v>
      </c>
      <c r="B19" s="21" t="s">
        <v>230</v>
      </c>
      <c r="C19" s="3" t="s">
        <v>231</v>
      </c>
      <c r="D19" s="21" t="s">
        <v>515</v>
      </c>
      <c r="E19" s="23" t="s">
        <v>34</v>
      </c>
      <c r="F19" s="34">
        <v>20016373</v>
      </c>
      <c r="G19" s="43" t="s">
        <v>111</v>
      </c>
      <c r="H19" s="21" t="s">
        <v>590</v>
      </c>
      <c r="I19" s="21" t="s">
        <v>588</v>
      </c>
      <c r="J19" s="28">
        <v>30</v>
      </c>
      <c r="K19" s="72"/>
      <c r="L19" s="73"/>
      <c r="M19" s="34">
        <v>30005613</v>
      </c>
      <c r="N19" s="56" t="s">
        <v>125</v>
      </c>
      <c r="O19" s="3" t="s">
        <v>583</v>
      </c>
      <c r="P19" s="22" t="s">
        <v>582</v>
      </c>
      <c r="Q19" s="30" t="s">
        <v>124</v>
      </c>
      <c r="R19" s="37" t="s">
        <v>109</v>
      </c>
      <c r="S19" s="22" t="s">
        <v>109</v>
      </c>
      <c r="T19" s="30" t="s">
        <v>109</v>
      </c>
      <c r="U19" s="34">
        <v>20016490</v>
      </c>
      <c r="V19" s="2" t="s">
        <v>110</v>
      </c>
      <c r="W19" s="22">
        <v>2</v>
      </c>
      <c r="X19" s="22">
        <v>2</v>
      </c>
      <c r="Y19" s="30">
        <f>W19*X19</f>
        <v>4</v>
      </c>
      <c r="Z19" s="33" t="s">
        <v>109</v>
      </c>
      <c r="AA19" s="2" t="s">
        <v>109</v>
      </c>
      <c r="AB19" s="2" t="s">
        <v>109</v>
      </c>
      <c r="AC19" s="27" t="s">
        <v>109</v>
      </c>
      <c r="AD19" s="106" t="s">
        <v>112</v>
      </c>
      <c r="AE19" s="2">
        <v>57</v>
      </c>
      <c r="AF19" s="106" t="s">
        <v>112</v>
      </c>
      <c r="AG19" s="27" t="s">
        <v>1270</v>
      </c>
      <c r="AH19" s="34">
        <v>55</v>
      </c>
      <c r="AI19" s="30">
        <f>AH19+AH19*12%</f>
        <v>61.6</v>
      </c>
      <c r="AJ19" s="24"/>
    </row>
    <row r="21" spans="1:36" x14ac:dyDescent="0.25">
      <c r="A21" t="s">
        <v>1278</v>
      </c>
      <c r="C21" s="121">
        <v>20025840</v>
      </c>
      <c r="D21">
        <v>81.599999999999994</v>
      </c>
    </row>
    <row r="22" spans="1:36" x14ac:dyDescent="0.25">
      <c r="A22" t="s">
        <v>1279</v>
      </c>
      <c r="D22">
        <v>1308</v>
      </c>
    </row>
    <row r="23" spans="1:36" x14ac:dyDescent="0.25">
      <c r="A23" t="s">
        <v>1280</v>
      </c>
      <c r="D23">
        <v>734</v>
      </c>
    </row>
    <row r="24" spans="1:36" x14ac:dyDescent="0.25">
      <c r="D24">
        <f>SUM(D21:D23)</f>
        <v>2123.6</v>
      </c>
    </row>
    <row r="25" spans="1:36" x14ac:dyDescent="0.25">
      <c r="D25" s="122">
        <v>132</v>
      </c>
    </row>
    <row r="27" spans="1:36" x14ac:dyDescent="0.25">
      <c r="D27" s="123">
        <f>D24*D25</f>
        <v>280315.2</v>
      </c>
    </row>
  </sheetData>
  <autoFilter ref="A1:AL19" xr:uid="{C38B1055-885B-4EE8-9426-2C418BE824B2}"/>
  <conditionalFormatting sqref="D1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7">
    <cfRule type="cellIs" dxfId="58" priority="35" operator="equal">
      <formula>"C"</formula>
    </cfRule>
    <cfRule type="cellIs" dxfId="57" priority="36" operator="equal">
      <formula>"A"</formula>
    </cfRule>
  </conditionalFormatting>
  <conditionalFormatting sqref="E18:G19">
    <cfRule type="cellIs" dxfId="56" priority="5" operator="equal">
      <formula>"B$F$105"</formula>
    </cfRule>
    <cfRule type="cellIs" dxfId="55" priority="6" operator="equal">
      <formula>"B"</formula>
    </cfRule>
    <cfRule type="cellIs" dxfId="54" priority="7" operator="equal">
      <formula>"C"</formula>
    </cfRule>
    <cfRule type="cellIs" dxfId="53" priority="8" operator="equal">
      <formula>"A"</formula>
    </cfRule>
  </conditionalFormatting>
  <conditionalFormatting sqref="F1:G1">
    <cfRule type="cellIs" dxfId="52" priority="39" operator="equal">
      <formula>"220 EP"</formula>
    </cfRule>
  </conditionalFormatting>
  <conditionalFormatting sqref="G1:G19">
    <cfRule type="cellIs" dxfId="51" priority="1" operator="equal">
      <formula>"RS-460"</formula>
    </cfRule>
  </conditionalFormatting>
  <conditionalFormatting sqref="G5">
    <cfRule type="cellIs" dxfId="50" priority="31" operator="equal">
      <formula>"RS 460"</formula>
    </cfRule>
  </conditionalFormatting>
  <conditionalFormatting sqref="H1 G2:H7 F8:H11 G12:H14 H15:H17">
    <cfRule type="cellIs" dxfId="49" priority="44" operator="equal">
      <formula>"C"</formula>
    </cfRule>
    <cfRule type="cellIs" dxfId="48" priority="45" operator="equal">
      <formula>"A"</formula>
    </cfRule>
  </conditionalFormatting>
  <conditionalFormatting sqref="M1">
    <cfRule type="cellIs" dxfId="47" priority="41" operator="equal">
      <formula>"220 EP"</formula>
    </cfRule>
  </conditionalFormatting>
  <conditionalFormatting sqref="M8:N11">
    <cfRule type="cellIs" dxfId="46" priority="30" operator="equal">
      <formula>"CM32"</formula>
    </cfRule>
  </conditionalFormatting>
  <conditionalFormatting sqref="N1:N7">
    <cfRule type="cellIs" dxfId="45" priority="29" operator="equal">
      <formula>"PU-2/150M"</formula>
    </cfRule>
  </conditionalFormatting>
  <conditionalFormatting sqref="N12:N17">
    <cfRule type="cellIs" dxfId="44" priority="20" operator="equal">
      <formula>"PU-2/150M"</formula>
    </cfRule>
  </conditionalFormatting>
  <conditionalFormatting sqref="O1">
    <cfRule type="cellIs" dxfId="43" priority="42" operator="equal">
      <formula>"C"</formula>
    </cfRule>
    <cfRule type="cellIs" dxfId="42" priority="43" operator="equal">
      <formula>"A"</formula>
    </cfRule>
  </conditionalFormatting>
  <conditionalFormatting sqref="R1">
    <cfRule type="cellIs" dxfId="41" priority="40" operator="equal">
      <formula>"220 EP"</formula>
    </cfRule>
  </conditionalFormatting>
  <conditionalFormatting sqref="R2:R5">
    <cfRule type="cellIs" dxfId="40" priority="32" operator="equal">
      <formula>"CM32"</formula>
    </cfRule>
  </conditionalFormatting>
  <conditionalFormatting sqref="R7:R13">
    <cfRule type="cellIs" dxfId="39" priority="28" operator="equal">
      <formula>"CM32"</formula>
    </cfRule>
  </conditionalFormatting>
  <conditionalFormatting sqref="S1:S5">
    <cfRule type="cellIs" dxfId="38" priority="46" operator="equal">
      <formula>"CM32"</formula>
    </cfRule>
  </conditionalFormatting>
  <conditionalFormatting sqref="S7:S19">
    <cfRule type="cellIs" dxfId="37" priority="2" operator="equal">
      <formula>"CM32"</formula>
    </cfRule>
  </conditionalFormatting>
  <conditionalFormatting sqref="U1:V19">
    <cfRule type="cellIs" dxfId="36" priority="4" operator="equal">
      <formula>"220 EP"</formula>
    </cfRule>
  </conditionalFormatting>
  <conditionalFormatting sqref="Z12:Z13">
    <cfRule type="cellIs" dxfId="35" priority="23" operator="equal">
      <formula>"C"</formula>
    </cfRule>
    <cfRule type="cellIs" dxfId="34" priority="24" operator="equal">
      <formula>"A"</formula>
    </cfRule>
    <cfRule type="cellIs" dxfId="33" priority="25" operator="equal">
      <formula>"RS-460"</formula>
    </cfRule>
  </conditionalFormatting>
  <conditionalFormatting sqref="Z14:Z17">
    <cfRule type="cellIs" dxfId="32" priority="21" operator="equal">
      <formula>"RM 220"</formula>
    </cfRule>
  </conditionalFormatting>
  <conditionalFormatting sqref="Z18:AC19">
    <cfRule type="cellIs" dxfId="31" priority="3" operator="equal">
      <formula>"RM 220"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50DE6-6186-4053-B904-2636CA0DC653}">
  <dimension ref="A1:B3"/>
  <sheetViews>
    <sheetView workbookViewId="0">
      <selection activeCell="M27" sqref="M27"/>
    </sheetView>
  </sheetViews>
  <sheetFormatPr defaultRowHeight="15" x14ac:dyDescent="0.25"/>
  <sheetData>
    <row r="1" spans="1:2" x14ac:dyDescent="0.25">
      <c r="A1" t="s">
        <v>1275</v>
      </c>
      <c r="B1">
        <v>116</v>
      </c>
    </row>
    <row r="2" spans="1:2" x14ac:dyDescent="0.25">
      <c r="A2" t="s">
        <v>1276</v>
      </c>
      <c r="B2">
        <v>61</v>
      </c>
    </row>
    <row r="3" spans="1:2" x14ac:dyDescent="0.25">
      <c r="A3" t="s">
        <v>1277</v>
      </c>
      <c r="B3">
        <f>SUM(B1:B2)</f>
        <v>177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0789-C812-421B-A978-C88C7B4EE0FB}">
  <sheetPr filterMode="1"/>
  <dimension ref="A1:J297"/>
  <sheetViews>
    <sheetView topLeftCell="A3" zoomScale="84" zoomScaleNormal="84" workbookViewId="0">
      <selection activeCell="D20" sqref="D20"/>
    </sheetView>
  </sheetViews>
  <sheetFormatPr defaultRowHeight="15" x14ac:dyDescent="0.25"/>
  <cols>
    <col min="1" max="1" width="4.85546875" bestFit="1" customWidth="1"/>
    <col min="2" max="2" width="17.5703125" bestFit="1" customWidth="1"/>
    <col min="3" max="3" width="27" bestFit="1" customWidth="1"/>
    <col min="4" max="4" width="55" bestFit="1" customWidth="1"/>
    <col min="5" max="5" width="21.85546875" customWidth="1"/>
    <col min="6" max="6" width="17.140625" customWidth="1"/>
    <col min="7" max="7" width="27.85546875" customWidth="1"/>
    <col min="8" max="8" width="12.85546875" bestFit="1" customWidth="1"/>
    <col min="9" max="9" width="18.42578125" customWidth="1"/>
    <col min="10" max="10" width="12.85546875" customWidth="1"/>
  </cols>
  <sheetData>
    <row r="1" spans="1:10" ht="16.5" thickBot="1" x14ac:dyDescent="0.3">
      <c r="A1" s="191" t="s">
        <v>994</v>
      </c>
      <c r="B1" s="192"/>
      <c r="C1" s="192"/>
      <c r="D1" s="192"/>
      <c r="E1" s="192"/>
      <c r="F1" s="192"/>
      <c r="G1" s="192"/>
      <c r="H1" s="192"/>
      <c r="I1" s="192"/>
      <c r="J1" s="193"/>
    </row>
    <row r="2" spans="1:10" ht="16.5" customHeight="1" thickBot="1" x14ac:dyDescent="0.3">
      <c r="A2" s="174"/>
      <c r="B2" s="175"/>
      <c r="C2" s="175"/>
      <c r="D2" s="194" t="s">
        <v>991</v>
      </c>
      <c r="E2" s="195"/>
      <c r="F2" s="195"/>
      <c r="G2" s="195"/>
      <c r="H2" s="195"/>
      <c r="I2" s="195"/>
      <c r="J2" s="196"/>
    </row>
    <row r="3" spans="1:10" ht="32.25" thickTop="1" x14ac:dyDescent="0.25">
      <c r="A3" s="5" t="s">
        <v>0</v>
      </c>
      <c r="B3" s="5" t="s">
        <v>130</v>
      </c>
      <c r="C3" s="17" t="s">
        <v>131</v>
      </c>
      <c r="D3" s="84" t="s">
        <v>992</v>
      </c>
      <c r="E3" s="82" t="s">
        <v>993</v>
      </c>
      <c r="F3" s="82" t="s">
        <v>989</v>
      </c>
      <c r="G3" s="82" t="s">
        <v>323</v>
      </c>
      <c r="H3" s="83" t="s">
        <v>990</v>
      </c>
      <c r="I3" s="83" t="s">
        <v>1008</v>
      </c>
      <c r="J3" s="85" t="s">
        <v>2</v>
      </c>
    </row>
    <row r="4" spans="1:10" ht="15.75" hidden="1" x14ac:dyDescent="0.25">
      <c r="A4" s="3">
        <v>1</v>
      </c>
      <c r="B4" s="3" t="s">
        <v>996</v>
      </c>
      <c r="C4" s="9" t="s">
        <v>995</v>
      </c>
      <c r="D4" s="34" t="s">
        <v>998</v>
      </c>
      <c r="E4" s="11" t="s">
        <v>1034</v>
      </c>
      <c r="F4" s="86" t="s">
        <v>111</v>
      </c>
      <c r="G4" s="34">
        <v>20016373</v>
      </c>
      <c r="H4" s="87" t="s">
        <v>1006</v>
      </c>
      <c r="I4" s="87" t="s">
        <v>109</v>
      </c>
      <c r="J4" s="88" t="s">
        <v>288</v>
      </c>
    </row>
    <row r="5" spans="1:10" ht="15.75" hidden="1" x14ac:dyDescent="0.25">
      <c r="A5" s="3">
        <v>1</v>
      </c>
      <c r="B5" s="3" t="s">
        <v>996</v>
      </c>
      <c r="C5" s="9" t="s">
        <v>995</v>
      </c>
      <c r="D5" s="34" t="s">
        <v>999</v>
      </c>
      <c r="E5" s="11" t="s">
        <v>1035</v>
      </c>
      <c r="F5" s="86" t="s">
        <v>111</v>
      </c>
      <c r="G5" s="34">
        <v>20016373</v>
      </c>
      <c r="H5" s="87" t="s">
        <v>1006</v>
      </c>
      <c r="I5" s="87" t="s">
        <v>109</v>
      </c>
      <c r="J5" s="88" t="s">
        <v>288</v>
      </c>
    </row>
    <row r="6" spans="1:10" ht="15.75" hidden="1" x14ac:dyDescent="0.25">
      <c r="A6" s="3">
        <v>1</v>
      </c>
      <c r="B6" s="3" t="s">
        <v>996</v>
      </c>
      <c r="C6" s="9" t="s">
        <v>995</v>
      </c>
      <c r="D6" s="34" t="s">
        <v>1001</v>
      </c>
      <c r="E6" s="11" t="s">
        <v>1036</v>
      </c>
      <c r="F6" s="86" t="s">
        <v>111</v>
      </c>
      <c r="G6" s="34">
        <v>20016373</v>
      </c>
      <c r="H6" s="87" t="s">
        <v>1006</v>
      </c>
      <c r="I6" s="87" t="s">
        <v>109</v>
      </c>
      <c r="J6" s="88" t="s">
        <v>288</v>
      </c>
    </row>
    <row r="7" spans="1:10" ht="15.75" hidden="1" x14ac:dyDescent="0.25">
      <c r="A7" s="3">
        <v>1</v>
      </c>
      <c r="B7" s="3" t="s">
        <v>996</v>
      </c>
      <c r="C7" s="9" t="s">
        <v>995</v>
      </c>
      <c r="D7" s="34" t="s">
        <v>1000</v>
      </c>
      <c r="E7" s="11" t="s">
        <v>1037</v>
      </c>
      <c r="F7" s="86" t="s">
        <v>111</v>
      </c>
      <c r="G7" s="34">
        <v>20016373</v>
      </c>
      <c r="H7" s="87" t="s">
        <v>1006</v>
      </c>
      <c r="I7" s="87" t="s">
        <v>109</v>
      </c>
      <c r="J7" s="88" t="s">
        <v>288</v>
      </c>
    </row>
    <row r="8" spans="1:10" ht="15.75" hidden="1" x14ac:dyDescent="0.25">
      <c r="A8" s="3">
        <v>1</v>
      </c>
      <c r="B8" s="3" t="s">
        <v>996</v>
      </c>
      <c r="C8" s="9" t="s">
        <v>995</v>
      </c>
      <c r="D8" s="34" t="s">
        <v>1002</v>
      </c>
      <c r="E8" s="11" t="s">
        <v>1038</v>
      </c>
      <c r="F8" s="86" t="s">
        <v>111</v>
      </c>
      <c r="G8" s="34">
        <v>20016373</v>
      </c>
      <c r="H8" s="87" t="s">
        <v>1006</v>
      </c>
      <c r="I8" s="87" t="s">
        <v>109</v>
      </c>
      <c r="J8" s="88" t="s">
        <v>288</v>
      </c>
    </row>
    <row r="9" spans="1:10" ht="15.75" hidden="1" x14ac:dyDescent="0.25">
      <c r="A9" s="3">
        <v>1</v>
      </c>
      <c r="B9" s="3" t="s">
        <v>996</v>
      </c>
      <c r="C9" s="9" t="s">
        <v>995</v>
      </c>
      <c r="D9" s="34" t="s">
        <v>1003</v>
      </c>
      <c r="E9" s="81" t="s">
        <v>1039</v>
      </c>
      <c r="F9" s="86" t="s">
        <v>111</v>
      </c>
      <c r="G9" s="34">
        <v>20016373</v>
      </c>
      <c r="H9" s="87" t="s">
        <v>1006</v>
      </c>
      <c r="I9" s="87" t="s">
        <v>109</v>
      </c>
      <c r="J9" s="88" t="s">
        <v>288</v>
      </c>
    </row>
    <row r="10" spans="1:10" ht="15.75" hidden="1" x14ac:dyDescent="0.25">
      <c r="A10" s="3">
        <v>1</v>
      </c>
      <c r="B10" s="3" t="s">
        <v>996</v>
      </c>
      <c r="C10" s="9" t="s">
        <v>995</v>
      </c>
      <c r="D10" s="34" t="s">
        <v>1004</v>
      </c>
      <c r="E10" s="81" t="s">
        <v>1040</v>
      </c>
      <c r="F10" s="86" t="s">
        <v>111</v>
      </c>
      <c r="G10" s="34">
        <v>20016373</v>
      </c>
      <c r="H10" s="87" t="s">
        <v>1006</v>
      </c>
      <c r="I10" s="87" t="s">
        <v>109</v>
      </c>
      <c r="J10" s="88" t="s">
        <v>288</v>
      </c>
    </row>
    <row r="11" spans="1:10" ht="15.75" hidden="1" x14ac:dyDescent="0.25">
      <c r="A11" s="3">
        <v>1</v>
      </c>
      <c r="B11" s="3" t="s">
        <v>996</v>
      </c>
      <c r="C11" s="9" t="s">
        <v>995</v>
      </c>
      <c r="D11" s="34" t="s">
        <v>1005</v>
      </c>
      <c r="E11" s="81" t="s">
        <v>1041</v>
      </c>
      <c r="F11" s="86" t="s">
        <v>111</v>
      </c>
      <c r="G11" s="34">
        <v>20016373</v>
      </c>
      <c r="H11" s="87" t="s">
        <v>1006</v>
      </c>
      <c r="I11" s="87" t="s">
        <v>109</v>
      </c>
      <c r="J11" s="88" t="s">
        <v>288</v>
      </c>
    </row>
    <row r="12" spans="1:10" ht="15.75" hidden="1" x14ac:dyDescent="0.25">
      <c r="A12" s="3">
        <v>1</v>
      </c>
      <c r="B12" s="3" t="s">
        <v>996</v>
      </c>
      <c r="C12" s="9" t="s">
        <v>995</v>
      </c>
      <c r="D12" s="39" t="s">
        <v>1042</v>
      </c>
      <c r="E12" s="81"/>
      <c r="F12" s="2" t="s">
        <v>1043</v>
      </c>
      <c r="G12" s="34">
        <v>20016490</v>
      </c>
      <c r="H12" s="87" t="s">
        <v>1007</v>
      </c>
      <c r="I12" s="87">
        <v>1</v>
      </c>
      <c r="J12" s="88" t="s">
        <v>288</v>
      </c>
    </row>
    <row r="13" spans="1:10" ht="15.75" hidden="1" x14ac:dyDescent="0.25">
      <c r="A13" s="3">
        <v>1</v>
      </c>
      <c r="B13" s="3" t="s">
        <v>996</v>
      </c>
      <c r="C13" s="9" t="s">
        <v>995</v>
      </c>
      <c r="D13" s="39" t="s">
        <v>1042</v>
      </c>
      <c r="E13" s="11"/>
      <c r="F13" s="2" t="s">
        <v>1043</v>
      </c>
      <c r="G13" s="34">
        <v>20016490</v>
      </c>
      <c r="H13" s="87" t="s">
        <v>1007</v>
      </c>
      <c r="I13" s="87">
        <v>1</v>
      </c>
      <c r="J13" s="88" t="s">
        <v>288</v>
      </c>
    </row>
    <row r="14" spans="1:10" ht="15.75" hidden="1" x14ac:dyDescent="0.25">
      <c r="A14" s="3">
        <v>1</v>
      </c>
      <c r="B14" s="3" t="s">
        <v>996</v>
      </c>
      <c r="C14" s="9" t="s">
        <v>995</v>
      </c>
      <c r="D14" s="34" t="s">
        <v>1010</v>
      </c>
      <c r="E14" s="11" t="s">
        <v>1022</v>
      </c>
      <c r="F14" s="2" t="s">
        <v>1043</v>
      </c>
      <c r="G14" s="34">
        <v>20016490</v>
      </c>
      <c r="H14" s="87" t="s">
        <v>1007</v>
      </c>
      <c r="I14" s="87">
        <v>1</v>
      </c>
      <c r="J14" s="88" t="s">
        <v>288</v>
      </c>
    </row>
    <row r="15" spans="1:10" ht="15.75" hidden="1" x14ac:dyDescent="0.25">
      <c r="A15" s="3">
        <v>1</v>
      </c>
      <c r="B15" s="3" t="s">
        <v>996</v>
      </c>
      <c r="C15" s="9" t="s">
        <v>995</v>
      </c>
      <c r="D15" s="34" t="s">
        <v>1011</v>
      </c>
      <c r="E15" s="11" t="s">
        <v>1023</v>
      </c>
      <c r="F15" s="2" t="s">
        <v>1043</v>
      </c>
      <c r="G15" s="34">
        <v>20016490</v>
      </c>
      <c r="H15" s="87" t="s">
        <v>1007</v>
      </c>
      <c r="I15" s="87">
        <v>1</v>
      </c>
      <c r="J15" s="88" t="s">
        <v>288</v>
      </c>
    </row>
    <row r="16" spans="1:10" ht="15.75" hidden="1" x14ac:dyDescent="0.25">
      <c r="A16" s="3">
        <v>1</v>
      </c>
      <c r="B16" s="3" t="s">
        <v>996</v>
      </c>
      <c r="C16" s="9" t="s">
        <v>995</v>
      </c>
      <c r="D16" s="34" t="s">
        <v>1012</v>
      </c>
      <c r="E16" s="11" t="s">
        <v>1024</v>
      </c>
      <c r="F16" s="2" t="s">
        <v>1043</v>
      </c>
      <c r="G16" s="34">
        <v>20016490</v>
      </c>
      <c r="H16" s="87" t="s">
        <v>1007</v>
      </c>
      <c r="I16" s="87">
        <v>1</v>
      </c>
      <c r="J16" s="88" t="s">
        <v>288</v>
      </c>
    </row>
    <row r="17" spans="1:10" ht="15.75" hidden="1" x14ac:dyDescent="0.25">
      <c r="A17" s="3">
        <v>1</v>
      </c>
      <c r="B17" s="3" t="s">
        <v>996</v>
      </c>
      <c r="C17" s="9" t="s">
        <v>995</v>
      </c>
      <c r="D17" s="34" t="s">
        <v>1013</v>
      </c>
      <c r="E17" s="11" t="s">
        <v>1025</v>
      </c>
      <c r="F17" s="2" t="s">
        <v>1043</v>
      </c>
      <c r="G17" s="34">
        <v>20016490</v>
      </c>
      <c r="H17" s="87" t="s">
        <v>1007</v>
      </c>
      <c r="I17" s="87">
        <v>1</v>
      </c>
      <c r="J17" s="88" t="s">
        <v>288</v>
      </c>
    </row>
    <row r="18" spans="1:10" ht="15.75" hidden="1" x14ac:dyDescent="0.25">
      <c r="A18" s="3">
        <v>1</v>
      </c>
      <c r="B18" s="3" t="s">
        <v>996</v>
      </c>
      <c r="C18" s="9" t="s">
        <v>995</v>
      </c>
      <c r="D18" s="34" t="s">
        <v>1014</v>
      </c>
      <c r="E18" s="11" t="s">
        <v>1026</v>
      </c>
      <c r="F18" s="2" t="s">
        <v>1043</v>
      </c>
      <c r="G18" s="34">
        <v>20016490</v>
      </c>
      <c r="H18" s="87" t="s">
        <v>1007</v>
      </c>
      <c r="I18" s="87">
        <v>1</v>
      </c>
      <c r="J18" s="88" t="s">
        <v>288</v>
      </c>
    </row>
    <row r="19" spans="1:10" ht="15.75" hidden="1" x14ac:dyDescent="0.25">
      <c r="A19" s="3">
        <v>1</v>
      </c>
      <c r="B19" s="3" t="s">
        <v>996</v>
      </c>
      <c r="C19" s="9" t="s">
        <v>995</v>
      </c>
      <c r="D19" s="34" t="s">
        <v>1015</v>
      </c>
      <c r="E19" s="11" t="s">
        <v>1027</v>
      </c>
      <c r="F19" s="2" t="s">
        <v>1043</v>
      </c>
      <c r="G19" s="34">
        <v>20016490</v>
      </c>
      <c r="H19" s="87" t="s">
        <v>1007</v>
      </c>
      <c r="I19" s="87">
        <v>1</v>
      </c>
      <c r="J19" s="88" t="s">
        <v>288</v>
      </c>
    </row>
    <row r="20" spans="1:10" ht="15.75" hidden="1" x14ac:dyDescent="0.25">
      <c r="A20" s="3">
        <v>1</v>
      </c>
      <c r="B20" s="3" t="s">
        <v>996</v>
      </c>
      <c r="C20" s="9" t="s">
        <v>995</v>
      </c>
      <c r="D20" s="34" t="s">
        <v>1016</v>
      </c>
      <c r="E20" s="11" t="s">
        <v>1028</v>
      </c>
      <c r="F20" s="2" t="s">
        <v>1043</v>
      </c>
      <c r="G20" s="34">
        <v>20016490</v>
      </c>
      <c r="H20" s="87" t="s">
        <v>1007</v>
      </c>
      <c r="I20" s="87">
        <v>1</v>
      </c>
      <c r="J20" s="88" t="s">
        <v>288</v>
      </c>
    </row>
    <row r="21" spans="1:10" ht="15.75" hidden="1" x14ac:dyDescent="0.25">
      <c r="A21" s="3">
        <v>1</v>
      </c>
      <c r="B21" s="3" t="s">
        <v>996</v>
      </c>
      <c r="C21" s="9" t="s">
        <v>995</v>
      </c>
      <c r="D21" s="34" t="s">
        <v>1017</v>
      </c>
      <c r="E21" s="11" t="s">
        <v>1029</v>
      </c>
      <c r="F21" s="2" t="s">
        <v>1043</v>
      </c>
      <c r="G21" s="34">
        <v>20016490</v>
      </c>
      <c r="H21" s="87" t="s">
        <v>1007</v>
      </c>
      <c r="I21" s="87">
        <v>1</v>
      </c>
      <c r="J21" s="88" t="s">
        <v>288</v>
      </c>
    </row>
    <row r="22" spans="1:10" ht="15.75" hidden="1" x14ac:dyDescent="0.25">
      <c r="A22" s="3">
        <v>1</v>
      </c>
      <c r="B22" s="3" t="s">
        <v>996</v>
      </c>
      <c r="C22" s="9" t="s">
        <v>995</v>
      </c>
      <c r="D22" s="34" t="s">
        <v>1018</v>
      </c>
      <c r="E22" s="11" t="s">
        <v>1030</v>
      </c>
      <c r="F22" s="2" t="s">
        <v>1043</v>
      </c>
      <c r="G22" s="34">
        <v>20016490</v>
      </c>
      <c r="H22" s="87" t="s">
        <v>1007</v>
      </c>
      <c r="I22" s="87">
        <v>1</v>
      </c>
      <c r="J22" s="88" t="s">
        <v>288</v>
      </c>
    </row>
    <row r="23" spans="1:10" ht="15.75" hidden="1" x14ac:dyDescent="0.25">
      <c r="A23" s="3">
        <v>1</v>
      </c>
      <c r="B23" s="3" t="s">
        <v>996</v>
      </c>
      <c r="C23" s="9" t="s">
        <v>995</v>
      </c>
      <c r="D23" s="34" t="s">
        <v>1019</v>
      </c>
      <c r="E23" s="11" t="s">
        <v>1031</v>
      </c>
      <c r="F23" s="2" t="s">
        <v>1043</v>
      </c>
      <c r="G23" s="34">
        <v>20016490</v>
      </c>
      <c r="H23" s="87" t="s">
        <v>1007</v>
      </c>
      <c r="I23" s="87">
        <v>1</v>
      </c>
      <c r="J23" s="88" t="s">
        <v>288</v>
      </c>
    </row>
    <row r="24" spans="1:10" ht="15.75" hidden="1" x14ac:dyDescent="0.25">
      <c r="A24" s="3">
        <v>1</v>
      </c>
      <c r="B24" s="3" t="s">
        <v>996</v>
      </c>
      <c r="C24" s="9" t="s">
        <v>995</v>
      </c>
      <c r="D24" s="34" t="s">
        <v>1020</v>
      </c>
      <c r="E24" s="11" t="s">
        <v>1032</v>
      </c>
      <c r="F24" s="2" t="s">
        <v>1043</v>
      </c>
      <c r="G24" s="34">
        <v>20016490</v>
      </c>
      <c r="H24" s="87" t="s">
        <v>1007</v>
      </c>
      <c r="I24" s="87">
        <v>1</v>
      </c>
      <c r="J24" s="88" t="s">
        <v>288</v>
      </c>
    </row>
    <row r="25" spans="1:10" ht="15.75" hidden="1" x14ac:dyDescent="0.25">
      <c r="A25" s="3">
        <v>1</v>
      </c>
      <c r="B25" s="3" t="s">
        <v>996</v>
      </c>
      <c r="C25" s="9" t="s">
        <v>995</v>
      </c>
      <c r="D25" s="34" t="s">
        <v>1021</v>
      </c>
      <c r="E25" s="11" t="s">
        <v>1033</v>
      </c>
      <c r="F25" s="2" t="s">
        <v>1043</v>
      </c>
      <c r="G25" s="34">
        <v>20016490</v>
      </c>
      <c r="H25" s="87" t="s">
        <v>1007</v>
      </c>
      <c r="I25" s="87">
        <v>1</v>
      </c>
      <c r="J25" s="88" t="s">
        <v>288</v>
      </c>
    </row>
    <row r="26" spans="1:10" ht="15.75" hidden="1" x14ac:dyDescent="0.25">
      <c r="A26" s="3">
        <v>1</v>
      </c>
      <c r="B26" s="3" t="s">
        <v>996</v>
      </c>
      <c r="C26" s="9" t="s">
        <v>995</v>
      </c>
      <c r="D26" s="34" t="s">
        <v>1009</v>
      </c>
      <c r="E26" s="11"/>
      <c r="F26" s="2" t="s">
        <v>1043</v>
      </c>
      <c r="G26" s="34">
        <v>20016490</v>
      </c>
      <c r="H26" s="87" t="s">
        <v>124</v>
      </c>
      <c r="I26" s="87">
        <v>2</v>
      </c>
      <c r="J26" s="88" t="s">
        <v>288</v>
      </c>
    </row>
    <row r="27" spans="1:10" ht="15.75" hidden="1" x14ac:dyDescent="0.25">
      <c r="A27" s="3">
        <v>1</v>
      </c>
      <c r="B27" s="3" t="s">
        <v>996</v>
      </c>
      <c r="C27" s="9" t="s">
        <v>995</v>
      </c>
      <c r="D27" s="34" t="s">
        <v>1009</v>
      </c>
      <c r="E27" s="11"/>
      <c r="F27" s="2" t="s">
        <v>1043</v>
      </c>
      <c r="G27" s="34">
        <v>20016490</v>
      </c>
      <c r="H27" s="87" t="s">
        <v>124</v>
      </c>
      <c r="I27" s="87">
        <v>2</v>
      </c>
      <c r="J27" s="88" t="s">
        <v>288</v>
      </c>
    </row>
    <row r="28" spans="1:10" ht="15.75" hidden="1" x14ac:dyDescent="0.25">
      <c r="A28" s="3">
        <v>1</v>
      </c>
      <c r="B28" s="3" t="s">
        <v>996</v>
      </c>
      <c r="C28" s="9" t="s">
        <v>995</v>
      </c>
      <c r="D28" s="34" t="s">
        <v>1051</v>
      </c>
      <c r="E28" s="11" t="s">
        <v>1052</v>
      </c>
      <c r="F28" s="2" t="s">
        <v>1043</v>
      </c>
      <c r="G28" s="34">
        <v>20016490</v>
      </c>
      <c r="H28" s="87" t="s">
        <v>1045</v>
      </c>
      <c r="I28" s="87">
        <v>2</v>
      </c>
      <c r="J28" s="88" t="s">
        <v>288</v>
      </c>
    </row>
    <row r="29" spans="1:10" ht="15.75" hidden="1" x14ac:dyDescent="0.25">
      <c r="A29" s="3">
        <v>1</v>
      </c>
      <c r="B29" s="3" t="s">
        <v>996</v>
      </c>
      <c r="C29" s="9" t="s">
        <v>995</v>
      </c>
      <c r="D29" s="34" t="s">
        <v>1055</v>
      </c>
      <c r="E29" s="11" t="s">
        <v>1056</v>
      </c>
      <c r="F29" s="2" t="s">
        <v>1043</v>
      </c>
      <c r="G29" s="34">
        <v>20016490</v>
      </c>
      <c r="H29" s="87" t="s">
        <v>1045</v>
      </c>
      <c r="I29" s="87">
        <v>2</v>
      </c>
      <c r="J29" s="88" t="s">
        <v>288</v>
      </c>
    </row>
    <row r="30" spans="1:10" ht="15.75" hidden="1" x14ac:dyDescent="0.25">
      <c r="A30" s="3">
        <v>1</v>
      </c>
      <c r="B30" s="3" t="s">
        <v>996</v>
      </c>
      <c r="C30" s="9" t="s">
        <v>995</v>
      </c>
      <c r="D30" s="34" t="s">
        <v>1059</v>
      </c>
      <c r="E30" s="11" t="s">
        <v>1060</v>
      </c>
      <c r="F30" s="2" t="s">
        <v>1043</v>
      </c>
      <c r="G30" s="34">
        <v>20016490</v>
      </c>
      <c r="H30" s="87" t="s">
        <v>1045</v>
      </c>
      <c r="I30" s="87">
        <v>2</v>
      </c>
      <c r="J30" s="88" t="s">
        <v>288</v>
      </c>
    </row>
    <row r="31" spans="1:10" ht="15.75" hidden="1" x14ac:dyDescent="0.25">
      <c r="A31" s="3">
        <v>1</v>
      </c>
      <c r="B31" s="3" t="s">
        <v>996</v>
      </c>
      <c r="C31" s="9" t="s">
        <v>995</v>
      </c>
      <c r="D31" s="34" t="s">
        <v>1061</v>
      </c>
      <c r="E31" s="11" t="s">
        <v>1062</v>
      </c>
      <c r="F31" s="2" t="s">
        <v>1043</v>
      </c>
      <c r="G31" s="34">
        <v>20016490</v>
      </c>
      <c r="H31" s="87" t="s">
        <v>1045</v>
      </c>
      <c r="I31" s="87">
        <v>2</v>
      </c>
      <c r="J31" s="88" t="s">
        <v>288</v>
      </c>
    </row>
    <row r="32" spans="1:10" ht="15.75" hidden="1" x14ac:dyDescent="0.25">
      <c r="A32" s="3">
        <v>1</v>
      </c>
      <c r="B32" s="3" t="s">
        <v>996</v>
      </c>
      <c r="C32" s="9" t="s">
        <v>995</v>
      </c>
      <c r="D32" s="34" t="s">
        <v>1054</v>
      </c>
      <c r="E32" s="11" t="s">
        <v>1053</v>
      </c>
      <c r="F32" s="89" t="s">
        <v>1044</v>
      </c>
      <c r="G32" s="4" t="s">
        <v>109</v>
      </c>
      <c r="H32" s="87" t="s">
        <v>1046</v>
      </c>
      <c r="I32" s="87" t="s">
        <v>109</v>
      </c>
      <c r="J32" s="88" t="s">
        <v>288</v>
      </c>
    </row>
    <row r="33" spans="1:10" ht="15.75" hidden="1" x14ac:dyDescent="0.25">
      <c r="A33" s="3">
        <v>1</v>
      </c>
      <c r="B33" s="3" t="s">
        <v>996</v>
      </c>
      <c r="C33" s="9" t="s">
        <v>995</v>
      </c>
      <c r="D33" s="34" t="s">
        <v>1058</v>
      </c>
      <c r="E33" s="11" t="s">
        <v>1057</v>
      </c>
      <c r="F33" s="90" t="s">
        <v>1044</v>
      </c>
      <c r="G33" s="4" t="s">
        <v>109</v>
      </c>
      <c r="H33" s="87" t="s">
        <v>1046</v>
      </c>
      <c r="I33" s="87" t="s">
        <v>109</v>
      </c>
      <c r="J33" s="88" t="s">
        <v>288</v>
      </c>
    </row>
    <row r="34" spans="1:10" ht="15.75" hidden="1" x14ac:dyDescent="0.25">
      <c r="A34" s="3">
        <v>1</v>
      </c>
      <c r="B34" s="3" t="s">
        <v>996</v>
      </c>
      <c r="C34" s="9" t="s">
        <v>995</v>
      </c>
      <c r="D34" s="34" t="s">
        <v>1063</v>
      </c>
      <c r="E34" s="11" t="s">
        <v>1064</v>
      </c>
      <c r="F34" s="92" t="s">
        <v>1044</v>
      </c>
      <c r="G34" s="4" t="s">
        <v>109</v>
      </c>
      <c r="H34" s="87" t="s">
        <v>1046</v>
      </c>
      <c r="I34" s="87" t="s">
        <v>109</v>
      </c>
      <c r="J34" s="88" t="s">
        <v>288</v>
      </c>
    </row>
    <row r="35" spans="1:10" ht="15.75" hidden="1" x14ac:dyDescent="0.25">
      <c r="A35" s="3">
        <v>1</v>
      </c>
      <c r="B35" s="3" t="s">
        <v>996</v>
      </c>
      <c r="C35" s="9" t="s">
        <v>995</v>
      </c>
      <c r="D35" s="34" t="s">
        <v>1065</v>
      </c>
      <c r="E35" s="11" t="s">
        <v>1066</v>
      </c>
      <c r="F35" s="91" t="s">
        <v>1044</v>
      </c>
      <c r="G35" s="4" t="s">
        <v>109</v>
      </c>
      <c r="H35" s="87" t="s">
        <v>1046</v>
      </c>
      <c r="I35" s="87" t="s">
        <v>109</v>
      </c>
      <c r="J35" s="88" t="s">
        <v>288</v>
      </c>
    </row>
    <row r="36" spans="1:10" ht="15.75" hidden="1" x14ac:dyDescent="0.25">
      <c r="A36" s="3">
        <v>1</v>
      </c>
      <c r="B36" s="3" t="s">
        <v>996</v>
      </c>
      <c r="C36" s="9" t="s">
        <v>995</v>
      </c>
      <c r="D36" s="34" t="s">
        <v>1050</v>
      </c>
      <c r="E36" s="11"/>
      <c r="F36" s="2" t="s">
        <v>1043</v>
      </c>
      <c r="G36" s="34">
        <v>20016490</v>
      </c>
      <c r="H36" s="87" t="s">
        <v>1007</v>
      </c>
      <c r="I36" s="87">
        <v>1</v>
      </c>
      <c r="J36" s="88" t="s">
        <v>288</v>
      </c>
    </row>
    <row r="37" spans="1:10" ht="15.75" hidden="1" x14ac:dyDescent="0.25">
      <c r="A37" s="3">
        <v>1</v>
      </c>
      <c r="B37" s="3" t="s">
        <v>12</v>
      </c>
      <c r="C37" s="9" t="s">
        <v>1047</v>
      </c>
      <c r="D37" s="34" t="s">
        <v>1048</v>
      </c>
      <c r="E37" s="11"/>
      <c r="F37" s="2" t="s">
        <v>1043</v>
      </c>
      <c r="G37" s="34">
        <v>20016490</v>
      </c>
      <c r="H37" s="87" t="s">
        <v>1049</v>
      </c>
      <c r="I37" s="87">
        <v>3</v>
      </c>
      <c r="J37" s="88" t="s">
        <v>288</v>
      </c>
    </row>
    <row r="38" spans="1:10" ht="15.75" hidden="1" x14ac:dyDescent="0.25">
      <c r="A38" s="3">
        <v>1</v>
      </c>
      <c r="B38" s="3" t="s">
        <v>12</v>
      </c>
      <c r="C38" s="9" t="s">
        <v>1047</v>
      </c>
      <c r="D38" s="34" t="s">
        <v>1048</v>
      </c>
      <c r="E38" s="11"/>
      <c r="F38" s="2" t="s">
        <v>1043</v>
      </c>
      <c r="G38" s="34">
        <v>20016490</v>
      </c>
      <c r="H38" s="87" t="s">
        <v>1049</v>
      </c>
      <c r="I38" s="87">
        <v>3</v>
      </c>
      <c r="J38" s="88" t="s">
        <v>288</v>
      </c>
    </row>
    <row r="39" spans="1:10" ht="15.75" hidden="1" x14ac:dyDescent="0.25">
      <c r="A39" s="3">
        <v>1</v>
      </c>
      <c r="B39" s="3" t="s">
        <v>997</v>
      </c>
      <c r="C39" s="9" t="s">
        <v>1067</v>
      </c>
      <c r="D39" s="34" t="s">
        <v>998</v>
      </c>
      <c r="E39" s="11" t="s">
        <v>1068</v>
      </c>
      <c r="F39" s="86" t="s">
        <v>111</v>
      </c>
      <c r="G39" s="34">
        <v>20016373</v>
      </c>
      <c r="H39" s="87" t="s">
        <v>1006</v>
      </c>
      <c r="I39" s="87" t="s">
        <v>109</v>
      </c>
      <c r="J39" s="88" t="s">
        <v>288</v>
      </c>
    </row>
    <row r="40" spans="1:10" ht="15.75" hidden="1" x14ac:dyDescent="0.25">
      <c r="A40" s="3">
        <v>1</v>
      </c>
      <c r="B40" s="3" t="s">
        <v>997</v>
      </c>
      <c r="C40" s="9" t="s">
        <v>1067</v>
      </c>
      <c r="D40" s="34" t="s">
        <v>999</v>
      </c>
      <c r="E40" s="11" t="s">
        <v>1069</v>
      </c>
      <c r="F40" s="86" t="s">
        <v>111</v>
      </c>
      <c r="G40" s="34">
        <v>20016373</v>
      </c>
      <c r="H40" s="87" t="s">
        <v>1006</v>
      </c>
      <c r="I40" s="87" t="s">
        <v>109</v>
      </c>
      <c r="J40" s="88" t="s">
        <v>288</v>
      </c>
    </row>
    <row r="41" spans="1:10" ht="15.75" hidden="1" x14ac:dyDescent="0.25">
      <c r="A41" s="3">
        <v>1</v>
      </c>
      <c r="B41" s="3" t="s">
        <v>997</v>
      </c>
      <c r="C41" s="9" t="s">
        <v>1067</v>
      </c>
      <c r="D41" s="34" t="s">
        <v>1001</v>
      </c>
      <c r="E41" s="11" t="s">
        <v>1070</v>
      </c>
      <c r="F41" s="86" t="s">
        <v>111</v>
      </c>
      <c r="G41" s="34">
        <v>20016373</v>
      </c>
      <c r="H41" s="87" t="s">
        <v>1006</v>
      </c>
      <c r="I41" s="87" t="s">
        <v>109</v>
      </c>
      <c r="J41" s="88" t="s">
        <v>288</v>
      </c>
    </row>
    <row r="42" spans="1:10" ht="15.75" hidden="1" x14ac:dyDescent="0.25">
      <c r="A42" s="3">
        <v>1</v>
      </c>
      <c r="B42" s="3" t="s">
        <v>997</v>
      </c>
      <c r="C42" s="9" t="s">
        <v>1067</v>
      </c>
      <c r="D42" s="34" t="s">
        <v>1002</v>
      </c>
      <c r="E42" s="11" t="s">
        <v>1071</v>
      </c>
      <c r="F42" s="86" t="s">
        <v>111</v>
      </c>
      <c r="G42" s="34">
        <v>20016373</v>
      </c>
      <c r="H42" s="87" t="s">
        <v>1006</v>
      </c>
      <c r="I42" s="87" t="s">
        <v>109</v>
      </c>
      <c r="J42" s="88" t="s">
        <v>288</v>
      </c>
    </row>
    <row r="43" spans="1:10" ht="15.75" hidden="1" x14ac:dyDescent="0.25">
      <c r="A43" s="3">
        <v>1</v>
      </c>
      <c r="B43" s="3" t="s">
        <v>997</v>
      </c>
      <c r="C43" s="9" t="s">
        <v>1067</v>
      </c>
      <c r="D43" s="34" t="s">
        <v>1003</v>
      </c>
      <c r="E43" s="11" t="s">
        <v>1072</v>
      </c>
      <c r="F43" s="86" t="s">
        <v>111</v>
      </c>
      <c r="G43" s="34">
        <v>20016373</v>
      </c>
      <c r="H43" s="87" t="s">
        <v>1006</v>
      </c>
      <c r="I43" s="87" t="s">
        <v>109</v>
      </c>
      <c r="J43" s="88" t="s">
        <v>288</v>
      </c>
    </row>
    <row r="44" spans="1:10" ht="15.75" hidden="1" x14ac:dyDescent="0.25">
      <c r="A44" s="3">
        <v>1</v>
      </c>
      <c r="B44" s="3" t="s">
        <v>997</v>
      </c>
      <c r="C44" s="9" t="s">
        <v>1067</v>
      </c>
      <c r="D44" s="34" t="s">
        <v>1004</v>
      </c>
      <c r="E44" s="11" t="s">
        <v>1073</v>
      </c>
      <c r="F44" s="86" t="s">
        <v>111</v>
      </c>
      <c r="G44" s="34">
        <v>20016373</v>
      </c>
      <c r="H44" s="87" t="s">
        <v>1006</v>
      </c>
      <c r="I44" s="87" t="s">
        <v>109</v>
      </c>
      <c r="J44" s="88" t="s">
        <v>288</v>
      </c>
    </row>
    <row r="45" spans="1:10" ht="15.75" hidden="1" x14ac:dyDescent="0.25">
      <c r="A45" s="3">
        <v>1</v>
      </c>
      <c r="B45" s="3" t="s">
        <v>997</v>
      </c>
      <c r="C45" s="9" t="s">
        <v>1067</v>
      </c>
      <c r="D45" s="39" t="s">
        <v>1042</v>
      </c>
      <c r="E45" s="11"/>
      <c r="F45" s="2" t="s">
        <v>1043</v>
      </c>
      <c r="G45" s="34">
        <v>20016490</v>
      </c>
      <c r="H45" s="87" t="s">
        <v>1007</v>
      </c>
      <c r="I45" s="87">
        <v>1</v>
      </c>
      <c r="J45" s="88" t="s">
        <v>288</v>
      </c>
    </row>
    <row r="46" spans="1:10" ht="15.75" hidden="1" x14ac:dyDescent="0.25">
      <c r="A46" s="3">
        <v>1</v>
      </c>
      <c r="B46" s="3" t="s">
        <v>997</v>
      </c>
      <c r="C46" s="9" t="s">
        <v>1067</v>
      </c>
      <c r="D46" s="39" t="s">
        <v>1042</v>
      </c>
      <c r="E46" s="11"/>
      <c r="F46" s="2" t="s">
        <v>1043</v>
      </c>
      <c r="G46" s="34">
        <v>20016490</v>
      </c>
      <c r="H46" s="87" t="s">
        <v>1007</v>
      </c>
      <c r="I46" s="87">
        <v>1</v>
      </c>
      <c r="J46" s="88" t="s">
        <v>288</v>
      </c>
    </row>
    <row r="47" spans="1:10" ht="15.75" hidden="1" x14ac:dyDescent="0.25">
      <c r="A47" s="3">
        <v>1</v>
      </c>
      <c r="B47" s="3" t="s">
        <v>997</v>
      </c>
      <c r="C47" s="9" t="s">
        <v>1067</v>
      </c>
      <c r="D47" s="34" t="s">
        <v>1074</v>
      </c>
      <c r="E47" s="11" t="s">
        <v>1076</v>
      </c>
      <c r="F47" s="2" t="s">
        <v>1043</v>
      </c>
      <c r="G47" s="34">
        <v>20016490</v>
      </c>
      <c r="H47" s="87" t="s">
        <v>1007</v>
      </c>
      <c r="I47" s="87">
        <v>1</v>
      </c>
      <c r="J47" s="88" t="s">
        <v>288</v>
      </c>
    </row>
    <row r="48" spans="1:10" ht="15.75" hidden="1" x14ac:dyDescent="0.25">
      <c r="A48" s="3">
        <v>1</v>
      </c>
      <c r="B48" s="3" t="s">
        <v>997</v>
      </c>
      <c r="C48" s="9" t="s">
        <v>1067</v>
      </c>
      <c r="D48" s="34" t="s">
        <v>1075</v>
      </c>
      <c r="E48" s="11" t="s">
        <v>1077</v>
      </c>
      <c r="F48" s="2" t="s">
        <v>1043</v>
      </c>
      <c r="G48" s="34">
        <v>20016490</v>
      </c>
      <c r="H48" s="87" t="s">
        <v>1007</v>
      </c>
      <c r="I48" s="87">
        <v>1</v>
      </c>
      <c r="J48" s="88" t="s">
        <v>288</v>
      </c>
    </row>
    <row r="49" spans="1:10" ht="15.75" hidden="1" x14ac:dyDescent="0.25">
      <c r="A49" s="3">
        <v>1</v>
      </c>
      <c r="B49" s="3" t="s">
        <v>997</v>
      </c>
      <c r="C49" s="9" t="s">
        <v>1067</v>
      </c>
      <c r="D49" s="34" t="s">
        <v>1078</v>
      </c>
      <c r="E49" s="11" t="s">
        <v>1079</v>
      </c>
      <c r="F49" s="2" t="s">
        <v>1043</v>
      </c>
      <c r="G49" s="34">
        <v>20016490</v>
      </c>
      <c r="H49" s="87" t="s">
        <v>1007</v>
      </c>
      <c r="I49" s="87">
        <v>1</v>
      </c>
      <c r="J49" s="88" t="s">
        <v>288</v>
      </c>
    </row>
    <row r="50" spans="1:10" ht="15.75" hidden="1" x14ac:dyDescent="0.25">
      <c r="A50" s="3">
        <v>1</v>
      </c>
      <c r="B50" s="3" t="s">
        <v>997</v>
      </c>
      <c r="C50" s="9" t="s">
        <v>1067</v>
      </c>
      <c r="D50" s="34" t="s">
        <v>1080</v>
      </c>
      <c r="E50" s="11" t="s">
        <v>1081</v>
      </c>
      <c r="F50" s="2" t="s">
        <v>1043</v>
      </c>
      <c r="G50" s="34">
        <v>20016490</v>
      </c>
      <c r="H50" s="87" t="s">
        <v>1007</v>
      </c>
      <c r="I50" s="87">
        <v>1</v>
      </c>
      <c r="J50" s="88" t="s">
        <v>288</v>
      </c>
    </row>
    <row r="51" spans="1:10" ht="15.75" hidden="1" x14ac:dyDescent="0.25">
      <c r="A51" s="3">
        <v>1</v>
      </c>
      <c r="B51" s="3" t="s">
        <v>997</v>
      </c>
      <c r="C51" s="9" t="s">
        <v>1067</v>
      </c>
      <c r="D51" s="34" t="s">
        <v>1082</v>
      </c>
      <c r="E51" s="11" t="s">
        <v>1083</v>
      </c>
      <c r="F51" s="2" t="s">
        <v>1043</v>
      </c>
      <c r="G51" s="34">
        <v>20016490</v>
      </c>
      <c r="H51" s="87" t="s">
        <v>1007</v>
      </c>
      <c r="I51" s="87">
        <v>1</v>
      </c>
      <c r="J51" s="88" t="s">
        <v>288</v>
      </c>
    </row>
    <row r="52" spans="1:10" ht="15.75" hidden="1" x14ac:dyDescent="0.25">
      <c r="A52" s="3">
        <v>1</v>
      </c>
      <c r="B52" s="3" t="s">
        <v>997</v>
      </c>
      <c r="C52" s="9" t="s">
        <v>1067</v>
      </c>
      <c r="D52" s="34" t="s">
        <v>1084</v>
      </c>
      <c r="E52" s="11" t="s">
        <v>1085</v>
      </c>
      <c r="F52" s="2" t="s">
        <v>1043</v>
      </c>
      <c r="G52" s="34">
        <v>20016490</v>
      </c>
      <c r="H52" s="87" t="s">
        <v>1007</v>
      </c>
      <c r="I52" s="87">
        <v>1</v>
      </c>
      <c r="J52" s="88" t="s">
        <v>288</v>
      </c>
    </row>
    <row r="53" spans="1:10" ht="15.75" hidden="1" x14ac:dyDescent="0.25">
      <c r="A53" s="3">
        <v>1</v>
      </c>
      <c r="B53" s="3" t="s">
        <v>997</v>
      </c>
      <c r="C53" s="9" t="s">
        <v>1067</v>
      </c>
      <c r="D53" s="34" t="s">
        <v>1086</v>
      </c>
      <c r="E53" s="11" t="s">
        <v>1087</v>
      </c>
      <c r="F53" s="2" t="s">
        <v>1043</v>
      </c>
      <c r="G53" s="34">
        <v>20016490</v>
      </c>
      <c r="H53" s="87" t="s">
        <v>1007</v>
      </c>
      <c r="I53" s="87">
        <v>1</v>
      </c>
      <c r="J53" s="88" t="s">
        <v>288</v>
      </c>
    </row>
    <row r="54" spans="1:10" ht="15.75" hidden="1" x14ac:dyDescent="0.25">
      <c r="A54" s="3">
        <v>1</v>
      </c>
      <c r="B54" s="3" t="s">
        <v>997</v>
      </c>
      <c r="C54" s="9" t="s">
        <v>1067</v>
      </c>
      <c r="D54" s="34" t="s">
        <v>1088</v>
      </c>
      <c r="E54" s="11" t="s">
        <v>1089</v>
      </c>
      <c r="F54" s="2" t="s">
        <v>1043</v>
      </c>
      <c r="G54" s="34">
        <v>20016490</v>
      </c>
      <c r="H54" s="87" t="s">
        <v>1007</v>
      </c>
      <c r="I54" s="87">
        <v>1</v>
      </c>
      <c r="J54" s="88" t="s">
        <v>288</v>
      </c>
    </row>
    <row r="55" spans="1:10" ht="15.75" hidden="1" x14ac:dyDescent="0.25">
      <c r="A55" s="3">
        <v>1</v>
      </c>
      <c r="B55" s="3" t="s">
        <v>997</v>
      </c>
      <c r="C55" s="9" t="s">
        <v>1067</v>
      </c>
      <c r="D55" s="34" t="s">
        <v>1090</v>
      </c>
      <c r="E55" s="11" t="s">
        <v>1091</v>
      </c>
      <c r="F55" s="2" t="s">
        <v>1043</v>
      </c>
      <c r="G55" s="34">
        <v>20016490</v>
      </c>
      <c r="H55" s="87" t="s">
        <v>1007</v>
      </c>
      <c r="I55" s="87">
        <v>1</v>
      </c>
      <c r="J55" s="88" t="s">
        <v>288</v>
      </c>
    </row>
    <row r="56" spans="1:10" ht="15.75" hidden="1" x14ac:dyDescent="0.25">
      <c r="A56" s="3">
        <v>1</v>
      </c>
      <c r="B56" s="3" t="s">
        <v>997</v>
      </c>
      <c r="C56" s="9" t="s">
        <v>1067</v>
      </c>
      <c r="D56" s="34" t="s">
        <v>1092</v>
      </c>
      <c r="E56" s="11" t="s">
        <v>1093</v>
      </c>
      <c r="F56" s="2" t="s">
        <v>1043</v>
      </c>
      <c r="G56" s="34">
        <v>20016490</v>
      </c>
      <c r="H56" s="87" t="s">
        <v>1007</v>
      </c>
      <c r="I56" s="87">
        <v>1</v>
      </c>
      <c r="J56" s="88" t="s">
        <v>288</v>
      </c>
    </row>
    <row r="57" spans="1:10" ht="15.75" hidden="1" x14ac:dyDescent="0.25">
      <c r="A57" s="3">
        <v>1</v>
      </c>
      <c r="B57" s="3" t="s">
        <v>997</v>
      </c>
      <c r="C57" s="9" t="s">
        <v>1067</v>
      </c>
      <c r="D57" s="34" t="s">
        <v>1094</v>
      </c>
      <c r="E57" s="11" t="s">
        <v>1095</v>
      </c>
      <c r="F57" s="2" t="s">
        <v>1043</v>
      </c>
      <c r="G57" s="34">
        <v>20016490</v>
      </c>
      <c r="H57" s="87" t="s">
        <v>1007</v>
      </c>
      <c r="I57" s="87">
        <v>1</v>
      </c>
      <c r="J57" s="88" t="s">
        <v>288</v>
      </c>
    </row>
    <row r="58" spans="1:10" ht="15.75" hidden="1" x14ac:dyDescent="0.25">
      <c r="A58" s="3">
        <v>1</v>
      </c>
      <c r="B58" s="3" t="s">
        <v>997</v>
      </c>
      <c r="C58" s="9" t="s">
        <v>1067</v>
      </c>
      <c r="D58" s="34" t="s">
        <v>1096</v>
      </c>
      <c r="E58" s="11" t="s">
        <v>1097</v>
      </c>
      <c r="F58" s="2" t="s">
        <v>1043</v>
      </c>
      <c r="G58" s="34">
        <v>20016490</v>
      </c>
      <c r="H58" s="87" t="s">
        <v>1007</v>
      </c>
      <c r="I58" s="87">
        <v>1</v>
      </c>
      <c r="J58" s="88" t="s">
        <v>288</v>
      </c>
    </row>
    <row r="59" spans="1:10" ht="15.75" hidden="1" x14ac:dyDescent="0.25">
      <c r="A59" s="3">
        <v>1</v>
      </c>
      <c r="B59" s="3" t="s">
        <v>997</v>
      </c>
      <c r="C59" s="9" t="s">
        <v>1067</v>
      </c>
      <c r="D59" s="34" t="s">
        <v>1009</v>
      </c>
      <c r="E59" s="11"/>
      <c r="F59" s="2" t="s">
        <v>1043</v>
      </c>
      <c r="G59" s="34">
        <v>20016490</v>
      </c>
      <c r="H59" s="87" t="s">
        <v>124</v>
      </c>
      <c r="I59" s="87">
        <v>2</v>
      </c>
      <c r="J59" s="88" t="s">
        <v>288</v>
      </c>
    </row>
    <row r="60" spans="1:10" ht="15.75" hidden="1" x14ac:dyDescent="0.25">
      <c r="A60" s="3">
        <v>1</v>
      </c>
      <c r="B60" s="3" t="s">
        <v>997</v>
      </c>
      <c r="C60" s="9" t="s">
        <v>1067</v>
      </c>
      <c r="D60" s="34" t="s">
        <v>1009</v>
      </c>
      <c r="E60" s="11"/>
      <c r="F60" s="2" t="s">
        <v>1043</v>
      </c>
      <c r="G60" s="34">
        <v>20016490</v>
      </c>
      <c r="H60" s="87" t="s">
        <v>124</v>
      </c>
      <c r="I60" s="87">
        <v>2</v>
      </c>
      <c r="J60" s="88" t="s">
        <v>288</v>
      </c>
    </row>
    <row r="61" spans="1:10" ht="15.75" hidden="1" x14ac:dyDescent="0.25">
      <c r="A61" s="3">
        <v>1</v>
      </c>
      <c r="B61" s="3" t="s">
        <v>997</v>
      </c>
      <c r="C61" s="9" t="s">
        <v>1067</v>
      </c>
      <c r="D61" s="39" t="s">
        <v>1098</v>
      </c>
      <c r="E61" s="11" t="s">
        <v>1099</v>
      </c>
      <c r="F61" s="2" t="s">
        <v>1043</v>
      </c>
      <c r="G61" s="34">
        <v>20016490</v>
      </c>
      <c r="H61" s="87" t="s">
        <v>1045</v>
      </c>
      <c r="I61" s="87">
        <v>2</v>
      </c>
      <c r="J61" s="88" t="s">
        <v>288</v>
      </c>
    </row>
    <row r="62" spans="1:10" ht="15.75" hidden="1" x14ac:dyDescent="0.25">
      <c r="A62" s="3">
        <v>1</v>
      </c>
      <c r="B62" s="3" t="s">
        <v>997</v>
      </c>
      <c r="C62" s="9" t="s">
        <v>1067</v>
      </c>
      <c r="D62" s="39" t="s">
        <v>1100</v>
      </c>
      <c r="E62" s="11" t="s">
        <v>1101</v>
      </c>
      <c r="F62" s="2" t="s">
        <v>1043</v>
      </c>
      <c r="G62" s="34">
        <v>20016490</v>
      </c>
      <c r="H62" s="87" t="s">
        <v>1045</v>
      </c>
      <c r="I62" s="87">
        <v>2</v>
      </c>
      <c r="J62" s="88" t="s">
        <v>288</v>
      </c>
    </row>
    <row r="63" spans="1:10" ht="15.75" hidden="1" x14ac:dyDescent="0.25">
      <c r="A63" s="3">
        <v>1</v>
      </c>
      <c r="B63" s="3" t="s">
        <v>997</v>
      </c>
      <c r="C63" s="9" t="s">
        <v>1067</v>
      </c>
      <c r="D63" s="34" t="s">
        <v>1102</v>
      </c>
      <c r="E63" s="11" t="s">
        <v>1103</v>
      </c>
      <c r="F63" s="2" t="s">
        <v>1043</v>
      </c>
      <c r="G63" s="34">
        <v>20016490</v>
      </c>
      <c r="H63" s="87" t="s">
        <v>1045</v>
      </c>
      <c r="I63" s="87">
        <v>2</v>
      </c>
      <c r="J63" s="88" t="s">
        <v>288</v>
      </c>
    </row>
    <row r="64" spans="1:10" ht="15.75" hidden="1" x14ac:dyDescent="0.25">
      <c r="A64" s="3">
        <v>1</v>
      </c>
      <c r="B64" s="3" t="s">
        <v>997</v>
      </c>
      <c r="C64" s="9" t="s">
        <v>1067</v>
      </c>
      <c r="D64" s="34" t="s">
        <v>1104</v>
      </c>
      <c r="E64" s="11" t="s">
        <v>1105</v>
      </c>
      <c r="F64" s="2" t="s">
        <v>1043</v>
      </c>
      <c r="G64" s="34">
        <v>20016490</v>
      </c>
      <c r="H64" s="87" t="s">
        <v>1045</v>
      </c>
      <c r="I64" s="87">
        <v>2</v>
      </c>
      <c r="J64" s="88" t="s">
        <v>288</v>
      </c>
    </row>
    <row r="65" spans="1:10" ht="15.75" hidden="1" x14ac:dyDescent="0.25">
      <c r="A65" s="3">
        <v>1</v>
      </c>
      <c r="B65" s="3" t="s">
        <v>997</v>
      </c>
      <c r="C65" s="9" t="s">
        <v>1067</v>
      </c>
      <c r="D65" s="34" t="s">
        <v>1106</v>
      </c>
      <c r="E65" s="11" t="s">
        <v>1107</v>
      </c>
      <c r="F65" s="89" t="s">
        <v>1044</v>
      </c>
      <c r="G65" s="4" t="s">
        <v>109</v>
      </c>
      <c r="H65" s="87" t="s">
        <v>1046</v>
      </c>
      <c r="I65" s="87" t="s">
        <v>109</v>
      </c>
      <c r="J65" s="88" t="s">
        <v>288</v>
      </c>
    </row>
    <row r="66" spans="1:10" ht="15.75" hidden="1" x14ac:dyDescent="0.25">
      <c r="A66" s="3">
        <v>1</v>
      </c>
      <c r="B66" s="3" t="s">
        <v>997</v>
      </c>
      <c r="C66" s="9" t="s">
        <v>1067</v>
      </c>
      <c r="D66" s="34" t="s">
        <v>1108</v>
      </c>
      <c r="E66" s="11" t="s">
        <v>1109</v>
      </c>
      <c r="F66" s="90" t="s">
        <v>1044</v>
      </c>
      <c r="G66" s="4" t="s">
        <v>109</v>
      </c>
      <c r="H66" s="87" t="s">
        <v>1046</v>
      </c>
      <c r="I66" s="87" t="s">
        <v>109</v>
      </c>
      <c r="J66" s="88" t="s">
        <v>288</v>
      </c>
    </row>
    <row r="67" spans="1:10" ht="15.75" hidden="1" x14ac:dyDescent="0.25">
      <c r="A67" s="3">
        <v>1</v>
      </c>
      <c r="B67" s="3" t="s">
        <v>997</v>
      </c>
      <c r="C67" s="9" t="s">
        <v>1067</v>
      </c>
      <c r="D67" s="34" t="s">
        <v>1110</v>
      </c>
      <c r="E67" s="11" t="s">
        <v>1111</v>
      </c>
      <c r="F67" s="92" t="s">
        <v>1044</v>
      </c>
      <c r="G67" s="4" t="s">
        <v>109</v>
      </c>
      <c r="H67" s="87" t="s">
        <v>1046</v>
      </c>
      <c r="I67" s="87" t="s">
        <v>109</v>
      </c>
      <c r="J67" s="88" t="s">
        <v>288</v>
      </c>
    </row>
    <row r="68" spans="1:10" ht="15.75" hidden="1" x14ac:dyDescent="0.25">
      <c r="A68" s="3">
        <v>1</v>
      </c>
      <c r="B68" s="3" t="s">
        <v>997</v>
      </c>
      <c r="C68" s="9" t="s">
        <v>1067</v>
      </c>
      <c r="D68" s="34" t="s">
        <v>1112</v>
      </c>
      <c r="E68" s="11" t="s">
        <v>1113</v>
      </c>
      <c r="F68" s="91" t="s">
        <v>1044</v>
      </c>
      <c r="G68" s="4" t="s">
        <v>109</v>
      </c>
      <c r="H68" s="87" t="s">
        <v>1046</v>
      </c>
      <c r="I68" s="87" t="s">
        <v>109</v>
      </c>
      <c r="J68" s="88" t="s">
        <v>288</v>
      </c>
    </row>
    <row r="69" spans="1:10" ht="15.75" hidden="1" x14ac:dyDescent="0.25">
      <c r="A69" s="3">
        <v>1</v>
      </c>
      <c r="B69" s="3" t="s">
        <v>997</v>
      </c>
      <c r="C69" s="9" t="s">
        <v>1067</v>
      </c>
      <c r="D69" s="34" t="s">
        <v>1114</v>
      </c>
      <c r="E69" s="11"/>
      <c r="F69" s="2" t="s">
        <v>1043</v>
      </c>
      <c r="G69" s="34">
        <v>20016490</v>
      </c>
      <c r="H69" s="87" t="s">
        <v>1007</v>
      </c>
      <c r="I69" s="87">
        <v>1</v>
      </c>
      <c r="J69" s="88" t="s">
        <v>288</v>
      </c>
    </row>
    <row r="70" spans="1:10" ht="15.75" hidden="1" x14ac:dyDescent="0.25">
      <c r="A70" s="3">
        <v>1</v>
      </c>
      <c r="B70" s="3" t="s">
        <v>16</v>
      </c>
      <c r="C70" s="9" t="s">
        <v>1115</v>
      </c>
      <c r="D70" s="34" t="s">
        <v>1048</v>
      </c>
      <c r="E70" s="11"/>
      <c r="F70" s="2" t="s">
        <v>1043</v>
      </c>
      <c r="G70" s="34">
        <v>20016490</v>
      </c>
      <c r="H70" s="87" t="s">
        <v>1049</v>
      </c>
      <c r="I70" s="87">
        <v>3</v>
      </c>
      <c r="J70" s="88" t="s">
        <v>288</v>
      </c>
    </row>
    <row r="71" spans="1:10" ht="15.75" hidden="1" x14ac:dyDescent="0.25">
      <c r="A71" s="3">
        <v>1</v>
      </c>
      <c r="B71" s="3" t="s">
        <v>16</v>
      </c>
      <c r="C71" s="9" t="s">
        <v>1115</v>
      </c>
      <c r="D71" s="34" t="s">
        <v>1048</v>
      </c>
      <c r="E71" s="11"/>
      <c r="F71" s="2" t="s">
        <v>1043</v>
      </c>
      <c r="G71" s="34">
        <v>20016490</v>
      </c>
      <c r="H71" s="87" t="s">
        <v>1049</v>
      </c>
      <c r="I71" s="87">
        <v>3</v>
      </c>
      <c r="J71" s="88" t="s">
        <v>288</v>
      </c>
    </row>
    <row r="72" spans="1:10" ht="15.75" hidden="1" x14ac:dyDescent="0.25">
      <c r="A72" s="3">
        <v>1</v>
      </c>
      <c r="B72" s="3" t="s">
        <v>71</v>
      </c>
      <c r="C72" s="3" t="s">
        <v>72</v>
      </c>
      <c r="D72" s="34" t="s">
        <v>1116</v>
      </c>
      <c r="E72" s="11"/>
      <c r="F72" s="2" t="s">
        <v>1043</v>
      </c>
      <c r="G72" s="34">
        <v>20016490</v>
      </c>
      <c r="H72" s="87" t="s">
        <v>1007</v>
      </c>
      <c r="I72" s="87">
        <v>72</v>
      </c>
      <c r="J72" s="88" t="s">
        <v>288</v>
      </c>
    </row>
    <row r="73" spans="1:10" ht="15.75" hidden="1" x14ac:dyDescent="0.25">
      <c r="A73" s="3">
        <v>1</v>
      </c>
      <c r="B73" s="3" t="s">
        <v>73</v>
      </c>
      <c r="C73" s="3" t="s">
        <v>74</v>
      </c>
      <c r="D73" s="34" t="s">
        <v>1116</v>
      </c>
      <c r="E73" s="11"/>
      <c r="F73" s="2" t="s">
        <v>1043</v>
      </c>
      <c r="G73" s="34">
        <v>20016490</v>
      </c>
      <c r="H73" s="87" t="s">
        <v>1007</v>
      </c>
      <c r="I73" s="87">
        <v>72</v>
      </c>
      <c r="J73" s="88" t="s">
        <v>288</v>
      </c>
    </row>
    <row r="74" spans="1:10" ht="15.75" hidden="1" x14ac:dyDescent="0.25">
      <c r="A74" s="3">
        <v>1</v>
      </c>
      <c r="B74" s="3" t="s">
        <v>76</v>
      </c>
      <c r="C74" s="3" t="s">
        <v>77</v>
      </c>
      <c r="D74" s="34" t="s">
        <v>1116</v>
      </c>
      <c r="E74" s="11"/>
      <c r="F74" s="2" t="s">
        <v>1043</v>
      </c>
      <c r="G74" s="34">
        <v>20016490</v>
      </c>
      <c r="H74" s="87" t="s">
        <v>1007</v>
      </c>
      <c r="I74" s="87">
        <v>72</v>
      </c>
      <c r="J74" s="88" t="s">
        <v>288</v>
      </c>
    </row>
    <row r="75" spans="1:10" ht="15.75" hidden="1" x14ac:dyDescent="0.25">
      <c r="A75" s="3">
        <v>1</v>
      </c>
      <c r="B75" s="3" t="s">
        <v>79</v>
      </c>
      <c r="C75" s="3" t="s">
        <v>80</v>
      </c>
      <c r="D75" s="34" t="s">
        <v>1116</v>
      </c>
      <c r="E75" s="11"/>
      <c r="F75" s="2" t="s">
        <v>1043</v>
      </c>
      <c r="G75" s="34">
        <v>20016490</v>
      </c>
      <c r="H75" s="87" t="s">
        <v>1007</v>
      </c>
      <c r="I75" s="87">
        <v>72</v>
      </c>
      <c r="J75" s="88" t="s">
        <v>288</v>
      </c>
    </row>
    <row r="76" spans="1:10" ht="15.75" hidden="1" x14ac:dyDescent="0.25">
      <c r="A76" s="3">
        <v>1</v>
      </c>
      <c r="B76" s="3" t="s">
        <v>82</v>
      </c>
      <c r="C76" s="3" t="s">
        <v>83</v>
      </c>
      <c r="D76" s="34" t="s">
        <v>1116</v>
      </c>
      <c r="E76" s="11"/>
      <c r="F76" s="2" t="s">
        <v>1043</v>
      </c>
      <c r="G76" s="34">
        <v>20016490</v>
      </c>
      <c r="H76" s="87" t="s">
        <v>1007</v>
      </c>
      <c r="I76" s="87">
        <v>72</v>
      </c>
      <c r="J76" s="88" t="s">
        <v>288</v>
      </c>
    </row>
    <row r="77" spans="1:10" ht="15.75" hidden="1" x14ac:dyDescent="0.25">
      <c r="A77" s="3">
        <v>1</v>
      </c>
      <c r="B77" s="3" t="s">
        <v>85</v>
      </c>
      <c r="C77" s="3" t="s">
        <v>86</v>
      </c>
      <c r="D77" s="34" t="s">
        <v>1116</v>
      </c>
      <c r="E77" s="11"/>
      <c r="F77" s="2" t="s">
        <v>1043</v>
      </c>
      <c r="G77" s="34">
        <v>20016490</v>
      </c>
      <c r="H77" s="87" t="s">
        <v>1007</v>
      </c>
      <c r="I77" s="87">
        <v>72</v>
      </c>
      <c r="J77" s="88" t="s">
        <v>288</v>
      </c>
    </row>
    <row r="78" spans="1:10" ht="15.75" hidden="1" x14ac:dyDescent="0.25">
      <c r="A78" s="3">
        <v>1</v>
      </c>
      <c r="B78" s="3" t="s">
        <v>88</v>
      </c>
      <c r="C78" s="3" t="s">
        <v>89</v>
      </c>
      <c r="D78" s="34" t="s">
        <v>1116</v>
      </c>
      <c r="E78" s="11"/>
      <c r="F78" s="2" t="s">
        <v>1043</v>
      </c>
      <c r="G78" s="34">
        <v>20016490</v>
      </c>
      <c r="H78" s="87" t="s">
        <v>1007</v>
      </c>
      <c r="I78" s="87">
        <v>72</v>
      </c>
      <c r="J78" s="88" t="s">
        <v>288</v>
      </c>
    </row>
    <row r="79" spans="1:10" ht="15.75" hidden="1" x14ac:dyDescent="0.25">
      <c r="A79" s="3">
        <v>1</v>
      </c>
      <c r="B79" s="3" t="s">
        <v>91</v>
      </c>
      <c r="C79" s="3" t="s">
        <v>92</v>
      </c>
      <c r="D79" s="34" t="s">
        <v>1116</v>
      </c>
      <c r="E79" s="11"/>
      <c r="F79" s="2" t="s">
        <v>1043</v>
      </c>
      <c r="G79" s="34">
        <v>20016490</v>
      </c>
      <c r="H79" s="87" t="s">
        <v>1007</v>
      </c>
      <c r="I79" s="87">
        <v>72</v>
      </c>
      <c r="J79" s="88" t="s">
        <v>288</v>
      </c>
    </row>
    <row r="80" spans="1:10" ht="15.75" hidden="1" x14ac:dyDescent="0.25">
      <c r="A80" s="3">
        <v>1</v>
      </c>
      <c r="B80" s="3" t="s">
        <v>94</v>
      </c>
      <c r="C80" s="3" t="s">
        <v>95</v>
      </c>
      <c r="D80" s="34" t="s">
        <v>1116</v>
      </c>
      <c r="E80" s="11"/>
      <c r="F80" s="2" t="s">
        <v>1043</v>
      </c>
      <c r="G80" s="34">
        <v>20016490</v>
      </c>
      <c r="H80" s="87" t="s">
        <v>1007</v>
      </c>
      <c r="I80" s="87">
        <v>72</v>
      </c>
      <c r="J80" s="88" t="s">
        <v>288</v>
      </c>
    </row>
    <row r="81" spans="1:10" ht="15.75" hidden="1" x14ac:dyDescent="0.25">
      <c r="A81" s="3">
        <v>1</v>
      </c>
      <c r="B81" s="3" t="s">
        <v>97</v>
      </c>
      <c r="C81" s="3" t="s">
        <v>98</v>
      </c>
      <c r="D81" s="34" t="s">
        <v>1116</v>
      </c>
      <c r="E81" s="11"/>
      <c r="F81" s="2" t="s">
        <v>1043</v>
      </c>
      <c r="G81" s="34">
        <v>20016490</v>
      </c>
      <c r="H81" s="87" t="s">
        <v>1007</v>
      </c>
      <c r="I81" s="87">
        <v>72</v>
      </c>
      <c r="J81" s="88" t="s">
        <v>288</v>
      </c>
    </row>
    <row r="82" spans="1:10" ht="15.75" hidden="1" x14ac:dyDescent="0.25">
      <c r="A82" s="3">
        <v>1</v>
      </c>
      <c r="B82" s="3" t="s">
        <v>182</v>
      </c>
      <c r="C82" s="3" t="s">
        <v>178</v>
      </c>
      <c r="D82" s="34" t="s">
        <v>1116</v>
      </c>
      <c r="E82" s="11"/>
      <c r="F82" s="2" t="s">
        <v>1043</v>
      </c>
      <c r="G82" s="34">
        <v>20016490</v>
      </c>
      <c r="H82" s="87" t="s">
        <v>1007</v>
      </c>
      <c r="I82" s="87">
        <v>72</v>
      </c>
      <c r="J82" s="88" t="s">
        <v>288</v>
      </c>
    </row>
    <row r="83" spans="1:10" ht="15.75" hidden="1" x14ac:dyDescent="0.25">
      <c r="A83" s="3">
        <v>1</v>
      </c>
      <c r="B83" s="3" t="s">
        <v>183</v>
      </c>
      <c r="C83" s="3" t="s">
        <v>179</v>
      </c>
      <c r="D83" s="34" t="s">
        <v>1116</v>
      </c>
      <c r="E83" s="11"/>
      <c r="F83" s="2" t="s">
        <v>1043</v>
      </c>
      <c r="G83" s="34">
        <v>20016490</v>
      </c>
      <c r="H83" s="87" t="s">
        <v>1007</v>
      </c>
      <c r="I83" s="87">
        <v>72</v>
      </c>
      <c r="J83" s="88" t="s">
        <v>288</v>
      </c>
    </row>
    <row r="84" spans="1:10" ht="15.75" hidden="1" x14ac:dyDescent="0.25">
      <c r="A84" s="3">
        <v>1</v>
      </c>
      <c r="B84" s="3" t="s">
        <v>4</v>
      </c>
      <c r="C84" s="3" t="s">
        <v>5</v>
      </c>
      <c r="D84" s="34" t="s">
        <v>1117</v>
      </c>
      <c r="E84" s="11"/>
      <c r="F84" s="2" t="s">
        <v>1043</v>
      </c>
      <c r="G84" s="34">
        <v>20016490</v>
      </c>
      <c r="H84" s="87" t="s">
        <v>1007</v>
      </c>
      <c r="I84" s="87">
        <v>1</v>
      </c>
      <c r="J84" s="88" t="s">
        <v>288</v>
      </c>
    </row>
    <row r="85" spans="1:10" ht="15.75" hidden="1" x14ac:dyDescent="0.25">
      <c r="A85" s="3">
        <v>1</v>
      </c>
      <c r="B85" s="3" t="s">
        <v>9</v>
      </c>
      <c r="C85" s="3" t="s">
        <v>10</v>
      </c>
      <c r="D85" s="34" t="s">
        <v>1117</v>
      </c>
      <c r="E85" s="11"/>
      <c r="F85" s="2" t="s">
        <v>1043</v>
      </c>
      <c r="G85" s="34">
        <v>20016490</v>
      </c>
      <c r="H85" s="87" t="s">
        <v>1007</v>
      </c>
      <c r="I85" s="87">
        <v>1</v>
      </c>
      <c r="J85" s="88" t="s">
        <v>288</v>
      </c>
    </row>
    <row r="86" spans="1:10" ht="15.75" hidden="1" x14ac:dyDescent="0.25">
      <c r="A86" s="3">
        <v>1</v>
      </c>
      <c r="B86" s="3" t="s">
        <v>12</v>
      </c>
      <c r="C86" s="3" t="s">
        <v>13</v>
      </c>
      <c r="D86" s="34" t="s">
        <v>1117</v>
      </c>
      <c r="E86" s="11"/>
      <c r="F86" s="2" t="s">
        <v>1043</v>
      </c>
      <c r="G86" s="34">
        <v>20016490</v>
      </c>
      <c r="H86" s="87" t="s">
        <v>1007</v>
      </c>
      <c r="I86" s="87">
        <v>1</v>
      </c>
      <c r="J86" s="88" t="s">
        <v>288</v>
      </c>
    </row>
    <row r="87" spans="1:10" ht="15.75" hidden="1" x14ac:dyDescent="0.25">
      <c r="A87" s="3">
        <v>1</v>
      </c>
      <c r="B87" s="3" t="s">
        <v>16</v>
      </c>
      <c r="C87" s="3" t="s">
        <v>17</v>
      </c>
      <c r="D87" s="34" t="s">
        <v>1117</v>
      </c>
      <c r="E87" s="11"/>
      <c r="F87" s="2" t="s">
        <v>1043</v>
      </c>
      <c r="G87" s="34">
        <v>20016490</v>
      </c>
      <c r="H87" s="87" t="s">
        <v>1007</v>
      </c>
      <c r="I87" s="87">
        <v>1</v>
      </c>
      <c r="J87" s="88" t="s">
        <v>288</v>
      </c>
    </row>
    <row r="88" spans="1:10" ht="15.75" hidden="1" x14ac:dyDescent="0.25">
      <c r="A88" s="3">
        <v>1</v>
      </c>
      <c r="B88" s="3" t="s">
        <v>20</v>
      </c>
      <c r="C88" s="3" t="s">
        <v>21</v>
      </c>
      <c r="D88" s="34" t="s">
        <v>1117</v>
      </c>
      <c r="E88" s="11"/>
      <c r="F88" s="2" t="s">
        <v>1043</v>
      </c>
      <c r="G88" s="34">
        <v>20016490</v>
      </c>
      <c r="H88" s="87" t="s">
        <v>1007</v>
      </c>
      <c r="I88" s="87">
        <v>1</v>
      </c>
      <c r="J88" s="88" t="s">
        <v>288</v>
      </c>
    </row>
    <row r="89" spans="1:10" ht="15.75" hidden="1" x14ac:dyDescent="0.25">
      <c r="A89" s="3">
        <v>1</v>
      </c>
      <c r="B89" s="3" t="s">
        <v>23</v>
      </c>
      <c r="C89" s="3" t="s">
        <v>24</v>
      </c>
      <c r="D89" s="34" t="s">
        <v>1117</v>
      </c>
      <c r="E89" s="11"/>
      <c r="F89" s="2" t="s">
        <v>1043</v>
      </c>
      <c r="G89" s="34">
        <v>20016490</v>
      </c>
      <c r="H89" s="87" t="s">
        <v>1007</v>
      </c>
      <c r="I89" s="87">
        <v>1</v>
      </c>
      <c r="J89" s="88" t="s">
        <v>288</v>
      </c>
    </row>
    <row r="90" spans="1:10" ht="15.75" hidden="1" x14ac:dyDescent="0.25">
      <c r="A90" s="3">
        <v>1</v>
      </c>
      <c r="B90" s="3" t="s">
        <v>25</v>
      </c>
      <c r="C90" s="3" t="s">
        <v>26</v>
      </c>
      <c r="D90" s="34" t="s">
        <v>1117</v>
      </c>
      <c r="E90" s="11"/>
      <c r="F90" s="2" t="s">
        <v>1043</v>
      </c>
      <c r="G90" s="34">
        <v>20016490</v>
      </c>
      <c r="H90" s="87" t="s">
        <v>1007</v>
      </c>
      <c r="I90" s="87">
        <v>1</v>
      </c>
      <c r="J90" s="88" t="s">
        <v>288</v>
      </c>
    </row>
    <row r="91" spans="1:10" ht="15.75" hidden="1" x14ac:dyDescent="0.25">
      <c r="A91" s="3">
        <v>1</v>
      </c>
      <c r="B91" s="3" t="s">
        <v>28</v>
      </c>
      <c r="C91" s="3" t="s">
        <v>29</v>
      </c>
      <c r="D91" s="34" t="s">
        <v>1117</v>
      </c>
      <c r="E91" s="11"/>
      <c r="F91" s="2" t="s">
        <v>1043</v>
      </c>
      <c r="G91" s="34">
        <v>20016490</v>
      </c>
      <c r="H91" s="87" t="s">
        <v>1007</v>
      </c>
      <c r="I91" s="87">
        <v>1</v>
      </c>
      <c r="J91" s="88" t="s">
        <v>288</v>
      </c>
    </row>
    <row r="92" spans="1:10" ht="15.75" hidden="1" x14ac:dyDescent="0.25">
      <c r="A92" s="3">
        <v>1</v>
      </c>
      <c r="B92" s="3" t="s">
        <v>71</v>
      </c>
      <c r="C92" s="3" t="s">
        <v>72</v>
      </c>
      <c r="D92" s="34" t="s">
        <v>1117</v>
      </c>
      <c r="E92" s="11"/>
      <c r="F92" s="2" t="s">
        <v>1043</v>
      </c>
      <c r="G92" s="34">
        <v>20016490</v>
      </c>
      <c r="H92" s="87" t="s">
        <v>1007</v>
      </c>
      <c r="I92" s="87">
        <v>1</v>
      </c>
      <c r="J92" s="88" t="s">
        <v>288</v>
      </c>
    </row>
    <row r="93" spans="1:10" ht="15.75" hidden="1" x14ac:dyDescent="0.25">
      <c r="A93" s="3">
        <v>1</v>
      </c>
      <c r="B93" s="3" t="s">
        <v>73</v>
      </c>
      <c r="C93" s="3" t="s">
        <v>74</v>
      </c>
      <c r="D93" s="34" t="s">
        <v>1117</v>
      </c>
      <c r="E93" s="11"/>
      <c r="F93" s="2" t="s">
        <v>1043</v>
      </c>
      <c r="G93" s="34">
        <v>20016490</v>
      </c>
      <c r="H93" s="87" t="s">
        <v>1007</v>
      </c>
      <c r="I93" s="87">
        <v>1</v>
      </c>
      <c r="J93" s="88" t="s">
        <v>288</v>
      </c>
    </row>
    <row r="94" spans="1:10" ht="15.75" hidden="1" x14ac:dyDescent="0.25">
      <c r="A94" s="3">
        <v>1</v>
      </c>
      <c r="B94" s="3" t="s">
        <v>76</v>
      </c>
      <c r="C94" s="3" t="s">
        <v>77</v>
      </c>
      <c r="D94" s="34" t="s">
        <v>1117</v>
      </c>
      <c r="E94" s="11"/>
      <c r="F94" s="2" t="s">
        <v>1043</v>
      </c>
      <c r="G94" s="34">
        <v>20016490</v>
      </c>
      <c r="H94" s="87" t="s">
        <v>1007</v>
      </c>
      <c r="I94" s="87">
        <v>1</v>
      </c>
      <c r="J94" s="88" t="s">
        <v>288</v>
      </c>
    </row>
    <row r="95" spans="1:10" ht="15.75" hidden="1" x14ac:dyDescent="0.25">
      <c r="A95" s="3">
        <v>1</v>
      </c>
      <c r="B95" s="3" t="s">
        <v>79</v>
      </c>
      <c r="C95" s="3" t="s">
        <v>80</v>
      </c>
      <c r="D95" s="34" t="s">
        <v>1117</v>
      </c>
      <c r="E95" s="11"/>
      <c r="F95" s="2" t="s">
        <v>1043</v>
      </c>
      <c r="G95" s="34">
        <v>20016490</v>
      </c>
      <c r="H95" s="87" t="s">
        <v>1007</v>
      </c>
      <c r="I95" s="87">
        <v>1</v>
      </c>
      <c r="J95" s="88" t="s">
        <v>288</v>
      </c>
    </row>
    <row r="96" spans="1:10" ht="15.75" hidden="1" x14ac:dyDescent="0.25">
      <c r="A96" s="3">
        <v>1</v>
      </c>
      <c r="B96" s="3" t="s">
        <v>82</v>
      </c>
      <c r="C96" s="3" t="s">
        <v>83</v>
      </c>
      <c r="D96" s="34" t="s">
        <v>1117</v>
      </c>
      <c r="E96" s="11"/>
      <c r="F96" s="2" t="s">
        <v>1043</v>
      </c>
      <c r="G96" s="34">
        <v>20016490</v>
      </c>
      <c r="H96" s="87" t="s">
        <v>1007</v>
      </c>
      <c r="I96" s="87">
        <v>1</v>
      </c>
      <c r="J96" s="88" t="s">
        <v>288</v>
      </c>
    </row>
    <row r="97" spans="1:10" ht="15.75" hidden="1" x14ac:dyDescent="0.25">
      <c r="A97" s="3">
        <v>1</v>
      </c>
      <c r="B97" s="3" t="s">
        <v>85</v>
      </c>
      <c r="C97" s="3" t="s">
        <v>86</v>
      </c>
      <c r="D97" s="34" t="s">
        <v>1117</v>
      </c>
      <c r="E97" s="11"/>
      <c r="F97" s="2" t="s">
        <v>1043</v>
      </c>
      <c r="G97" s="34">
        <v>20016490</v>
      </c>
      <c r="H97" s="87" t="s">
        <v>1007</v>
      </c>
      <c r="I97" s="87">
        <v>1</v>
      </c>
      <c r="J97" s="88" t="s">
        <v>288</v>
      </c>
    </row>
    <row r="98" spans="1:10" ht="15.75" hidden="1" x14ac:dyDescent="0.25">
      <c r="A98" s="3">
        <v>1</v>
      </c>
      <c r="B98" s="3" t="s">
        <v>88</v>
      </c>
      <c r="C98" s="3" t="s">
        <v>89</v>
      </c>
      <c r="D98" s="34" t="s">
        <v>1117</v>
      </c>
      <c r="E98" s="11"/>
      <c r="F98" s="2" t="s">
        <v>1043</v>
      </c>
      <c r="G98" s="34">
        <v>20016490</v>
      </c>
      <c r="H98" s="87" t="s">
        <v>1007</v>
      </c>
      <c r="I98" s="87">
        <v>1</v>
      </c>
      <c r="J98" s="88" t="s">
        <v>288</v>
      </c>
    </row>
    <row r="99" spans="1:10" ht="15.75" hidden="1" x14ac:dyDescent="0.25">
      <c r="A99" s="3">
        <v>1</v>
      </c>
      <c r="B99" s="3" t="s">
        <v>91</v>
      </c>
      <c r="C99" s="3" t="s">
        <v>92</v>
      </c>
      <c r="D99" s="34" t="s">
        <v>1117</v>
      </c>
      <c r="E99" s="11"/>
      <c r="F99" s="2" t="s">
        <v>1043</v>
      </c>
      <c r="G99" s="34">
        <v>20016490</v>
      </c>
      <c r="H99" s="87" t="s">
        <v>1007</v>
      </c>
      <c r="I99" s="87">
        <v>1</v>
      </c>
      <c r="J99" s="88" t="s">
        <v>288</v>
      </c>
    </row>
    <row r="100" spans="1:10" ht="15.75" hidden="1" x14ac:dyDescent="0.25">
      <c r="A100" s="3">
        <v>1</v>
      </c>
      <c r="B100" s="3" t="s">
        <v>94</v>
      </c>
      <c r="C100" s="3" t="s">
        <v>95</v>
      </c>
      <c r="D100" s="34" t="s">
        <v>1117</v>
      </c>
      <c r="E100" s="11"/>
      <c r="F100" s="2" t="s">
        <v>1043</v>
      </c>
      <c r="G100" s="34">
        <v>20016490</v>
      </c>
      <c r="H100" s="87" t="s">
        <v>1007</v>
      </c>
      <c r="I100" s="87">
        <v>1</v>
      </c>
      <c r="J100" s="88" t="s">
        <v>288</v>
      </c>
    </row>
    <row r="101" spans="1:10" ht="15.75" hidden="1" x14ac:dyDescent="0.25">
      <c r="A101" s="3">
        <v>1</v>
      </c>
      <c r="B101" s="3" t="s">
        <v>97</v>
      </c>
      <c r="C101" s="3" t="s">
        <v>98</v>
      </c>
      <c r="D101" s="34" t="s">
        <v>1117</v>
      </c>
      <c r="E101" s="11"/>
      <c r="F101" s="2" t="s">
        <v>1043</v>
      </c>
      <c r="G101" s="34">
        <v>20016490</v>
      </c>
      <c r="H101" s="87" t="s">
        <v>1007</v>
      </c>
      <c r="I101" s="87">
        <v>1</v>
      </c>
      <c r="J101" s="88" t="s">
        <v>288</v>
      </c>
    </row>
    <row r="102" spans="1:10" ht="15.75" hidden="1" x14ac:dyDescent="0.25">
      <c r="A102" s="3">
        <v>1</v>
      </c>
      <c r="B102" s="3" t="s">
        <v>182</v>
      </c>
      <c r="C102" s="3" t="s">
        <v>178</v>
      </c>
      <c r="D102" s="34" t="s">
        <v>1117</v>
      </c>
      <c r="E102" s="11"/>
      <c r="F102" s="2" t="s">
        <v>1043</v>
      </c>
      <c r="G102" s="34">
        <v>20016490</v>
      </c>
      <c r="H102" s="87" t="s">
        <v>1007</v>
      </c>
      <c r="I102" s="87">
        <v>1</v>
      </c>
      <c r="J102" s="88" t="s">
        <v>288</v>
      </c>
    </row>
    <row r="103" spans="1:10" ht="15.75" hidden="1" x14ac:dyDescent="0.25">
      <c r="A103" s="3">
        <v>1</v>
      </c>
      <c r="B103" s="3" t="s">
        <v>183</v>
      </c>
      <c r="C103" s="3" t="s">
        <v>179</v>
      </c>
      <c r="D103" s="34" t="s">
        <v>1117</v>
      </c>
      <c r="E103" s="11"/>
      <c r="F103" s="2" t="s">
        <v>1043</v>
      </c>
      <c r="G103" s="34">
        <v>20016490</v>
      </c>
      <c r="H103" s="87" t="s">
        <v>1007</v>
      </c>
      <c r="I103" s="87">
        <v>1</v>
      </c>
      <c r="J103" s="88" t="s">
        <v>288</v>
      </c>
    </row>
    <row r="104" spans="1:10" ht="15.75" hidden="1" x14ac:dyDescent="0.25">
      <c r="A104" s="3">
        <v>1</v>
      </c>
      <c r="B104" s="3" t="s">
        <v>36</v>
      </c>
      <c r="C104" s="3" t="s">
        <v>37</v>
      </c>
      <c r="D104" s="34" t="s">
        <v>1118</v>
      </c>
      <c r="E104" s="11"/>
      <c r="F104" s="86" t="s">
        <v>111</v>
      </c>
      <c r="G104" s="34">
        <v>20016373</v>
      </c>
      <c r="H104" s="87" t="s">
        <v>1006</v>
      </c>
      <c r="I104" s="87" t="s">
        <v>109</v>
      </c>
      <c r="J104" s="88" t="s">
        <v>288</v>
      </c>
    </row>
    <row r="105" spans="1:10" ht="15.75" hidden="1" x14ac:dyDescent="0.25">
      <c r="A105" s="3">
        <v>1</v>
      </c>
      <c r="B105" s="3" t="s">
        <v>36</v>
      </c>
      <c r="C105" s="3" t="s">
        <v>37</v>
      </c>
      <c r="D105" s="34" t="s">
        <v>1119</v>
      </c>
      <c r="E105" s="11"/>
      <c r="F105" s="86" t="s">
        <v>111</v>
      </c>
      <c r="G105" s="34">
        <v>20016373</v>
      </c>
      <c r="H105" s="87" t="s">
        <v>1006</v>
      </c>
      <c r="I105" s="87" t="s">
        <v>109</v>
      </c>
      <c r="J105" s="88" t="s">
        <v>288</v>
      </c>
    </row>
    <row r="106" spans="1:10" ht="15.75" hidden="1" x14ac:dyDescent="0.25">
      <c r="A106" s="3">
        <v>1</v>
      </c>
      <c r="B106" s="3" t="s">
        <v>36</v>
      </c>
      <c r="C106" s="3" t="s">
        <v>37</v>
      </c>
      <c r="D106" s="34" t="s">
        <v>1120</v>
      </c>
      <c r="E106" s="11"/>
      <c r="F106" s="86" t="s">
        <v>111</v>
      </c>
      <c r="G106" s="34">
        <v>20016373</v>
      </c>
      <c r="H106" s="87" t="s">
        <v>1006</v>
      </c>
      <c r="I106" s="87" t="s">
        <v>109</v>
      </c>
      <c r="J106" s="88" t="s">
        <v>288</v>
      </c>
    </row>
    <row r="107" spans="1:10" ht="15.75" hidden="1" x14ac:dyDescent="0.25">
      <c r="A107" s="3">
        <v>1</v>
      </c>
      <c r="B107" s="3" t="s">
        <v>36</v>
      </c>
      <c r="C107" s="3" t="s">
        <v>37</v>
      </c>
      <c r="D107" s="34" t="s">
        <v>1121</v>
      </c>
      <c r="E107" s="11"/>
      <c r="F107" s="86" t="s">
        <v>111</v>
      </c>
      <c r="G107" s="34">
        <v>20016373</v>
      </c>
      <c r="H107" s="87" t="s">
        <v>1006</v>
      </c>
      <c r="I107" s="87" t="s">
        <v>109</v>
      </c>
      <c r="J107" s="88" t="s">
        <v>288</v>
      </c>
    </row>
    <row r="108" spans="1:10" ht="15.75" hidden="1" x14ac:dyDescent="0.25">
      <c r="A108" s="3">
        <v>1</v>
      </c>
      <c r="B108" s="3" t="s">
        <v>47</v>
      </c>
      <c r="C108" s="3" t="s">
        <v>48</v>
      </c>
      <c r="D108" s="34" t="s">
        <v>1122</v>
      </c>
      <c r="E108" s="11"/>
      <c r="F108" s="86" t="s">
        <v>111</v>
      </c>
      <c r="G108" s="34">
        <v>20016373</v>
      </c>
      <c r="H108" s="87" t="s">
        <v>1006</v>
      </c>
      <c r="I108" s="87" t="s">
        <v>109</v>
      </c>
      <c r="J108" s="88" t="s">
        <v>288</v>
      </c>
    </row>
    <row r="109" spans="1:10" ht="15.75" hidden="1" x14ac:dyDescent="0.25">
      <c r="A109" s="3">
        <v>1</v>
      </c>
      <c r="B109" s="3" t="s">
        <v>47</v>
      </c>
      <c r="C109" s="3" t="s">
        <v>48</v>
      </c>
      <c r="D109" s="34" t="s">
        <v>1123</v>
      </c>
      <c r="E109" s="11"/>
      <c r="F109" s="86" t="s">
        <v>111</v>
      </c>
      <c r="G109" s="34">
        <v>20016373</v>
      </c>
      <c r="H109" s="87" t="s">
        <v>1006</v>
      </c>
      <c r="I109" s="87" t="s">
        <v>109</v>
      </c>
      <c r="J109" s="88" t="s">
        <v>288</v>
      </c>
    </row>
    <row r="110" spans="1:10" ht="15.75" hidden="1" x14ac:dyDescent="0.25">
      <c r="A110" s="3">
        <v>1</v>
      </c>
      <c r="B110" s="3" t="s">
        <v>47</v>
      </c>
      <c r="C110" s="3" t="s">
        <v>48</v>
      </c>
      <c r="D110" s="34" t="s">
        <v>1124</v>
      </c>
      <c r="E110" s="11"/>
      <c r="F110" s="86" t="s">
        <v>111</v>
      </c>
      <c r="G110" s="34">
        <v>20016373</v>
      </c>
      <c r="H110" s="87" t="s">
        <v>1006</v>
      </c>
      <c r="I110" s="87" t="s">
        <v>109</v>
      </c>
      <c r="J110" s="88" t="s">
        <v>288</v>
      </c>
    </row>
    <row r="111" spans="1:10" ht="15.75" hidden="1" x14ac:dyDescent="0.25">
      <c r="A111" s="3">
        <v>1</v>
      </c>
      <c r="B111" s="3" t="s">
        <v>47</v>
      </c>
      <c r="C111" s="3" t="s">
        <v>48</v>
      </c>
      <c r="D111" s="34" t="s">
        <v>1125</v>
      </c>
      <c r="E111" s="11"/>
      <c r="F111" s="86" t="s">
        <v>111</v>
      </c>
      <c r="G111" s="34">
        <v>20016373</v>
      </c>
      <c r="H111" s="87" t="s">
        <v>1006</v>
      </c>
      <c r="I111" s="87" t="s">
        <v>109</v>
      </c>
      <c r="J111" s="88" t="s">
        <v>288</v>
      </c>
    </row>
    <row r="112" spans="1:10" ht="15.75" hidden="1" x14ac:dyDescent="0.25">
      <c r="A112" s="3">
        <v>1</v>
      </c>
      <c r="B112" s="3" t="s">
        <v>54</v>
      </c>
      <c r="C112" s="3" t="s">
        <v>55</v>
      </c>
      <c r="D112" s="34" t="s">
        <v>1127</v>
      </c>
      <c r="E112" s="11"/>
      <c r="F112" s="86" t="s">
        <v>111</v>
      </c>
      <c r="G112" s="34">
        <v>20016373</v>
      </c>
      <c r="H112" s="87" t="s">
        <v>1006</v>
      </c>
      <c r="I112" s="87" t="s">
        <v>109</v>
      </c>
      <c r="J112" s="88" t="s">
        <v>288</v>
      </c>
    </row>
    <row r="113" spans="1:10" ht="15.75" hidden="1" x14ac:dyDescent="0.25">
      <c r="A113" s="3">
        <v>1</v>
      </c>
      <c r="B113" s="3" t="s">
        <v>54</v>
      </c>
      <c r="C113" s="3" t="s">
        <v>55</v>
      </c>
      <c r="D113" s="34" t="s">
        <v>1128</v>
      </c>
      <c r="E113" s="11"/>
      <c r="F113" s="86" t="s">
        <v>111</v>
      </c>
      <c r="G113" s="34">
        <v>20016373</v>
      </c>
      <c r="H113" s="87" t="s">
        <v>1006</v>
      </c>
      <c r="I113" s="87" t="s">
        <v>109</v>
      </c>
      <c r="J113" s="88" t="s">
        <v>288</v>
      </c>
    </row>
    <row r="114" spans="1:10" ht="15.75" hidden="1" x14ac:dyDescent="0.25">
      <c r="A114" s="3">
        <v>1</v>
      </c>
      <c r="B114" s="3" t="s">
        <v>54</v>
      </c>
      <c r="C114" s="3" t="s">
        <v>55</v>
      </c>
      <c r="D114" s="34" t="s">
        <v>1129</v>
      </c>
      <c r="E114" s="11"/>
      <c r="F114" s="86" t="s">
        <v>111</v>
      </c>
      <c r="G114" s="34">
        <v>20016373</v>
      </c>
      <c r="H114" s="87" t="s">
        <v>1006</v>
      </c>
      <c r="I114" s="87" t="s">
        <v>109</v>
      </c>
      <c r="J114" s="88" t="s">
        <v>288</v>
      </c>
    </row>
    <row r="115" spans="1:10" ht="15.75" hidden="1" x14ac:dyDescent="0.25">
      <c r="A115" s="3">
        <v>1</v>
      </c>
      <c r="B115" s="3" t="s">
        <v>54</v>
      </c>
      <c r="C115" s="3" t="s">
        <v>55</v>
      </c>
      <c r="D115" s="34" t="s">
        <v>1126</v>
      </c>
      <c r="E115" s="11"/>
      <c r="F115" s="86" t="s">
        <v>111</v>
      </c>
      <c r="G115" s="34">
        <v>20016373</v>
      </c>
      <c r="H115" s="87" t="s">
        <v>1006</v>
      </c>
      <c r="I115" s="87" t="s">
        <v>109</v>
      </c>
      <c r="J115" s="88" t="s">
        <v>288</v>
      </c>
    </row>
    <row r="116" spans="1:10" ht="15.75" hidden="1" x14ac:dyDescent="0.25">
      <c r="A116" s="3">
        <v>1</v>
      </c>
      <c r="B116" s="3" t="s">
        <v>60</v>
      </c>
      <c r="C116" s="3" t="s">
        <v>61</v>
      </c>
      <c r="D116" s="34" t="s">
        <v>1130</v>
      </c>
      <c r="E116" s="11"/>
      <c r="F116" s="86" t="s">
        <v>111</v>
      </c>
      <c r="G116" s="34">
        <v>20016373</v>
      </c>
      <c r="H116" s="87" t="s">
        <v>1006</v>
      </c>
      <c r="I116" s="87" t="s">
        <v>109</v>
      </c>
      <c r="J116" s="88" t="s">
        <v>288</v>
      </c>
    </row>
    <row r="117" spans="1:10" ht="15.75" hidden="1" x14ac:dyDescent="0.25">
      <c r="A117" s="3">
        <v>1</v>
      </c>
      <c r="B117" s="3" t="s">
        <v>60</v>
      </c>
      <c r="C117" s="3" t="s">
        <v>61</v>
      </c>
      <c r="D117" s="34" t="s">
        <v>1131</v>
      </c>
      <c r="E117" s="11"/>
      <c r="F117" s="86" t="s">
        <v>111</v>
      </c>
      <c r="G117" s="34">
        <v>20016373</v>
      </c>
      <c r="H117" s="87" t="s">
        <v>1006</v>
      </c>
      <c r="I117" s="87" t="s">
        <v>109</v>
      </c>
      <c r="J117" s="88" t="s">
        <v>288</v>
      </c>
    </row>
    <row r="118" spans="1:10" ht="15.75" hidden="1" x14ac:dyDescent="0.25">
      <c r="A118" s="3">
        <v>1</v>
      </c>
      <c r="B118" s="3" t="s">
        <v>60</v>
      </c>
      <c r="C118" s="3" t="s">
        <v>61</v>
      </c>
      <c r="D118" s="34" t="s">
        <v>1132</v>
      </c>
      <c r="E118" s="11"/>
      <c r="F118" s="86" t="s">
        <v>111</v>
      </c>
      <c r="G118" s="34">
        <v>20016373</v>
      </c>
      <c r="H118" s="87" t="s">
        <v>1006</v>
      </c>
      <c r="I118" s="87" t="s">
        <v>109</v>
      </c>
      <c r="J118" s="88" t="s">
        <v>288</v>
      </c>
    </row>
    <row r="119" spans="1:10" ht="15.75" hidden="1" x14ac:dyDescent="0.25">
      <c r="A119" s="3">
        <v>1</v>
      </c>
      <c r="B119" s="3" t="s">
        <v>60</v>
      </c>
      <c r="C119" s="3" t="s">
        <v>61</v>
      </c>
      <c r="D119" s="34" t="s">
        <v>1133</v>
      </c>
      <c r="E119" s="11"/>
      <c r="F119" s="86" t="s">
        <v>111</v>
      </c>
      <c r="G119" s="34">
        <v>20016373</v>
      </c>
      <c r="H119" s="87" t="s">
        <v>1006</v>
      </c>
      <c r="I119" s="87" t="s">
        <v>109</v>
      </c>
      <c r="J119" s="88" t="s">
        <v>288</v>
      </c>
    </row>
    <row r="120" spans="1:10" ht="15.75" hidden="1" x14ac:dyDescent="0.25">
      <c r="A120" s="3">
        <v>1</v>
      </c>
      <c r="B120" s="14" t="s">
        <v>177</v>
      </c>
      <c r="C120" s="3" t="s">
        <v>127</v>
      </c>
      <c r="D120" s="34" t="s">
        <v>1134</v>
      </c>
      <c r="E120" s="11"/>
      <c r="F120" s="86" t="s">
        <v>111</v>
      </c>
      <c r="G120" s="34">
        <v>20016373</v>
      </c>
      <c r="H120" s="87" t="s">
        <v>1006</v>
      </c>
      <c r="I120" s="87" t="s">
        <v>109</v>
      </c>
      <c r="J120" s="88" t="s">
        <v>288</v>
      </c>
    </row>
    <row r="121" spans="1:10" ht="15.75" hidden="1" x14ac:dyDescent="0.25">
      <c r="A121" s="3">
        <v>1</v>
      </c>
      <c r="B121" s="14" t="s">
        <v>177</v>
      </c>
      <c r="C121" s="3" t="s">
        <v>127</v>
      </c>
      <c r="D121" s="34" t="s">
        <v>1135</v>
      </c>
      <c r="E121" s="11"/>
      <c r="F121" s="86" t="s">
        <v>111</v>
      </c>
      <c r="G121" s="34">
        <v>20016373</v>
      </c>
      <c r="H121" s="87" t="s">
        <v>1006</v>
      </c>
      <c r="I121" s="87" t="s">
        <v>109</v>
      </c>
      <c r="J121" s="88" t="s">
        <v>288</v>
      </c>
    </row>
    <row r="122" spans="1:10" ht="15.75" hidden="1" x14ac:dyDescent="0.25">
      <c r="A122" s="3">
        <v>1</v>
      </c>
      <c r="B122" s="14" t="s">
        <v>177</v>
      </c>
      <c r="C122" s="3" t="s">
        <v>127</v>
      </c>
      <c r="D122" s="34" t="s">
        <v>1136</v>
      </c>
      <c r="E122" s="11"/>
      <c r="F122" s="86" t="s">
        <v>111</v>
      </c>
      <c r="G122" s="34">
        <v>20016373</v>
      </c>
      <c r="H122" s="87" t="s">
        <v>1006</v>
      </c>
      <c r="I122" s="87" t="s">
        <v>109</v>
      </c>
      <c r="J122" s="88" t="s">
        <v>288</v>
      </c>
    </row>
    <row r="123" spans="1:10" ht="15.75" hidden="1" x14ac:dyDescent="0.25">
      <c r="A123" s="3">
        <v>1</v>
      </c>
      <c r="B123" s="14" t="s">
        <v>177</v>
      </c>
      <c r="C123" s="3" t="s">
        <v>127</v>
      </c>
      <c r="D123" s="34" t="s">
        <v>1137</v>
      </c>
      <c r="E123" s="11"/>
      <c r="F123" s="86" t="s">
        <v>111</v>
      </c>
      <c r="G123" s="34">
        <v>20016373</v>
      </c>
      <c r="H123" s="87" t="s">
        <v>1006</v>
      </c>
      <c r="I123" s="87" t="s">
        <v>109</v>
      </c>
      <c r="J123" s="88" t="s">
        <v>288</v>
      </c>
    </row>
    <row r="124" spans="1:10" ht="15.75" hidden="1" x14ac:dyDescent="0.25">
      <c r="A124" s="3">
        <v>2</v>
      </c>
      <c r="B124" s="21" t="s">
        <v>211</v>
      </c>
      <c r="C124" s="9" t="s">
        <v>210</v>
      </c>
      <c r="D124" s="34" t="s">
        <v>1048</v>
      </c>
      <c r="E124" s="11"/>
      <c r="F124" s="2" t="s">
        <v>1043</v>
      </c>
      <c r="G124" s="34">
        <v>20016490</v>
      </c>
      <c r="H124" s="87" t="s">
        <v>1138</v>
      </c>
      <c r="I124" s="87">
        <v>5</v>
      </c>
      <c r="J124" s="88" t="s">
        <v>288</v>
      </c>
    </row>
    <row r="125" spans="1:10" ht="15.75" hidden="1" x14ac:dyDescent="0.25">
      <c r="A125" s="3">
        <v>2</v>
      </c>
      <c r="B125" s="21" t="s">
        <v>211</v>
      </c>
      <c r="C125" s="9" t="s">
        <v>210</v>
      </c>
      <c r="D125" s="34" t="s">
        <v>1141</v>
      </c>
      <c r="E125" s="11"/>
      <c r="F125" s="2" t="s">
        <v>1043</v>
      </c>
      <c r="G125" s="34">
        <v>20016490</v>
      </c>
      <c r="H125" s="87" t="s">
        <v>1140</v>
      </c>
      <c r="I125" s="87">
        <v>6</v>
      </c>
      <c r="J125" s="88" t="s">
        <v>288</v>
      </c>
    </row>
    <row r="126" spans="1:10" ht="15.75" hidden="1" x14ac:dyDescent="0.25">
      <c r="A126" s="3">
        <v>2</v>
      </c>
      <c r="B126" s="21" t="s">
        <v>216</v>
      </c>
      <c r="C126" s="9" t="s">
        <v>214</v>
      </c>
      <c r="D126" s="34" t="s">
        <v>1048</v>
      </c>
      <c r="E126" s="11"/>
      <c r="F126" s="2" t="s">
        <v>1043</v>
      </c>
      <c r="G126" s="34">
        <v>20016490</v>
      </c>
      <c r="H126" s="87" t="s">
        <v>1138</v>
      </c>
      <c r="I126" s="87">
        <v>5</v>
      </c>
      <c r="J126" s="88" t="s">
        <v>288</v>
      </c>
    </row>
    <row r="127" spans="1:10" ht="15.75" hidden="1" x14ac:dyDescent="0.25">
      <c r="A127" s="3">
        <v>2</v>
      </c>
      <c r="B127" s="21" t="s">
        <v>216</v>
      </c>
      <c r="C127" s="9" t="s">
        <v>214</v>
      </c>
      <c r="D127" s="34" t="s">
        <v>1141</v>
      </c>
      <c r="E127" s="11"/>
      <c r="F127" s="2" t="s">
        <v>1043</v>
      </c>
      <c r="G127" s="34">
        <v>20016490</v>
      </c>
      <c r="H127" s="87" t="s">
        <v>1140</v>
      </c>
      <c r="I127" s="87">
        <v>6</v>
      </c>
      <c r="J127" s="88" t="s">
        <v>288</v>
      </c>
    </row>
    <row r="128" spans="1:10" ht="15.75" hidden="1" x14ac:dyDescent="0.25">
      <c r="A128" s="3">
        <v>2</v>
      </c>
      <c r="B128" s="21" t="s">
        <v>227</v>
      </c>
      <c r="C128" s="9" t="s">
        <v>223</v>
      </c>
      <c r="D128" s="34" t="s">
        <v>1141</v>
      </c>
      <c r="E128" s="11"/>
      <c r="F128" s="2" t="s">
        <v>1043</v>
      </c>
      <c r="G128" s="34">
        <v>20016490</v>
      </c>
      <c r="H128" s="87" t="s">
        <v>1140</v>
      </c>
      <c r="I128" s="87">
        <v>6</v>
      </c>
      <c r="J128" s="88"/>
    </row>
    <row r="129" spans="1:10" ht="15.75" hidden="1" x14ac:dyDescent="0.25">
      <c r="A129" s="3">
        <v>2</v>
      </c>
      <c r="B129" s="3" t="s">
        <v>201</v>
      </c>
      <c r="C129" s="9" t="s">
        <v>67</v>
      </c>
      <c r="D129" s="34" t="s">
        <v>1141</v>
      </c>
      <c r="E129" s="11"/>
      <c r="F129" s="2" t="s">
        <v>1043</v>
      </c>
      <c r="G129" s="34">
        <v>20016490</v>
      </c>
      <c r="H129" s="87" t="s">
        <v>1139</v>
      </c>
      <c r="I129" s="87">
        <v>4</v>
      </c>
      <c r="J129" s="88" t="s">
        <v>288</v>
      </c>
    </row>
    <row r="130" spans="1:10" ht="15.75" hidden="1" x14ac:dyDescent="0.25">
      <c r="A130" s="3">
        <v>2</v>
      </c>
      <c r="B130" s="3" t="s">
        <v>200</v>
      </c>
      <c r="C130" s="9" t="s">
        <v>69</v>
      </c>
      <c r="D130" s="34" t="s">
        <v>1048</v>
      </c>
      <c r="E130" s="11"/>
      <c r="F130" s="2" t="s">
        <v>1043</v>
      </c>
      <c r="G130" s="34">
        <v>20016490</v>
      </c>
      <c r="H130" s="87" t="s">
        <v>1138</v>
      </c>
      <c r="I130" s="87">
        <v>5</v>
      </c>
      <c r="J130" s="88" t="s">
        <v>288</v>
      </c>
    </row>
    <row r="131" spans="1:10" ht="15.75" hidden="1" x14ac:dyDescent="0.25">
      <c r="A131" s="3">
        <v>2</v>
      </c>
      <c r="B131" s="3" t="s">
        <v>200</v>
      </c>
      <c r="C131" s="9" t="s">
        <v>69</v>
      </c>
      <c r="D131" s="34" t="s">
        <v>1141</v>
      </c>
      <c r="E131" s="11"/>
      <c r="F131" s="2" t="s">
        <v>1043</v>
      </c>
      <c r="G131" s="34">
        <v>20016490</v>
      </c>
      <c r="H131" s="87" t="s">
        <v>1140</v>
      </c>
      <c r="I131" s="87">
        <v>6</v>
      </c>
      <c r="J131" s="88" t="s">
        <v>288</v>
      </c>
    </row>
    <row r="132" spans="1:10" ht="15.75" hidden="1" x14ac:dyDescent="0.25">
      <c r="A132" s="3">
        <v>2</v>
      </c>
      <c r="B132" s="21" t="s">
        <v>230</v>
      </c>
      <c r="C132" s="3" t="s">
        <v>231</v>
      </c>
      <c r="D132" s="34" t="s">
        <v>1142</v>
      </c>
      <c r="E132" s="11"/>
      <c r="F132" s="2" t="s">
        <v>1043</v>
      </c>
      <c r="G132" s="34">
        <v>20016490</v>
      </c>
      <c r="H132" s="87" t="s">
        <v>1049</v>
      </c>
      <c r="I132" s="87">
        <v>4</v>
      </c>
      <c r="J132" s="88" t="s">
        <v>288</v>
      </c>
    </row>
    <row r="133" spans="1:10" ht="15.75" hidden="1" x14ac:dyDescent="0.25">
      <c r="A133" s="3">
        <v>2</v>
      </c>
      <c r="B133" s="21" t="s">
        <v>230</v>
      </c>
      <c r="C133" s="3" t="s">
        <v>231</v>
      </c>
      <c r="D133" s="34" t="s">
        <v>1143</v>
      </c>
      <c r="E133" s="11" t="s">
        <v>578</v>
      </c>
      <c r="F133" s="2" t="s">
        <v>1043</v>
      </c>
      <c r="G133" s="34">
        <v>20016490</v>
      </c>
      <c r="H133" s="87" t="s">
        <v>1145</v>
      </c>
      <c r="I133" s="87">
        <v>3</v>
      </c>
      <c r="J133" s="88" t="s">
        <v>288</v>
      </c>
    </row>
    <row r="134" spans="1:10" ht="15.75" hidden="1" x14ac:dyDescent="0.25">
      <c r="A134" s="3">
        <v>2</v>
      </c>
      <c r="B134" s="21" t="s">
        <v>230</v>
      </c>
      <c r="C134" s="3" t="s">
        <v>231</v>
      </c>
      <c r="D134" s="34" t="s">
        <v>1144</v>
      </c>
      <c r="E134" s="11" t="s">
        <v>579</v>
      </c>
      <c r="F134" s="2" t="s">
        <v>1043</v>
      </c>
      <c r="G134" s="34">
        <v>20016490</v>
      </c>
      <c r="H134" s="87" t="s">
        <v>1145</v>
      </c>
      <c r="I134" s="87">
        <v>3</v>
      </c>
      <c r="J134" s="88" t="s">
        <v>288</v>
      </c>
    </row>
    <row r="135" spans="1:10" ht="15.75" hidden="1" x14ac:dyDescent="0.25">
      <c r="A135" s="3">
        <v>2</v>
      </c>
      <c r="B135" s="21" t="s">
        <v>230</v>
      </c>
      <c r="C135" s="3" t="s">
        <v>231</v>
      </c>
      <c r="D135" s="34" t="s">
        <v>1158</v>
      </c>
      <c r="E135" s="11" t="s">
        <v>580</v>
      </c>
      <c r="F135" s="2" t="s">
        <v>1043</v>
      </c>
      <c r="G135" s="34">
        <v>20016490</v>
      </c>
      <c r="H135" s="87" t="s">
        <v>1145</v>
      </c>
      <c r="I135" s="87">
        <v>3</v>
      </c>
      <c r="J135" s="88" t="s">
        <v>288</v>
      </c>
    </row>
    <row r="136" spans="1:10" ht="15.75" hidden="1" x14ac:dyDescent="0.25">
      <c r="A136" s="3">
        <v>2</v>
      </c>
      <c r="B136" s="21" t="s">
        <v>230</v>
      </c>
      <c r="C136" s="3" t="s">
        <v>231</v>
      </c>
      <c r="D136" s="34" t="s">
        <v>1159</v>
      </c>
      <c r="E136" s="11" t="s">
        <v>581</v>
      </c>
      <c r="F136" s="2" t="s">
        <v>1043</v>
      </c>
      <c r="G136" s="34">
        <v>20016490</v>
      </c>
      <c r="H136" s="87" t="s">
        <v>1145</v>
      </c>
      <c r="I136" s="87">
        <v>3</v>
      </c>
      <c r="J136" s="88" t="s">
        <v>288</v>
      </c>
    </row>
    <row r="137" spans="1:10" ht="15.75" hidden="1" x14ac:dyDescent="0.25">
      <c r="A137" s="3">
        <v>2</v>
      </c>
      <c r="B137" s="21" t="s">
        <v>230</v>
      </c>
      <c r="C137" s="3" t="s">
        <v>231</v>
      </c>
      <c r="D137" s="34" t="s">
        <v>1146</v>
      </c>
      <c r="E137" s="11"/>
      <c r="F137" s="2" t="s">
        <v>1043</v>
      </c>
      <c r="G137" s="34">
        <v>20016490</v>
      </c>
      <c r="H137" s="87" t="s">
        <v>1154</v>
      </c>
      <c r="I137" s="87">
        <v>3</v>
      </c>
      <c r="J137" s="88" t="s">
        <v>288</v>
      </c>
    </row>
    <row r="138" spans="1:10" ht="15.75" hidden="1" x14ac:dyDescent="0.25">
      <c r="A138" s="3">
        <v>2</v>
      </c>
      <c r="B138" s="21" t="s">
        <v>230</v>
      </c>
      <c r="C138" s="3" t="s">
        <v>231</v>
      </c>
      <c r="D138" s="34" t="s">
        <v>1147</v>
      </c>
      <c r="E138" s="11"/>
      <c r="F138" s="2" t="s">
        <v>1043</v>
      </c>
      <c r="G138" s="34">
        <v>20016490</v>
      </c>
      <c r="H138" s="87" t="s">
        <v>1154</v>
      </c>
      <c r="I138" s="87">
        <v>3</v>
      </c>
      <c r="J138" s="88" t="s">
        <v>288</v>
      </c>
    </row>
    <row r="139" spans="1:10" ht="15.75" hidden="1" x14ac:dyDescent="0.25">
      <c r="A139" s="3">
        <v>2</v>
      </c>
      <c r="B139" s="21" t="s">
        <v>230</v>
      </c>
      <c r="C139" s="3" t="s">
        <v>231</v>
      </c>
      <c r="D139" s="34" t="s">
        <v>1148</v>
      </c>
      <c r="E139" s="11"/>
      <c r="F139" s="2" t="s">
        <v>1043</v>
      </c>
      <c r="G139" s="34">
        <v>20016490</v>
      </c>
      <c r="H139" s="87" t="s">
        <v>1154</v>
      </c>
      <c r="I139" s="87">
        <v>3</v>
      </c>
      <c r="J139" s="88" t="s">
        <v>288</v>
      </c>
    </row>
    <row r="140" spans="1:10" ht="15.75" hidden="1" x14ac:dyDescent="0.25">
      <c r="A140" s="3">
        <v>2</v>
      </c>
      <c r="B140" s="21" t="s">
        <v>230</v>
      </c>
      <c r="C140" s="3" t="s">
        <v>231</v>
      </c>
      <c r="D140" s="34" t="s">
        <v>1149</v>
      </c>
      <c r="E140" s="11"/>
      <c r="F140" s="2" t="s">
        <v>1043</v>
      </c>
      <c r="G140" s="34">
        <v>20016490</v>
      </c>
      <c r="H140" s="87" t="s">
        <v>1154</v>
      </c>
      <c r="I140" s="87">
        <v>3</v>
      </c>
      <c r="J140" s="88" t="s">
        <v>288</v>
      </c>
    </row>
    <row r="141" spans="1:10" ht="15.75" hidden="1" x14ac:dyDescent="0.25">
      <c r="A141" s="3">
        <v>2</v>
      </c>
      <c r="B141" s="21" t="s">
        <v>230</v>
      </c>
      <c r="C141" s="3" t="s">
        <v>231</v>
      </c>
      <c r="D141" s="34" t="s">
        <v>1150</v>
      </c>
      <c r="E141" s="11"/>
      <c r="F141" s="2" t="s">
        <v>1043</v>
      </c>
      <c r="G141" s="34">
        <v>20016490</v>
      </c>
      <c r="H141" s="87" t="s">
        <v>1154</v>
      </c>
      <c r="I141" s="87">
        <v>3</v>
      </c>
      <c r="J141" s="88" t="s">
        <v>288</v>
      </c>
    </row>
    <row r="142" spans="1:10" ht="15.75" hidden="1" x14ac:dyDescent="0.25">
      <c r="A142" s="3">
        <v>2</v>
      </c>
      <c r="B142" s="21" t="s">
        <v>230</v>
      </c>
      <c r="C142" s="3" t="s">
        <v>231</v>
      </c>
      <c r="D142" s="34" t="s">
        <v>1151</v>
      </c>
      <c r="E142" s="11"/>
      <c r="F142" s="2" t="s">
        <v>1043</v>
      </c>
      <c r="G142" s="34">
        <v>20016490</v>
      </c>
      <c r="H142" s="87" t="s">
        <v>1154</v>
      </c>
      <c r="I142" s="87">
        <v>3</v>
      </c>
      <c r="J142" s="88" t="s">
        <v>288</v>
      </c>
    </row>
    <row r="143" spans="1:10" ht="15.75" hidden="1" x14ac:dyDescent="0.25">
      <c r="A143" s="3">
        <v>2</v>
      </c>
      <c r="B143" s="21" t="s">
        <v>230</v>
      </c>
      <c r="C143" s="3" t="s">
        <v>231</v>
      </c>
      <c r="D143" s="34" t="s">
        <v>1152</v>
      </c>
      <c r="E143" s="11"/>
      <c r="F143" s="2" t="s">
        <v>1043</v>
      </c>
      <c r="G143" s="34">
        <v>20016490</v>
      </c>
      <c r="H143" s="87" t="s">
        <v>1154</v>
      </c>
      <c r="I143" s="87">
        <v>3</v>
      </c>
      <c r="J143" s="88" t="s">
        <v>288</v>
      </c>
    </row>
    <row r="144" spans="1:10" ht="15.75" hidden="1" x14ac:dyDescent="0.25">
      <c r="A144" s="3">
        <v>2</v>
      </c>
      <c r="B144" s="21" t="s">
        <v>230</v>
      </c>
      <c r="C144" s="3" t="s">
        <v>231</v>
      </c>
      <c r="D144" s="34" t="s">
        <v>1153</v>
      </c>
      <c r="E144" s="11"/>
      <c r="F144" s="2" t="s">
        <v>1043</v>
      </c>
      <c r="G144" s="34">
        <v>20016490</v>
      </c>
      <c r="H144" s="87" t="s">
        <v>1154</v>
      </c>
      <c r="I144" s="87">
        <v>3</v>
      </c>
      <c r="J144" s="88" t="s">
        <v>288</v>
      </c>
    </row>
    <row r="145" spans="1:10" ht="15.75" hidden="1" x14ac:dyDescent="0.25">
      <c r="A145" s="3">
        <v>2</v>
      </c>
      <c r="B145" s="21" t="s">
        <v>230</v>
      </c>
      <c r="C145" s="3" t="s">
        <v>231</v>
      </c>
      <c r="D145" s="34" t="s">
        <v>1155</v>
      </c>
      <c r="E145" s="11" t="s">
        <v>1160</v>
      </c>
      <c r="F145" s="2" t="s">
        <v>1043</v>
      </c>
      <c r="G145" s="34">
        <v>20016490</v>
      </c>
      <c r="H145" s="87" t="s">
        <v>1045</v>
      </c>
      <c r="I145" s="87">
        <v>2</v>
      </c>
      <c r="J145" s="88" t="s">
        <v>288</v>
      </c>
    </row>
    <row r="146" spans="1:10" ht="15.75" hidden="1" x14ac:dyDescent="0.25">
      <c r="A146" s="3">
        <v>2</v>
      </c>
      <c r="B146" s="21" t="s">
        <v>230</v>
      </c>
      <c r="C146" s="3" t="s">
        <v>231</v>
      </c>
      <c r="D146" s="34" t="s">
        <v>1156</v>
      </c>
      <c r="E146" s="11"/>
      <c r="F146" s="2" t="s">
        <v>1043</v>
      </c>
      <c r="G146" s="34">
        <v>20016490</v>
      </c>
      <c r="H146" s="87" t="s">
        <v>1157</v>
      </c>
      <c r="I146" s="87">
        <v>8</v>
      </c>
      <c r="J146" s="88" t="s">
        <v>288</v>
      </c>
    </row>
    <row r="147" spans="1:10" ht="15.75" hidden="1" x14ac:dyDescent="0.25">
      <c r="A147" s="3">
        <v>2</v>
      </c>
      <c r="B147" s="21" t="s">
        <v>599</v>
      </c>
      <c r="C147" s="3" t="s">
        <v>297</v>
      </c>
      <c r="D147" s="34" t="s">
        <v>1142</v>
      </c>
      <c r="E147" s="11"/>
      <c r="F147" s="2" t="s">
        <v>1043</v>
      </c>
      <c r="G147" s="34">
        <v>20016490</v>
      </c>
      <c r="H147" s="87" t="s">
        <v>1049</v>
      </c>
      <c r="I147" s="87">
        <v>4</v>
      </c>
      <c r="J147" s="88" t="s">
        <v>288</v>
      </c>
    </row>
    <row r="148" spans="1:10" ht="15.75" hidden="1" x14ac:dyDescent="0.25">
      <c r="A148" s="3">
        <v>2</v>
      </c>
      <c r="B148" s="21" t="s">
        <v>599</v>
      </c>
      <c r="C148" s="3" t="s">
        <v>297</v>
      </c>
      <c r="D148" s="34" t="s">
        <v>1143</v>
      </c>
      <c r="E148" s="11" t="s">
        <v>1161</v>
      </c>
      <c r="F148" s="2" t="s">
        <v>1043</v>
      </c>
      <c r="G148" s="34">
        <v>20016490</v>
      </c>
      <c r="H148" s="87" t="s">
        <v>1145</v>
      </c>
      <c r="I148" s="87">
        <v>3</v>
      </c>
      <c r="J148" s="88" t="s">
        <v>288</v>
      </c>
    </row>
    <row r="149" spans="1:10" ht="15.75" hidden="1" x14ac:dyDescent="0.25">
      <c r="A149" s="3">
        <v>2</v>
      </c>
      <c r="B149" s="21" t="s">
        <v>599</v>
      </c>
      <c r="C149" s="3" t="s">
        <v>297</v>
      </c>
      <c r="D149" s="34" t="s">
        <v>1144</v>
      </c>
      <c r="E149" s="11" t="s">
        <v>1162</v>
      </c>
      <c r="F149" s="2" t="s">
        <v>1043</v>
      </c>
      <c r="G149" s="34">
        <v>20016490</v>
      </c>
      <c r="H149" s="87" t="s">
        <v>1145</v>
      </c>
      <c r="I149" s="87">
        <v>3</v>
      </c>
      <c r="J149" s="88" t="s">
        <v>288</v>
      </c>
    </row>
    <row r="150" spans="1:10" ht="15.75" hidden="1" x14ac:dyDescent="0.25">
      <c r="A150" s="3">
        <v>2</v>
      </c>
      <c r="B150" s="21" t="s">
        <v>599</v>
      </c>
      <c r="C150" s="3" t="s">
        <v>297</v>
      </c>
      <c r="D150" s="34" t="s">
        <v>1158</v>
      </c>
      <c r="E150" s="11" t="s">
        <v>1163</v>
      </c>
      <c r="F150" s="2" t="s">
        <v>1043</v>
      </c>
      <c r="G150" s="34">
        <v>20016490</v>
      </c>
      <c r="H150" s="87" t="s">
        <v>1145</v>
      </c>
      <c r="I150" s="87">
        <v>3</v>
      </c>
      <c r="J150" s="88" t="s">
        <v>288</v>
      </c>
    </row>
    <row r="151" spans="1:10" ht="15.75" hidden="1" x14ac:dyDescent="0.25">
      <c r="A151" s="3">
        <v>2</v>
      </c>
      <c r="B151" s="21" t="s">
        <v>599</v>
      </c>
      <c r="C151" s="3" t="s">
        <v>297</v>
      </c>
      <c r="D151" s="34" t="s">
        <v>1159</v>
      </c>
      <c r="E151" s="11" t="s">
        <v>1164</v>
      </c>
      <c r="F151" s="2" t="s">
        <v>1043</v>
      </c>
      <c r="G151" s="34">
        <v>20016490</v>
      </c>
      <c r="H151" s="87" t="s">
        <v>1145</v>
      </c>
      <c r="I151" s="87">
        <v>3</v>
      </c>
      <c r="J151" s="88" t="s">
        <v>288</v>
      </c>
    </row>
    <row r="152" spans="1:10" ht="15.75" hidden="1" x14ac:dyDescent="0.25">
      <c r="A152" s="3">
        <v>2</v>
      </c>
      <c r="B152" s="21" t="s">
        <v>599</v>
      </c>
      <c r="C152" s="3" t="s">
        <v>297</v>
      </c>
      <c r="D152" s="34" t="s">
        <v>1146</v>
      </c>
      <c r="E152" s="11"/>
      <c r="F152" s="2" t="s">
        <v>1043</v>
      </c>
      <c r="G152" s="34">
        <v>20016490</v>
      </c>
      <c r="H152" s="87" t="s">
        <v>1154</v>
      </c>
      <c r="I152" s="87">
        <v>3</v>
      </c>
      <c r="J152" s="88" t="s">
        <v>288</v>
      </c>
    </row>
    <row r="153" spans="1:10" ht="15.75" hidden="1" x14ac:dyDescent="0.25">
      <c r="A153" s="3">
        <v>2</v>
      </c>
      <c r="B153" s="21" t="s">
        <v>599</v>
      </c>
      <c r="C153" s="3" t="s">
        <v>297</v>
      </c>
      <c r="D153" s="34" t="s">
        <v>1147</v>
      </c>
      <c r="E153" s="11"/>
      <c r="F153" s="2" t="s">
        <v>1043</v>
      </c>
      <c r="G153" s="34">
        <v>20016490</v>
      </c>
      <c r="H153" s="87" t="s">
        <v>1154</v>
      </c>
      <c r="I153" s="87">
        <v>3</v>
      </c>
      <c r="J153" s="88" t="s">
        <v>288</v>
      </c>
    </row>
    <row r="154" spans="1:10" ht="15.75" hidden="1" x14ac:dyDescent="0.25">
      <c r="A154" s="3">
        <v>2</v>
      </c>
      <c r="B154" s="21" t="s">
        <v>599</v>
      </c>
      <c r="C154" s="3" t="s">
        <v>297</v>
      </c>
      <c r="D154" s="34" t="s">
        <v>1148</v>
      </c>
      <c r="E154" s="11"/>
      <c r="F154" s="2" t="s">
        <v>1043</v>
      </c>
      <c r="G154" s="34">
        <v>20016490</v>
      </c>
      <c r="H154" s="87" t="s">
        <v>1154</v>
      </c>
      <c r="I154" s="87">
        <v>3</v>
      </c>
      <c r="J154" s="88" t="s">
        <v>288</v>
      </c>
    </row>
    <row r="155" spans="1:10" ht="15.75" hidden="1" x14ac:dyDescent="0.25">
      <c r="A155" s="3">
        <v>2</v>
      </c>
      <c r="B155" s="21" t="s">
        <v>599</v>
      </c>
      <c r="C155" s="3" t="s">
        <v>297</v>
      </c>
      <c r="D155" s="34" t="s">
        <v>1149</v>
      </c>
      <c r="E155" s="11"/>
      <c r="F155" s="2" t="s">
        <v>1043</v>
      </c>
      <c r="G155" s="34">
        <v>20016490</v>
      </c>
      <c r="H155" s="87" t="s">
        <v>1154</v>
      </c>
      <c r="I155" s="87">
        <v>3</v>
      </c>
      <c r="J155" s="88" t="s">
        <v>288</v>
      </c>
    </row>
    <row r="156" spans="1:10" ht="15.75" hidden="1" x14ac:dyDescent="0.25">
      <c r="A156" s="3">
        <v>2</v>
      </c>
      <c r="B156" s="21" t="s">
        <v>599</v>
      </c>
      <c r="C156" s="3" t="s">
        <v>297</v>
      </c>
      <c r="D156" s="34" t="s">
        <v>1150</v>
      </c>
      <c r="E156" s="11"/>
      <c r="F156" s="2" t="s">
        <v>1043</v>
      </c>
      <c r="G156" s="34">
        <v>20016490</v>
      </c>
      <c r="H156" s="87" t="s">
        <v>1154</v>
      </c>
      <c r="I156" s="87">
        <v>3</v>
      </c>
      <c r="J156" s="88" t="s">
        <v>288</v>
      </c>
    </row>
    <row r="157" spans="1:10" ht="15.75" hidden="1" x14ac:dyDescent="0.25">
      <c r="A157" s="3">
        <v>2</v>
      </c>
      <c r="B157" s="21" t="s">
        <v>599</v>
      </c>
      <c r="C157" s="3" t="s">
        <v>297</v>
      </c>
      <c r="D157" s="34" t="s">
        <v>1151</v>
      </c>
      <c r="E157" s="11"/>
      <c r="F157" s="2" t="s">
        <v>1043</v>
      </c>
      <c r="G157" s="34">
        <v>20016490</v>
      </c>
      <c r="H157" s="87" t="s">
        <v>1154</v>
      </c>
      <c r="I157" s="87">
        <v>3</v>
      </c>
      <c r="J157" s="88" t="s">
        <v>288</v>
      </c>
    </row>
    <row r="158" spans="1:10" ht="15.75" hidden="1" x14ac:dyDescent="0.25">
      <c r="A158" s="3">
        <v>2</v>
      </c>
      <c r="B158" s="21" t="s">
        <v>599</v>
      </c>
      <c r="C158" s="3" t="s">
        <v>297</v>
      </c>
      <c r="D158" s="34" t="s">
        <v>1152</v>
      </c>
      <c r="E158" s="11"/>
      <c r="F158" s="2" t="s">
        <v>1043</v>
      </c>
      <c r="G158" s="34">
        <v>20016490</v>
      </c>
      <c r="H158" s="87" t="s">
        <v>1154</v>
      </c>
      <c r="I158" s="87">
        <v>3</v>
      </c>
      <c r="J158" s="88" t="s">
        <v>288</v>
      </c>
    </row>
    <row r="159" spans="1:10" ht="15.75" hidden="1" x14ac:dyDescent="0.25">
      <c r="A159" s="3">
        <v>2</v>
      </c>
      <c r="B159" s="21" t="s">
        <v>599</v>
      </c>
      <c r="C159" s="3" t="s">
        <v>297</v>
      </c>
      <c r="D159" s="34" t="s">
        <v>1153</v>
      </c>
      <c r="E159" s="11"/>
      <c r="F159" s="2" t="s">
        <v>1043</v>
      </c>
      <c r="G159" s="34">
        <v>20016490</v>
      </c>
      <c r="H159" s="87" t="s">
        <v>1154</v>
      </c>
      <c r="I159" s="87">
        <v>3</v>
      </c>
      <c r="J159" s="88" t="s">
        <v>288</v>
      </c>
    </row>
    <row r="160" spans="1:10" ht="15.75" hidden="1" x14ac:dyDescent="0.25">
      <c r="A160" s="3">
        <v>2</v>
      </c>
      <c r="B160" s="21" t="s">
        <v>599</v>
      </c>
      <c r="C160" s="3" t="s">
        <v>297</v>
      </c>
      <c r="D160" s="34" t="s">
        <v>1155</v>
      </c>
      <c r="E160" s="11" t="s">
        <v>1165</v>
      </c>
      <c r="F160" s="2" t="s">
        <v>1043</v>
      </c>
      <c r="G160" s="34">
        <v>20016490</v>
      </c>
      <c r="H160" s="87" t="s">
        <v>1045</v>
      </c>
      <c r="I160" s="87">
        <v>2</v>
      </c>
      <c r="J160" s="88" t="s">
        <v>288</v>
      </c>
    </row>
    <row r="161" spans="1:10" ht="15.75" hidden="1" x14ac:dyDescent="0.25">
      <c r="A161" s="3">
        <v>2</v>
      </c>
      <c r="B161" s="21" t="s">
        <v>599</v>
      </c>
      <c r="C161" s="3" t="s">
        <v>297</v>
      </c>
      <c r="D161" s="34" t="s">
        <v>1156</v>
      </c>
      <c r="E161" s="11"/>
      <c r="F161" s="2" t="s">
        <v>1043</v>
      </c>
      <c r="G161" s="34">
        <v>20016490</v>
      </c>
      <c r="H161" s="87" t="s">
        <v>1157</v>
      </c>
      <c r="I161" s="87">
        <v>8</v>
      </c>
      <c r="J161" s="88" t="s">
        <v>288</v>
      </c>
    </row>
    <row r="162" spans="1:10" ht="15.75" hidden="1" x14ac:dyDescent="0.25">
      <c r="A162" s="3">
        <v>2</v>
      </c>
      <c r="B162" s="21" t="s">
        <v>458</v>
      </c>
      <c r="C162" s="3" t="s">
        <v>425</v>
      </c>
      <c r="D162" s="34" t="s">
        <v>1166</v>
      </c>
      <c r="E162" s="11"/>
      <c r="F162" s="2" t="s">
        <v>1043</v>
      </c>
      <c r="G162" s="34">
        <v>20016490</v>
      </c>
      <c r="H162" s="87" t="s">
        <v>1157</v>
      </c>
      <c r="I162" s="87">
        <v>8</v>
      </c>
      <c r="J162" s="88" t="s">
        <v>288</v>
      </c>
    </row>
    <row r="163" spans="1:10" ht="15.75" hidden="1" x14ac:dyDescent="0.25">
      <c r="A163" s="3">
        <v>2</v>
      </c>
      <c r="B163" s="21" t="s">
        <v>458</v>
      </c>
      <c r="C163" s="3" t="s">
        <v>425</v>
      </c>
      <c r="D163" s="34" t="s">
        <v>1167</v>
      </c>
      <c r="E163" s="11"/>
      <c r="F163" s="2" t="s">
        <v>1043</v>
      </c>
      <c r="G163" s="34">
        <v>20016490</v>
      </c>
      <c r="H163" s="87" t="s">
        <v>1157</v>
      </c>
      <c r="I163" s="87">
        <v>8</v>
      </c>
      <c r="J163" s="88" t="s">
        <v>288</v>
      </c>
    </row>
    <row r="164" spans="1:10" ht="15.75" hidden="1" x14ac:dyDescent="0.25">
      <c r="A164" s="3">
        <v>2</v>
      </c>
      <c r="B164" s="21" t="s">
        <v>458</v>
      </c>
      <c r="C164" s="3" t="s">
        <v>425</v>
      </c>
      <c r="D164" s="34" t="s">
        <v>1169</v>
      </c>
      <c r="E164" s="11"/>
      <c r="F164" s="2" t="s">
        <v>1043</v>
      </c>
      <c r="G164" s="34">
        <v>20016490</v>
      </c>
      <c r="H164" s="87" t="s">
        <v>1168</v>
      </c>
      <c r="I164" s="87">
        <v>1</v>
      </c>
      <c r="J164" s="88" t="s">
        <v>288</v>
      </c>
    </row>
    <row r="165" spans="1:10" ht="15.75" hidden="1" x14ac:dyDescent="0.25">
      <c r="A165" s="3">
        <v>2</v>
      </c>
      <c r="B165" s="21" t="s">
        <v>458</v>
      </c>
      <c r="C165" s="3" t="s">
        <v>425</v>
      </c>
      <c r="D165" s="34" t="s">
        <v>1170</v>
      </c>
      <c r="E165" s="11"/>
      <c r="F165" s="2" t="s">
        <v>1043</v>
      </c>
      <c r="G165" s="34">
        <v>20016490</v>
      </c>
      <c r="H165" s="87" t="s">
        <v>1168</v>
      </c>
      <c r="I165" s="87">
        <v>1</v>
      </c>
      <c r="J165" s="88" t="s">
        <v>288</v>
      </c>
    </row>
    <row r="166" spans="1:10" ht="15.75" hidden="1" x14ac:dyDescent="0.25">
      <c r="A166" s="3">
        <v>2</v>
      </c>
      <c r="B166" s="21" t="s">
        <v>458</v>
      </c>
      <c r="C166" s="3" t="s">
        <v>425</v>
      </c>
      <c r="D166" s="34" t="s">
        <v>1171</v>
      </c>
      <c r="E166" s="11"/>
      <c r="F166" s="2" t="s">
        <v>1043</v>
      </c>
      <c r="G166" s="34">
        <v>20016490</v>
      </c>
      <c r="H166" s="87" t="s">
        <v>1172</v>
      </c>
      <c r="I166" s="87">
        <v>4</v>
      </c>
      <c r="J166" s="88" t="s">
        <v>288</v>
      </c>
    </row>
    <row r="167" spans="1:10" ht="15.75" hidden="1" x14ac:dyDescent="0.25">
      <c r="A167" s="3">
        <v>2</v>
      </c>
      <c r="B167" s="21" t="s">
        <v>458</v>
      </c>
      <c r="C167" s="3" t="s">
        <v>425</v>
      </c>
      <c r="D167" s="34" t="s">
        <v>1173</v>
      </c>
      <c r="E167" s="11"/>
      <c r="F167" s="2" t="s">
        <v>1043</v>
      </c>
      <c r="G167" s="34">
        <v>20016490</v>
      </c>
      <c r="H167" s="87" t="s">
        <v>1168</v>
      </c>
      <c r="I167" s="87">
        <v>3</v>
      </c>
      <c r="J167" s="88" t="s">
        <v>288</v>
      </c>
    </row>
    <row r="168" spans="1:10" ht="15.75" hidden="1" x14ac:dyDescent="0.25">
      <c r="A168" s="3">
        <v>2</v>
      </c>
      <c r="B168" s="21" t="s">
        <v>458</v>
      </c>
      <c r="C168" s="3" t="s">
        <v>425</v>
      </c>
      <c r="D168" s="34" t="s">
        <v>1175</v>
      </c>
      <c r="E168" s="11"/>
      <c r="F168" s="2" t="s">
        <v>1043</v>
      </c>
      <c r="G168" s="34">
        <v>20016490</v>
      </c>
      <c r="H168" s="87" t="s">
        <v>1168</v>
      </c>
      <c r="I168" s="87">
        <v>3</v>
      </c>
      <c r="J168" s="88" t="s">
        <v>288</v>
      </c>
    </row>
    <row r="169" spans="1:10" ht="15.75" hidden="1" x14ac:dyDescent="0.25">
      <c r="A169" s="3">
        <v>2</v>
      </c>
      <c r="B169" s="21" t="s">
        <v>458</v>
      </c>
      <c r="C169" s="3" t="s">
        <v>425</v>
      </c>
      <c r="D169" s="34" t="s">
        <v>1174</v>
      </c>
      <c r="E169" s="11"/>
      <c r="F169" s="2" t="s">
        <v>1043</v>
      </c>
      <c r="G169" s="34">
        <v>20016490</v>
      </c>
      <c r="H169" s="87" t="s">
        <v>1168</v>
      </c>
      <c r="I169" s="87">
        <v>3</v>
      </c>
      <c r="J169" s="88" t="s">
        <v>288</v>
      </c>
    </row>
    <row r="170" spans="1:10" ht="15.75" hidden="1" x14ac:dyDescent="0.25">
      <c r="A170" s="3">
        <v>2</v>
      </c>
      <c r="B170" s="21" t="s">
        <v>458</v>
      </c>
      <c r="C170" s="3" t="s">
        <v>425</v>
      </c>
      <c r="D170" s="34" t="s">
        <v>1176</v>
      </c>
      <c r="E170" s="11"/>
      <c r="F170" s="2" t="s">
        <v>1043</v>
      </c>
      <c r="G170" s="34">
        <v>20016490</v>
      </c>
      <c r="H170" s="87" t="s">
        <v>1168</v>
      </c>
      <c r="I170" s="87">
        <v>3</v>
      </c>
      <c r="J170" s="88" t="s">
        <v>288</v>
      </c>
    </row>
    <row r="171" spans="1:10" ht="15.75" hidden="1" x14ac:dyDescent="0.25">
      <c r="A171" s="3">
        <v>2</v>
      </c>
      <c r="B171" s="21" t="s">
        <v>458</v>
      </c>
      <c r="C171" s="3" t="s">
        <v>425</v>
      </c>
      <c r="D171" s="34" t="s">
        <v>1177</v>
      </c>
      <c r="E171" s="11"/>
      <c r="F171" s="2" t="s">
        <v>1043</v>
      </c>
      <c r="G171" s="34">
        <v>20016490</v>
      </c>
      <c r="H171" s="87" t="s">
        <v>1178</v>
      </c>
      <c r="I171" s="87">
        <v>4</v>
      </c>
      <c r="J171" s="88" t="s">
        <v>288</v>
      </c>
    </row>
    <row r="172" spans="1:10" ht="15.75" hidden="1" x14ac:dyDescent="0.25">
      <c r="A172" s="3">
        <v>2</v>
      </c>
      <c r="B172" s="21" t="s">
        <v>458</v>
      </c>
      <c r="C172" s="3" t="s">
        <v>425</v>
      </c>
      <c r="D172" s="34" t="s">
        <v>1179</v>
      </c>
      <c r="E172" s="11"/>
      <c r="F172" s="2" t="s">
        <v>1043</v>
      </c>
      <c r="G172" s="34">
        <v>20016490</v>
      </c>
      <c r="H172" s="87" t="s">
        <v>1180</v>
      </c>
      <c r="I172" s="87">
        <v>16</v>
      </c>
      <c r="J172" s="88" t="s">
        <v>288</v>
      </c>
    </row>
    <row r="173" spans="1:10" ht="15.75" hidden="1" x14ac:dyDescent="0.25">
      <c r="A173" s="3">
        <v>2</v>
      </c>
      <c r="B173" s="21" t="s">
        <v>458</v>
      </c>
      <c r="C173" s="3" t="s">
        <v>425</v>
      </c>
      <c r="D173" s="34" t="s">
        <v>1181</v>
      </c>
      <c r="E173" s="11"/>
      <c r="F173" s="2" t="s">
        <v>1043</v>
      </c>
      <c r="G173" s="34">
        <v>20016490</v>
      </c>
      <c r="H173" s="87" t="s">
        <v>1183</v>
      </c>
      <c r="I173" s="87">
        <v>12</v>
      </c>
      <c r="J173" s="88" t="s">
        <v>288</v>
      </c>
    </row>
    <row r="174" spans="1:10" ht="15.75" hidden="1" x14ac:dyDescent="0.25">
      <c r="A174" s="3">
        <v>2</v>
      </c>
      <c r="B174" s="21" t="s">
        <v>458</v>
      </c>
      <c r="C174" s="3" t="s">
        <v>425</v>
      </c>
      <c r="D174" s="34" t="s">
        <v>1182</v>
      </c>
      <c r="E174" s="11"/>
      <c r="F174" s="2" t="s">
        <v>1043</v>
      </c>
      <c r="G174" s="34">
        <v>20016490</v>
      </c>
      <c r="H174" s="87" t="s">
        <v>1180</v>
      </c>
      <c r="I174" s="87">
        <v>16</v>
      </c>
      <c r="J174" s="88" t="s">
        <v>288</v>
      </c>
    </row>
    <row r="175" spans="1:10" ht="15.75" hidden="1" x14ac:dyDescent="0.25">
      <c r="A175" s="3">
        <v>2</v>
      </c>
      <c r="B175" s="21" t="s">
        <v>458</v>
      </c>
      <c r="C175" s="3" t="s">
        <v>425</v>
      </c>
      <c r="D175" s="34" t="s">
        <v>1184</v>
      </c>
      <c r="E175" s="11"/>
      <c r="F175" s="2" t="s">
        <v>1043</v>
      </c>
      <c r="G175" s="34">
        <v>20016490</v>
      </c>
      <c r="H175" s="87" t="s">
        <v>1185</v>
      </c>
      <c r="I175" s="87">
        <v>8</v>
      </c>
      <c r="J175" s="88" t="s">
        <v>288</v>
      </c>
    </row>
    <row r="176" spans="1:10" ht="15.75" hidden="1" x14ac:dyDescent="0.25">
      <c r="A176" s="3">
        <v>2</v>
      </c>
      <c r="B176" s="21" t="s">
        <v>211</v>
      </c>
      <c r="C176" s="3" t="s">
        <v>210</v>
      </c>
      <c r="D176" s="34" t="s">
        <v>1188</v>
      </c>
      <c r="E176" s="11" t="s">
        <v>1199</v>
      </c>
      <c r="F176" s="2" t="s">
        <v>1043</v>
      </c>
      <c r="G176" s="34">
        <v>20016490</v>
      </c>
      <c r="H176" s="87" t="s">
        <v>1186</v>
      </c>
      <c r="I176" s="87">
        <v>1</v>
      </c>
      <c r="J176" s="88" t="s">
        <v>288</v>
      </c>
    </row>
    <row r="177" spans="1:10" ht="15.75" hidden="1" x14ac:dyDescent="0.25">
      <c r="A177" s="3">
        <v>2</v>
      </c>
      <c r="B177" s="21" t="s">
        <v>211</v>
      </c>
      <c r="C177" s="3" t="s">
        <v>210</v>
      </c>
      <c r="D177" s="34" t="s">
        <v>1189</v>
      </c>
      <c r="E177" s="11" t="s">
        <v>1199</v>
      </c>
      <c r="F177" s="2" t="s">
        <v>1043</v>
      </c>
      <c r="G177" s="34">
        <v>20016490</v>
      </c>
      <c r="H177" s="87" t="s">
        <v>1186</v>
      </c>
      <c r="I177" s="87">
        <v>1</v>
      </c>
      <c r="J177" s="88" t="s">
        <v>288</v>
      </c>
    </row>
    <row r="178" spans="1:10" ht="15.75" hidden="1" x14ac:dyDescent="0.25">
      <c r="A178" s="3">
        <v>2</v>
      </c>
      <c r="B178" s="21" t="s">
        <v>211</v>
      </c>
      <c r="C178" s="3" t="s">
        <v>210</v>
      </c>
      <c r="D178" s="34" t="s">
        <v>1190</v>
      </c>
      <c r="E178" s="11" t="s">
        <v>1199</v>
      </c>
      <c r="F178" s="2" t="s">
        <v>1043</v>
      </c>
      <c r="G178" s="34">
        <v>20016490</v>
      </c>
      <c r="H178" s="87" t="s">
        <v>1186</v>
      </c>
      <c r="I178" s="87">
        <v>1</v>
      </c>
      <c r="J178" s="88" t="s">
        <v>288</v>
      </c>
    </row>
    <row r="179" spans="1:10" ht="15.75" hidden="1" x14ac:dyDescent="0.25">
      <c r="A179" s="3">
        <v>2</v>
      </c>
      <c r="B179" s="21" t="s">
        <v>211</v>
      </c>
      <c r="C179" s="3" t="s">
        <v>210</v>
      </c>
      <c r="D179" s="34" t="s">
        <v>1191</v>
      </c>
      <c r="E179" s="11" t="s">
        <v>1199</v>
      </c>
      <c r="F179" s="2" t="s">
        <v>1043</v>
      </c>
      <c r="G179" s="34">
        <v>20016490</v>
      </c>
      <c r="H179" s="87" t="s">
        <v>1186</v>
      </c>
      <c r="I179" s="87">
        <v>1</v>
      </c>
      <c r="J179" s="88" t="s">
        <v>288</v>
      </c>
    </row>
    <row r="180" spans="1:10" ht="15.75" hidden="1" x14ac:dyDescent="0.25">
      <c r="A180" s="3">
        <v>2</v>
      </c>
      <c r="B180" s="21" t="s">
        <v>211</v>
      </c>
      <c r="C180" s="3" t="s">
        <v>210</v>
      </c>
      <c r="D180" s="34" t="s">
        <v>1192</v>
      </c>
      <c r="E180" s="11" t="s">
        <v>1199</v>
      </c>
      <c r="F180" s="5" t="s">
        <v>1187</v>
      </c>
      <c r="G180" s="34">
        <v>20016374</v>
      </c>
      <c r="H180" s="87" t="s">
        <v>1046</v>
      </c>
      <c r="I180" s="87" t="s">
        <v>109</v>
      </c>
      <c r="J180" s="88" t="s">
        <v>288</v>
      </c>
    </row>
    <row r="181" spans="1:10" ht="15.75" hidden="1" x14ac:dyDescent="0.25">
      <c r="A181" s="3">
        <v>2</v>
      </c>
      <c r="B181" s="21" t="s">
        <v>216</v>
      </c>
      <c r="C181" s="3" t="s">
        <v>214</v>
      </c>
      <c r="D181" s="34" t="s">
        <v>1193</v>
      </c>
      <c r="E181" s="11" t="s">
        <v>1198</v>
      </c>
      <c r="F181" s="2" t="s">
        <v>1043</v>
      </c>
      <c r="G181" s="34">
        <v>20016490</v>
      </c>
      <c r="H181" s="87" t="s">
        <v>1186</v>
      </c>
      <c r="I181" s="87">
        <v>1</v>
      </c>
      <c r="J181" s="88" t="s">
        <v>288</v>
      </c>
    </row>
    <row r="182" spans="1:10" ht="15.75" hidden="1" x14ac:dyDescent="0.25">
      <c r="A182" s="3">
        <v>2</v>
      </c>
      <c r="B182" s="21" t="s">
        <v>216</v>
      </c>
      <c r="C182" s="3" t="s">
        <v>214</v>
      </c>
      <c r="D182" s="34" t="s">
        <v>1194</v>
      </c>
      <c r="E182" s="11" t="s">
        <v>1198</v>
      </c>
      <c r="F182" s="2" t="s">
        <v>1043</v>
      </c>
      <c r="G182" s="34">
        <v>20016490</v>
      </c>
      <c r="H182" s="87" t="s">
        <v>1186</v>
      </c>
      <c r="I182" s="87">
        <v>1</v>
      </c>
      <c r="J182" s="88" t="s">
        <v>288</v>
      </c>
    </row>
    <row r="183" spans="1:10" ht="15.75" hidden="1" x14ac:dyDescent="0.25">
      <c r="A183" s="3">
        <v>2</v>
      </c>
      <c r="B183" s="21" t="s">
        <v>216</v>
      </c>
      <c r="C183" s="3" t="s">
        <v>214</v>
      </c>
      <c r="D183" s="34" t="s">
        <v>1195</v>
      </c>
      <c r="E183" s="11" t="s">
        <v>1198</v>
      </c>
      <c r="F183" s="2" t="s">
        <v>1043</v>
      </c>
      <c r="G183" s="34">
        <v>20016490</v>
      </c>
      <c r="H183" s="87" t="s">
        <v>1186</v>
      </c>
      <c r="I183" s="87">
        <v>1</v>
      </c>
      <c r="J183" s="88" t="s">
        <v>288</v>
      </c>
    </row>
    <row r="184" spans="1:10" ht="15.75" hidden="1" x14ac:dyDescent="0.25">
      <c r="A184" s="3">
        <v>2</v>
      </c>
      <c r="B184" s="21" t="s">
        <v>216</v>
      </c>
      <c r="C184" s="3" t="s">
        <v>214</v>
      </c>
      <c r="D184" s="34" t="s">
        <v>1196</v>
      </c>
      <c r="E184" s="11" t="s">
        <v>1198</v>
      </c>
      <c r="F184" s="2" t="s">
        <v>1043</v>
      </c>
      <c r="G184" s="34">
        <v>20016490</v>
      </c>
      <c r="H184" s="87" t="s">
        <v>1186</v>
      </c>
      <c r="I184" s="87">
        <v>1</v>
      </c>
      <c r="J184" s="88" t="s">
        <v>288</v>
      </c>
    </row>
    <row r="185" spans="1:10" ht="15.75" hidden="1" x14ac:dyDescent="0.25">
      <c r="A185" s="3">
        <v>2</v>
      </c>
      <c r="B185" s="21" t="s">
        <v>216</v>
      </c>
      <c r="C185" s="3" t="s">
        <v>214</v>
      </c>
      <c r="D185" s="34" t="s">
        <v>1197</v>
      </c>
      <c r="E185" s="11" t="s">
        <v>1198</v>
      </c>
      <c r="F185" s="5" t="s">
        <v>1187</v>
      </c>
      <c r="G185" s="34">
        <v>20016374</v>
      </c>
      <c r="H185" s="87" t="s">
        <v>1046</v>
      </c>
      <c r="I185" s="87" t="s">
        <v>109</v>
      </c>
      <c r="J185" s="88" t="s">
        <v>288</v>
      </c>
    </row>
    <row r="186" spans="1:10" ht="15.75" x14ac:dyDescent="0.25">
      <c r="A186" s="3">
        <v>3</v>
      </c>
      <c r="B186" s="21" t="s">
        <v>1200</v>
      </c>
      <c r="C186" s="3" t="s">
        <v>1201</v>
      </c>
      <c r="D186" s="34" t="s">
        <v>1202</v>
      </c>
      <c r="E186" s="11" t="s">
        <v>1205</v>
      </c>
      <c r="F186" s="2" t="s">
        <v>1043</v>
      </c>
      <c r="G186" s="34">
        <v>20016490</v>
      </c>
      <c r="H186" s="87" t="s">
        <v>1168</v>
      </c>
      <c r="I186" s="87">
        <v>1</v>
      </c>
      <c r="J186" s="88" t="s">
        <v>288</v>
      </c>
    </row>
    <row r="187" spans="1:10" ht="15.75" x14ac:dyDescent="0.25">
      <c r="A187" s="3">
        <v>3</v>
      </c>
      <c r="B187" s="21" t="s">
        <v>1200</v>
      </c>
      <c r="C187" s="3" t="s">
        <v>1201</v>
      </c>
      <c r="D187" s="34" t="s">
        <v>1208</v>
      </c>
      <c r="E187" s="11" t="s">
        <v>1211</v>
      </c>
      <c r="F187" s="2" t="s">
        <v>1043</v>
      </c>
      <c r="G187" s="34">
        <v>20016490</v>
      </c>
      <c r="H187" s="87" t="s">
        <v>1168</v>
      </c>
      <c r="I187" s="87">
        <v>1</v>
      </c>
      <c r="J187" s="88" t="s">
        <v>288</v>
      </c>
    </row>
    <row r="188" spans="1:10" ht="15.75" x14ac:dyDescent="0.25">
      <c r="A188" s="3">
        <v>3</v>
      </c>
      <c r="B188" s="21" t="s">
        <v>1200</v>
      </c>
      <c r="C188" s="3" t="s">
        <v>1201</v>
      </c>
      <c r="D188" s="34" t="s">
        <v>1203</v>
      </c>
      <c r="E188" s="11" t="s">
        <v>1206</v>
      </c>
      <c r="F188" s="2" t="s">
        <v>1043</v>
      </c>
      <c r="G188" s="34">
        <v>20016490</v>
      </c>
      <c r="H188" s="87" t="s">
        <v>1168</v>
      </c>
      <c r="I188" s="87">
        <v>1</v>
      </c>
      <c r="J188" s="88" t="s">
        <v>288</v>
      </c>
    </row>
    <row r="189" spans="1:10" ht="15.75" x14ac:dyDescent="0.25">
      <c r="A189" s="3">
        <v>3</v>
      </c>
      <c r="B189" s="21" t="s">
        <v>1200</v>
      </c>
      <c r="C189" s="3" t="s">
        <v>1201</v>
      </c>
      <c r="D189" s="34" t="s">
        <v>1209</v>
      </c>
      <c r="E189" s="11" t="s">
        <v>1212</v>
      </c>
      <c r="F189" s="2" t="s">
        <v>1043</v>
      </c>
      <c r="G189" s="34">
        <v>20016490</v>
      </c>
      <c r="H189" s="87" t="s">
        <v>1168</v>
      </c>
      <c r="I189" s="87">
        <v>1</v>
      </c>
      <c r="J189" s="88" t="s">
        <v>288</v>
      </c>
    </row>
    <row r="190" spans="1:10" ht="15.75" x14ac:dyDescent="0.25">
      <c r="A190" s="3">
        <v>3</v>
      </c>
      <c r="B190" s="21" t="s">
        <v>1200</v>
      </c>
      <c r="C190" s="3" t="s">
        <v>1201</v>
      </c>
      <c r="D190" s="93" t="s">
        <v>1204</v>
      </c>
      <c r="E190" s="11" t="s">
        <v>1207</v>
      </c>
      <c r="F190" s="2" t="s">
        <v>1043</v>
      </c>
      <c r="G190" s="34">
        <v>20016490</v>
      </c>
      <c r="H190" s="87" t="s">
        <v>1168</v>
      </c>
      <c r="I190" s="87">
        <v>1</v>
      </c>
      <c r="J190" s="88" t="s">
        <v>288</v>
      </c>
    </row>
    <row r="191" spans="1:10" ht="15.75" x14ac:dyDescent="0.25">
      <c r="A191" s="3">
        <v>3</v>
      </c>
      <c r="B191" s="21" t="s">
        <v>1200</v>
      </c>
      <c r="C191" s="3" t="s">
        <v>1201</v>
      </c>
      <c r="D191" s="93" t="s">
        <v>1210</v>
      </c>
      <c r="E191" s="11"/>
      <c r="F191" s="2" t="s">
        <v>1043</v>
      </c>
      <c r="G191" s="34">
        <v>20016490</v>
      </c>
      <c r="H191" s="87" t="s">
        <v>1168</v>
      </c>
      <c r="I191" s="87">
        <v>1</v>
      </c>
      <c r="J191" s="88" t="s">
        <v>288</v>
      </c>
    </row>
    <row r="192" spans="1:10" ht="15.75" x14ac:dyDescent="0.25">
      <c r="A192" s="3">
        <v>3</v>
      </c>
      <c r="B192" s="3" t="s">
        <v>888</v>
      </c>
      <c r="C192" s="3" t="s">
        <v>889</v>
      </c>
      <c r="D192" s="34" t="s">
        <v>1213</v>
      </c>
      <c r="E192" s="11"/>
      <c r="F192" s="2" t="s">
        <v>1043</v>
      </c>
      <c r="G192" s="34">
        <v>20016490</v>
      </c>
      <c r="H192" s="87" t="s">
        <v>1186</v>
      </c>
      <c r="I192" s="87">
        <v>1</v>
      </c>
      <c r="J192" s="88" t="s">
        <v>288</v>
      </c>
    </row>
    <row r="193" spans="1:10" ht="15.75" x14ac:dyDescent="0.25">
      <c r="A193" s="3">
        <v>3</v>
      </c>
      <c r="B193" s="3" t="s">
        <v>888</v>
      </c>
      <c r="C193" s="3" t="s">
        <v>889</v>
      </c>
      <c r="D193" s="34" t="s">
        <v>1214</v>
      </c>
      <c r="E193" s="11"/>
      <c r="F193" s="2" t="s">
        <v>1043</v>
      </c>
      <c r="G193" s="34">
        <v>20016490</v>
      </c>
      <c r="H193" s="87" t="s">
        <v>1186</v>
      </c>
      <c r="I193" s="87">
        <v>2</v>
      </c>
      <c r="J193" s="88" t="s">
        <v>288</v>
      </c>
    </row>
    <row r="194" spans="1:10" ht="15.75" x14ac:dyDescent="0.25">
      <c r="A194" s="3">
        <v>3</v>
      </c>
      <c r="B194" s="3" t="s">
        <v>888</v>
      </c>
      <c r="C194" s="3" t="s">
        <v>889</v>
      </c>
      <c r="D194" s="34" t="s">
        <v>1215</v>
      </c>
      <c r="E194" s="11"/>
      <c r="F194" s="2" t="s">
        <v>1043</v>
      </c>
      <c r="G194" s="34">
        <v>20016490</v>
      </c>
      <c r="H194" s="87" t="s">
        <v>1186</v>
      </c>
      <c r="I194" s="87">
        <v>2</v>
      </c>
      <c r="J194" s="88" t="s">
        <v>288</v>
      </c>
    </row>
    <row r="195" spans="1:10" ht="15.75" x14ac:dyDescent="0.25">
      <c r="A195" s="3">
        <v>3</v>
      </c>
      <c r="B195" s="3" t="s">
        <v>888</v>
      </c>
      <c r="C195" s="3" t="s">
        <v>889</v>
      </c>
      <c r="D195" s="34" t="s">
        <v>1216</v>
      </c>
      <c r="E195" s="11"/>
      <c r="F195" s="2" t="s">
        <v>1043</v>
      </c>
      <c r="G195" s="34">
        <v>20016490</v>
      </c>
      <c r="H195" s="87" t="s">
        <v>1186</v>
      </c>
      <c r="I195" s="87">
        <v>2</v>
      </c>
      <c r="J195" s="88" t="s">
        <v>288</v>
      </c>
    </row>
    <row r="196" spans="1:10" ht="15.75" x14ac:dyDescent="0.25">
      <c r="A196" s="3">
        <v>3</v>
      </c>
      <c r="B196" s="3" t="s">
        <v>888</v>
      </c>
      <c r="C196" s="3" t="s">
        <v>889</v>
      </c>
      <c r="D196" s="34" t="s">
        <v>1217</v>
      </c>
      <c r="E196" s="11"/>
      <c r="F196" s="2" t="s">
        <v>1043</v>
      </c>
      <c r="G196" s="34">
        <v>20016490</v>
      </c>
      <c r="H196" s="87" t="s">
        <v>1186</v>
      </c>
      <c r="I196" s="87">
        <v>2</v>
      </c>
      <c r="J196" s="88" t="s">
        <v>288</v>
      </c>
    </row>
    <row r="197" spans="1:10" ht="15.75" x14ac:dyDescent="0.25">
      <c r="A197" s="3">
        <v>3</v>
      </c>
      <c r="B197" s="3" t="s">
        <v>888</v>
      </c>
      <c r="C197" s="3" t="s">
        <v>889</v>
      </c>
      <c r="D197" s="34" t="s">
        <v>1218</v>
      </c>
      <c r="E197" s="11"/>
      <c r="F197" s="2" t="s">
        <v>1043</v>
      </c>
      <c r="G197" s="34">
        <v>20016490</v>
      </c>
      <c r="H197" s="87" t="s">
        <v>1186</v>
      </c>
      <c r="I197" s="87">
        <v>2</v>
      </c>
      <c r="J197" s="88" t="s">
        <v>288</v>
      </c>
    </row>
    <row r="198" spans="1:10" ht="15.75" x14ac:dyDescent="0.25">
      <c r="A198" s="3">
        <v>3</v>
      </c>
      <c r="B198" s="3" t="s">
        <v>888</v>
      </c>
      <c r="C198" s="3" t="s">
        <v>889</v>
      </c>
      <c r="D198" s="34" t="s">
        <v>1219</v>
      </c>
      <c r="E198" s="11"/>
      <c r="F198" s="2" t="s">
        <v>1043</v>
      </c>
      <c r="G198" s="34">
        <v>20016490</v>
      </c>
      <c r="H198" s="87" t="s">
        <v>1186</v>
      </c>
      <c r="I198" s="87">
        <v>2</v>
      </c>
      <c r="J198" s="88" t="s">
        <v>288</v>
      </c>
    </row>
    <row r="199" spans="1:10" ht="15.75" x14ac:dyDescent="0.25">
      <c r="A199" s="3">
        <v>3</v>
      </c>
      <c r="B199" s="3" t="s">
        <v>888</v>
      </c>
      <c r="C199" s="3" t="s">
        <v>889</v>
      </c>
      <c r="D199" s="34" t="s">
        <v>1220</v>
      </c>
      <c r="E199" s="11"/>
      <c r="F199" s="2" t="s">
        <v>1043</v>
      </c>
      <c r="G199" s="34">
        <v>20016490</v>
      </c>
      <c r="H199" s="87" t="s">
        <v>1045</v>
      </c>
      <c r="I199" s="87">
        <v>2</v>
      </c>
      <c r="J199" s="88" t="s">
        <v>288</v>
      </c>
    </row>
    <row r="200" spans="1:10" ht="15.75" x14ac:dyDescent="0.25">
      <c r="A200" s="3">
        <v>3</v>
      </c>
      <c r="B200" s="3" t="s">
        <v>888</v>
      </c>
      <c r="C200" s="3" t="s">
        <v>889</v>
      </c>
      <c r="D200" s="34" t="s">
        <v>1221</v>
      </c>
      <c r="E200" s="11"/>
      <c r="F200" s="2" t="s">
        <v>1043</v>
      </c>
      <c r="G200" s="34">
        <v>20016490</v>
      </c>
      <c r="H200" s="87" t="s">
        <v>1045</v>
      </c>
      <c r="I200" s="87">
        <v>2</v>
      </c>
      <c r="J200" s="88" t="s">
        <v>288</v>
      </c>
    </row>
    <row r="201" spans="1:10" ht="15.75" x14ac:dyDescent="0.25">
      <c r="A201" s="3">
        <v>3</v>
      </c>
      <c r="B201" s="3" t="s">
        <v>888</v>
      </c>
      <c r="C201" s="3" t="s">
        <v>889</v>
      </c>
      <c r="D201" s="34" t="s">
        <v>1177</v>
      </c>
      <c r="E201" s="11"/>
      <c r="F201" s="2" t="s">
        <v>1043</v>
      </c>
      <c r="G201" s="34">
        <v>20016490</v>
      </c>
      <c r="H201" s="87" t="s">
        <v>1178</v>
      </c>
      <c r="I201" s="87">
        <v>4</v>
      </c>
      <c r="J201" s="88" t="s">
        <v>288</v>
      </c>
    </row>
    <row r="202" spans="1:10" ht="15.75" x14ac:dyDescent="0.25">
      <c r="A202" s="3">
        <v>3</v>
      </c>
      <c r="B202" s="3" t="s">
        <v>888</v>
      </c>
      <c r="C202" s="3" t="s">
        <v>889</v>
      </c>
      <c r="D202" s="34" t="s">
        <v>1179</v>
      </c>
      <c r="E202" s="11"/>
      <c r="F202" s="2" t="s">
        <v>1043</v>
      </c>
      <c r="G202" s="34">
        <v>20016490</v>
      </c>
      <c r="H202" s="87" t="s">
        <v>1157</v>
      </c>
      <c r="I202" s="87">
        <v>4</v>
      </c>
      <c r="J202" s="88" t="s">
        <v>288</v>
      </c>
    </row>
    <row r="203" spans="1:10" ht="15.75" x14ac:dyDescent="0.25">
      <c r="A203" s="3">
        <v>3</v>
      </c>
      <c r="B203" s="3" t="s">
        <v>888</v>
      </c>
      <c r="C203" s="3" t="s">
        <v>889</v>
      </c>
      <c r="D203" s="34" t="s">
        <v>1222</v>
      </c>
      <c r="E203" s="11"/>
      <c r="F203" s="2" t="s">
        <v>1043</v>
      </c>
      <c r="G203" s="34">
        <v>20016490</v>
      </c>
      <c r="H203" s="87" t="s">
        <v>1223</v>
      </c>
      <c r="I203" s="87">
        <v>6</v>
      </c>
      <c r="J203" s="88" t="s">
        <v>288</v>
      </c>
    </row>
    <row r="204" spans="1:10" ht="15.75" x14ac:dyDescent="0.25">
      <c r="A204" s="3">
        <v>3</v>
      </c>
      <c r="B204" s="3" t="s">
        <v>888</v>
      </c>
      <c r="C204" s="3" t="s">
        <v>889</v>
      </c>
      <c r="D204" s="34" t="s">
        <v>1224</v>
      </c>
      <c r="E204" s="11"/>
      <c r="F204" s="2" t="s">
        <v>1043</v>
      </c>
      <c r="G204" s="34">
        <v>20016490</v>
      </c>
      <c r="H204" s="87" t="s">
        <v>1157</v>
      </c>
      <c r="I204" s="87">
        <v>4</v>
      </c>
      <c r="J204" s="88" t="s">
        <v>288</v>
      </c>
    </row>
    <row r="205" spans="1:10" ht="15.75" x14ac:dyDescent="0.25">
      <c r="A205" s="3">
        <v>3</v>
      </c>
      <c r="B205" s="3" t="s">
        <v>888</v>
      </c>
      <c r="C205" s="3" t="s">
        <v>889</v>
      </c>
      <c r="D205" s="34" t="s">
        <v>1225</v>
      </c>
      <c r="E205" s="11"/>
      <c r="F205" s="2" t="s">
        <v>1043</v>
      </c>
      <c r="G205" s="34">
        <v>20016490</v>
      </c>
      <c r="H205" s="87" t="s">
        <v>1157</v>
      </c>
      <c r="I205" s="87">
        <v>4</v>
      </c>
      <c r="J205" s="88" t="s">
        <v>288</v>
      </c>
    </row>
    <row r="206" spans="1:10" ht="15.75" x14ac:dyDescent="0.25">
      <c r="A206" s="3">
        <v>3</v>
      </c>
      <c r="B206" s="3" t="s">
        <v>888</v>
      </c>
      <c r="C206" s="3" t="s">
        <v>889</v>
      </c>
      <c r="D206" s="34" t="s">
        <v>1226</v>
      </c>
      <c r="E206" s="11"/>
      <c r="F206" s="2" t="s">
        <v>1043</v>
      </c>
      <c r="G206" s="34">
        <v>20016490</v>
      </c>
      <c r="H206" s="87" t="s">
        <v>1223</v>
      </c>
      <c r="I206" s="87">
        <v>6</v>
      </c>
      <c r="J206" s="88" t="s">
        <v>288</v>
      </c>
    </row>
    <row r="207" spans="1:10" ht="15.75" x14ac:dyDescent="0.25">
      <c r="A207" s="3">
        <v>3</v>
      </c>
      <c r="B207" s="3" t="s">
        <v>888</v>
      </c>
      <c r="C207" s="3" t="s">
        <v>889</v>
      </c>
      <c r="D207" s="34" t="s">
        <v>1227</v>
      </c>
      <c r="E207" s="11"/>
      <c r="F207" s="2" t="s">
        <v>1043</v>
      </c>
      <c r="G207" s="34">
        <v>20016490</v>
      </c>
      <c r="H207" s="87" t="s">
        <v>1157</v>
      </c>
      <c r="I207" s="87">
        <v>4</v>
      </c>
      <c r="J207" s="88" t="s">
        <v>288</v>
      </c>
    </row>
    <row r="208" spans="1:10" ht="15.75" x14ac:dyDescent="0.25">
      <c r="A208" s="3">
        <v>3</v>
      </c>
      <c r="B208" s="3" t="s">
        <v>888</v>
      </c>
      <c r="C208" s="3" t="s">
        <v>889</v>
      </c>
      <c r="D208" s="34" t="s">
        <v>1228</v>
      </c>
      <c r="E208" s="11"/>
      <c r="F208" s="2" t="s">
        <v>1043</v>
      </c>
      <c r="G208" s="34">
        <v>20016490</v>
      </c>
      <c r="H208" s="87" t="s">
        <v>1229</v>
      </c>
      <c r="I208" s="87">
        <v>10</v>
      </c>
      <c r="J208" s="88" t="s">
        <v>288</v>
      </c>
    </row>
    <row r="209" spans="1:10" ht="15.75" x14ac:dyDescent="0.25">
      <c r="A209" s="3">
        <v>3</v>
      </c>
      <c r="B209" s="3" t="s">
        <v>888</v>
      </c>
      <c r="C209" s="3" t="s">
        <v>889</v>
      </c>
      <c r="D209" s="34" t="s">
        <v>1230</v>
      </c>
      <c r="E209" s="11"/>
      <c r="F209" s="2" t="s">
        <v>1043</v>
      </c>
      <c r="G209" s="34">
        <v>20016490</v>
      </c>
      <c r="H209" s="87" t="s">
        <v>1178</v>
      </c>
      <c r="I209" s="87">
        <v>4</v>
      </c>
      <c r="J209" s="88" t="s">
        <v>288</v>
      </c>
    </row>
    <row r="210" spans="1:10" ht="15.75" x14ac:dyDescent="0.25">
      <c r="A210" s="3">
        <v>3</v>
      </c>
      <c r="B210" s="3" t="s">
        <v>888</v>
      </c>
      <c r="C210" s="3" t="s">
        <v>889</v>
      </c>
      <c r="D210" s="94" t="s">
        <v>1231</v>
      </c>
      <c r="E210" s="11"/>
      <c r="F210" s="2" t="s">
        <v>1043</v>
      </c>
      <c r="G210" s="34">
        <v>20016490</v>
      </c>
      <c r="H210" s="87" t="s">
        <v>1178</v>
      </c>
      <c r="I210" s="87">
        <v>4</v>
      </c>
      <c r="J210" s="88" t="s">
        <v>288</v>
      </c>
    </row>
    <row r="211" spans="1:10" ht="15.75" x14ac:dyDescent="0.25">
      <c r="A211" s="3">
        <v>3</v>
      </c>
      <c r="B211" s="3" t="s">
        <v>888</v>
      </c>
      <c r="C211" s="3" t="s">
        <v>889</v>
      </c>
      <c r="D211" s="34" t="s">
        <v>1232</v>
      </c>
      <c r="E211" s="11"/>
      <c r="F211" s="2" t="s">
        <v>1043</v>
      </c>
      <c r="G211" s="34">
        <v>20016490</v>
      </c>
      <c r="H211" s="87" t="s">
        <v>1236</v>
      </c>
      <c r="I211" s="87">
        <v>4</v>
      </c>
      <c r="J211" s="88" t="s">
        <v>288</v>
      </c>
    </row>
    <row r="212" spans="1:10" ht="15.75" x14ac:dyDescent="0.25">
      <c r="A212" s="3">
        <v>3</v>
      </c>
      <c r="B212" s="3" t="s">
        <v>888</v>
      </c>
      <c r="C212" s="3" t="s">
        <v>889</v>
      </c>
      <c r="D212" s="34" t="s">
        <v>1233</v>
      </c>
      <c r="E212" s="11"/>
      <c r="F212" s="2" t="s">
        <v>1043</v>
      </c>
      <c r="G212" s="34">
        <v>20016490</v>
      </c>
      <c r="H212" s="87" t="s">
        <v>1236</v>
      </c>
      <c r="I212" s="87">
        <v>4</v>
      </c>
      <c r="J212" s="88" t="s">
        <v>288</v>
      </c>
    </row>
    <row r="213" spans="1:10" ht="15.75" x14ac:dyDescent="0.25">
      <c r="A213" s="3">
        <v>3</v>
      </c>
      <c r="B213" s="3" t="s">
        <v>888</v>
      </c>
      <c r="C213" s="3" t="s">
        <v>889</v>
      </c>
      <c r="D213" s="34" t="s">
        <v>1234</v>
      </c>
      <c r="E213" s="11"/>
      <c r="F213" s="2" t="s">
        <v>1043</v>
      </c>
      <c r="G213" s="34">
        <v>20016490</v>
      </c>
      <c r="H213" s="87" t="s">
        <v>1236</v>
      </c>
      <c r="I213" s="87">
        <v>4</v>
      </c>
      <c r="J213" s="88" t="s">
        <v>288</v>
      </c>
    </row>
    <row r="214" spans="1:10" ht="15.75" x14ac:dyDescent="0.25">
      <c r="A214" s="3">
        <v>3</v>
      </c>
      <c r="B214" s="3" t="s">
        <v>888</v>
      </c>
      <c r="C214" s="3" t="s">
        <v>889</v>
      </c>
      <c r="D214" s="34" t="s">
        <v>1235</v>
      </c>
      <c r="E214" s="11"/>
      <c r="F214" s="2" t="s">
        <v>1043</v>
      </c>
      <c r="G214" s="34">
        <v>20016490</v>
      </c>
      <c r="H214" s="87" t="s">
        <v>1236</v>
      </c>
      <c r="I214" s="87">
        <v>4</v>
      </c>
      <c r="J214" s="88" t="s">
        <v>288</v>
      </c>
    </row>
    <row r="215" spans="1:10" ht="15.75" x14ac:dyDescent="0.25">
      <c r="A215" s="3">
        <v>3</v>
      </c>
      <c r="B215" s="3" t="s">
        <v>888</v>
      </c>
      <c r="C215" s="3" t="s">
        <v>889</v>
      </c>
      <c r="D215" s="34" t="s">
        <v>1237</v>
      </c>
      <c r="E215" s="11"/>
      <c r="F215" s="2" t="s">
        <v>1043</v>
      </c>
      <c r="G215" s="34">
        <v>20016490</v>
      </c>
      <c r="H215" s="87" t="s">
        <v>1154</v>
      </c>
      <c r="I215" s="87">
        <v>2</v>
      </c>
      <c r="J215" s="88" t="s">
        <v>288</v>
      </c>
    </row>
    <row r="216" spans="1:10" ht="15.75" x14ac:dyDescent="0.25">
      <c r="A216" s="3">
        <v>3</v>
      </c>
      <c r="B216" s="3" t="s">
        <v>789</v>
      </c>
      <c r="C216" s="3" t="s">
        <v>788</v>
      </c>
      <c r="D216" s="34" t="s">
        <v>1141</v>
      </c>
      <c r="E216" s="11"/>
      <c r="F216" s="2" t="s">
        <v>1043</v>
      </c>
      <c r="G216" s="34">
        <v>20016490</v>
      </c>
      <c r="H216" s="87" t="s">
        <v>1185</v>
      </c>
      <c r="I216" s="87">
        <v>8</v>
      </c>
      <c r="J216" s="88" t="s">
        <v>288</v>
      </c>
    </row>
    <row r="217" spans="1:10" ht="15.75" x14ac:dyDescent="0.25">
      <c r="A217" s="3">
        <v>3</v>
      </c>
      <c r="B217" s="3"/>
      <c r="C217" s="3"/>
      <c r="D217" s="34" t="s">
        <v>1238</v>
      </c>
      <c r="E217" s="11"/>
      <c r="F217" s="2" t="s">
        <v>1043</v>
      </c>
      <c r="G217" s="34">
        <v>20016490</v>
      </c>
      <c r="H217" s="87" t="s">
        <v>1186</v>
      </c>
      <c r="I217" s="87">
        <v>1</v>
      </c>
      <c r="J217" s="88" t="s">
        <v>288</v>
      </c>
    </row>
    <row r="218" spans="1:10" ht="15.75" x14ac:dyDescent="0.25">
      <c r="A218" s="3">
        <v>3</v>
      </c>
      <c r="B218" s="3"/>
      <c r="C218" s="3"/>
      <c r="D218" s="34" t="s">
        <v>1239</v>
      </c>
      <c r="E218" s="11"/>
      <c r="F218" s="5" t="s">
        <v>1187</v>
      </c>
      <c r="G218" s="34">
        <v>20016374</v>
      </c>
      <c r="H218" s="87" t="s">
        <v>1240</v>
      </c>
      <c r="I218" s="87" t="s">
        <v>109</v>
      </c>
      <c r="J218" s="88" t="s">
        <v>288</v>
      </c>
    </row>
    <row r="219" spans="1:10" ht="15.75" x14ac:dyDescent="0.25">
      <c r="A219" s="3">
        <v>3</v>
      </c>
      <c r="B219" s="3"/>
      <c r="C219" s="3"/>
      <c r="D219" s="34"/>
      <c r="E219" s="11"/>
      <c r="F219" s="5"/>
      <c r="G219" s="5"/>
      <c r="H219" s="87"/>
      <c r="I219" s="87"/>
      <c r="J219" s="32"/>
    </row>
    <row r="220" spans="1:10" ht="15.75" x14ac:dyDescent="0.25">
      <c r="A220" s="3"/>
      <c r="B220" s="21"/>
      <c r="C220" s="3"/>
      <c r="D220" s="34"/>
      <c r="E220" s="11"/>
      <c r="F220" s="5"/>
      <c r="G220" s="5"/>
      <c r="H220" s="87"/>
      <c r="I220" s="87"/>
      <c r="J220" s="32"/>
    </row>
    <row r="221" spans="1:10" ht="15.75" x14ac:dyDescent="0.25">
      <c r="A221" s="3"/>
      <c r="B221" s="21"/>
      <c r="C221" s="3"/>
      <c r="D221" s="34"/>
      <c r="E221" s="11"/>
      <c r="F221" s="5"/>
      <c r="G221" s="5"/>
      <c r="H221" s="87"/>
      <c r="I221" s="87"/>
      <c r="J221" s="32"/>
    </row>
    <row r="222" spans="1:10" ht="15.75" x14ac:dyDescent="0.25">
      <c r="A222" s="3"/>
      <c r="B222" s="21"/>
      <c r="C222" s="3"/>
      <c r="D222" s="34"/>
      <c r="E222" s="11"/>
      <c r="F222" s="5"/>
      <c r="G222" s="5"/>
      <c r="H222" s="87"/>
      <c r="I222" s="87"/>
      <c r="J222" s="32"/>
    </row>
    <row r="223" spans="1:10" ht="15.75" x14ac:dyDescent="0.25">
      <c r="A223" s="3"/>
      <c r="B223" s="21"/>
      <c r="C223" s="3"/>
      <c r="D223" s="34"/>
      <c r="E223" s="11"/>
      <c r="F223" s="5"/>
      <c r="G223" s="5"/>
      <c r="H223" s="87"/>
      <c r="I223" s="87"/>
      <c r="J223" s="32"/>
    </row>
    <row r="224" spans="1:10" ht="15.75" x14ac:dyDescent="0.25">
      <c r="A224" s="3"/>
      <c r="B224" s="21"/>
      <c r="C224" s="3"/>
      <c r="D224" s="34"/>
      <c r="E224" s="11"/>
      <c r="F224" s="5"/>
      <c r="G224" s="5"/>
      <c r="H224" s="87"/>
      <c r="I224" s="87"/>
      <c r="J224" s="32"/>
    </row>
    <row r="225" spans="1:10" ht="15.75" x14ac:dyDescent="0.25">
      <c r="A225" s="3"/>
      <c r="B225" s="21"/>
      <c r="C225" s="3"/>
      <c r="D225" s="34"/>
      <c r="E225" s="11"/>
      <c r="F225" s="5"/>
      <c r="G225" s="5"/>
      <c r="H225" s="87"/>
      <c r="I225" s="87"/>
      <c r="J225" s="32"/>
    </row>
    <row r="226" spans="1:10" ht="15.75" x14ac:dyDescent="0.25">
      <c r="A226" s="3"/>
      <c r="B226" s="21"/>
      <c r="C226" s="3"/>
      <c r="D226" s="34"/>
      <c r="E226" s="11"/>
      <c r="F226" s="5"/>
      <c r="G226" s="5"/>
      <c r="H226" s="87"/>
      <c r="I226" s="87"/>
      <c r="J226" s="32"/>
    </row>
    <row r="227" spans="1:10" ht="15.75" x14ac:dyDescent="0.25">
      <c r="A227" s="3"/>
      <c r="B227" s="21"/>
      <c r="C227" s="3"/>
      <c r="D227" s="34"/>
      <c r="E227" s="11"/>
      <c r="F227" s="5"/>
      <c r="G227" s="5"/>
      <c r="H227" s="87"/>
      <c r="I227" s="87"/>
      <c r="J227" s="32"/>
    </row>
    <row r="228" spans="1:10" ht="15.75" x14ac:dyDescent="0.25">
      <c r="A228" s="3"/>
      <c r="B228" s="21"/>
      <c r="C228" s="3"/>
      <c r="D228" s="34"/>
      <c r="E228" s="11"/>
      <c r="F228" s="5"/>
      <c r="G228" s="5"/>
      <c r="H228" s="87"/>
      <c r="I228" s="87"/>
      <c r="J228" s="32"/>
    </row>
    <row r="229" spans="1:10" ht="15.75" x14ac:dyDescent="0.25">
      <c r="A229" s="3"/>
      <c r="B229" s="21"/>
      <c r="C229" s="3"/>
      <c r="D229" s="34"/>
      <c r="E229" s="11"/>
      <c r="F229" s="5"/>
      <c r="G229" s="5"/>
      <c r="H229" s="87"/>
      <c r="I229" s="87"/>
      <c r="J229" s="32"/>
    </row>
    <row r="230" spans="1:10" ht="15.75" x14ac:dyDescent="0.25">
      <c r="A230" s="3"/>
      <c r="B230" s="21"/>
      <c r="C230" s="3"/>
      <c r="D230" s="34"/>
      <c r="E230" s="11"/>
      <c r="F230" s="5"/>
      <c r="G230" s="5"/>
      <c r="H230" s="87"/>
      <c r="I230" s="87"/>
      <c r="J230" s="32"/>
    </row>
    <row r="231" spans="1:10" ht="15.75" x14ac:dyDescent="0.25">
      <c r="A231" s="3"/>
      <c r="B231" s="21"/>
      <c r="C231" s="3"/>
      <c r="D231" s="34"/>
      <c r="E231" s="11"/>
      <c r="F231" s="5"/>
      <c r="G231" s="5"/>
      <c r="H231" s="87"/>
      <c r="I231" s="87"/>
      <c r="J231" s="32"/>
    </row>
    <row r="232" spans="1:10" ht="15.75" x14ac:dyDescent="0.25">
      <c r="A232" s="3"/>
      <c r="B232" s="21"/>
      <c r="C232" s="3"/>
      <c r="D232" s="34"/>
      <c r="E232" s="11"/>
      <c r="F232" s="5"/>
      <c r="G232" s="5"/>
      <c r="H232" s="87"/>
      <c r="I232" s="87"/>
      <c r="J232" s="32"/>
    </row>
    <row r="233" spans="1:10" ht="15.75" x14ac:dyDescent="0.25">
      <c r="A233" s="3"/>
      <c r="B233" s="21"/>
      <c r="C233" s="3"/>
      <c r="D233" s="34"/>
      <c r="E233" s="11"/>
      <c r="F233" s="5"/>
      <c r="G233" s="5"/>
      <c r="H233" s="87"/>
      <c r="I233" s="87"/>
      <c r="J233" s="32"/>
    </row>
    <row r="234" spans="1:10" ht="15.75" x14ac:dyDescent="0.25">
      <c r="A234" s="3"/>
      <c r="B234" s="21"/>
      <c r="C234" s="3"/>
      <c r="D234" s="34"/>
      <c r="E234" s="11"/>
      <c r="F234" s="5"/>
      <c r="G234" s="5"/>
      <c r="H234" s="87"/>
      <c r="I234" s="87"/>
      <c r="J234" s="32"/>
    </row>
    <row r="235" spans="1:10" ht="15.75" x14ac:dyDescent="0.25">
      <c r="A235" s="3"/>
      <c r="B235" s="21"/>
      <c r="C235" s="3"/>
      <c r="D235" s="34"/>
      <c r="E235" s="11"/>
      <c r="F235" s="5"/>
      <c r="G235" s="5"/>
      <c r="H235" s="87"/>
      <c r="I235" s="87"/>
      <c r="J235" s="32"/>
    </row>
    <row r="236" spans="1:10" ht="15.75" x14ac:dyDescent="0.25">
      <c r="A236" s="3"/>
      <c r="B236" s="21"/>
      <c r="C236" s="3"/>
      <c r="D236" s="34"/>
      <c r="E236" s="11"/>
      <c r="F236" s="5"/>
      <c r="G236" s="5"/>
      <c r="H236" s="87"/>
      <c r="I236" s="87"/>
      <c r="J236" s="32"/>
    </row>
    <row r="237" spans="1:10" ht="15.75" x14ac:dyDescent="0.25">
      <c r="A237" s="3"/>
      <c r="B237" s="21"/>
      <c r="C237" s="3"/>
      <c r="D237" s="34"/>
      <c r="E237" s="11"/>
      <c r="F237" s="5"/>
      <c r="G237" s="5"/>
      <c r="H237" s="87"/>
      <c r="I237" s="87"/>
      <c r="J237" s="32"/>
    </row>
    <row r="238" spans="1:10" ht="15.75" x14ac:dyDescent="0.25">
      <c r="A238" s="3"/>
      <c r="B238" s="21"/>
      <c r="C238" s="3"/>
      <c r="D238" s="34"/>
      <c r="E238" s="11"/>
      <c r="F238" s="5"/>
      <c r="G238" s="5"/>
      <c r="H238" s="87"/>
      <c r="I238" s="87"/>
      <c r="J238" s="32"/>
    </row>
    <row r="239" spans="1:10" ht="15.75" x14ac:dyDescent="0.25">
      <c r="A239" s="3"/>
      <c r="B239" s="21"/>
      <c r="C239" s="3"/>
      <c r="D239" s="34"/>
      <c r="E239" s="11"/>
      <c r="F239" s="5"/>
      <c r="G239" s="5"/>
      <c r="H239" s="87"/>
      <c r="I239" s="87"/>
      <c r="J239" s="32"/>
    </row>
    <row r="240" spans="1:10" ht="15.75" x14ac:dyDescent="0.25">
      <c r="A240" s="3"/>
      <c r="B240" s="21"/>
      <c r="C240" s="3"/>
      <c r="D240" s="34"/>
      <c r="E240" s="11"/>
      <c r="F240" s="5"/>
      <c r="G240" s="5"/>
      <c r="H240" s="87"/>
      <c r="I240" s="87"/>
      <c r="J240" s="32"/>
    </row>
    <row r="241" spans="1:10" ht="15.75" x14ac:dyDescent="0.25">
      <c r="A241" s="3"/>
      <c r="B241" s="21"/>
      <c r="C241" s="3"/>
      <c r="D241" s="34"/>
      <c r="E241" s="11"/>
      <c r="F241" s="5"/>
      <c r="G241" s="5"/>
      <c r="H241" s="87"/>
      <c r="I241" s="87"/>
      <c r="J241" s="32"/>
    </row>
    <row r="242" spans="1:10" ht="15.75" x14ac:dyDescent="0.25">
      <c r="A242" s="3"/>
      <c r="B242" s="21"/>
      <c r="C242" s="3"/>
      <c r="D242" s="34"/>
      <c r="E242" s="11"/>
      <c r="F242" s="5"/>
      <c r="G242" s="5"/>
      <c r="H242" s="87"/>
      <c r="I242" s="87"/>
      <c r="J242" s="32"/>
    </row>
    <row r="243" spans="1:10" ht="15.75" x14ac:dyDescent="0.25">
      <c r="A243" s="3"/>
      <c r="B243" s="21"/>
      <c r="C243" s="3"/>
      <c r="D243" s="34"/>
      <c r="E243" s="11"/>
      <c r="F243" s="5"/>
      <c r="G243" s="5"/>
      <c r="H243" s="87"/>
      <c r="I243" s="87"/>
      <c r="J243" s="32"/>
    </row>
    <row r="244" spans="1:10" ht="15.75" x14ac:dyDescent="0.25">
      <c r="A244" s="3"/>
      <c r="B244" s="21"/>
      <c r="C244" s="3"/>
      <c r="D244" s="34"/>
      <c r="E244" s="11"/>
      <c r="F244" s="5"/>
      <c r="G244" s="5"/>
      <c r="H244" s="87"/>
      <c r="I244" s="87"/>
      <c r="J244" s="32"/>
    </row>
    <row r="245" spans="1:10" ht="15.75" x14ac:dyDescent="0.25">
      <c r="A245" s="3"/>
      <c r="B245" s="21"/>
      <c r="C245" s="3"/>
      <c r="D245" s="34"/>
      <c r="E245" s="11"/>
      <c r="F245" s="5"/>
      <c r="G245" s="5"/>
      <c r="H245" s="87"/>
      <c r="I245" s="87"/>
      <c r="J245" s="32"/>
    </row>
    <row r="246" spans="1:10" ht="15.75" x14ac:dyDescent="0.25">
      <c r="A246" s="3"/>
      <c r="B246" s="21"/>
      <c r="C246" s="3"/>
      <c r="D246" s="34"/>
      <c r="E246" s="11"/>
      <c r="F246" s="5"/>
      <c r="G246" s="5"/>
      <c r="H246" s="87"/>
      <c r="I246" s="87"/>
      <c r="J246" s="32"/>
    </row>
    <row r="247" spans="1:10" ht="15.75" x14ac:dyDescent="0.25">
      <c r="A247" s="3"/>
      <c r="B247" s="21"/>
      <c r="C247" s="3"/>
      <c r="D247" s="34"/>
      <c r="E247" s="11"/>
      <c r="F247" s="5"/>
      <c r="G247" s="5"/>
      <c r="H247" s="87"/>
      <c r="I247" s="87"/>
      <c r="J247" s="32"/>
    </row>
    <row r="248" spans="1:10" ht="15.75" x14ac:dyDescent="0.25">
      <c r="A248" s="3"/>
      <c r="B248" s="21"/>
      <c r="C248" s="3"/>
      <c r="D248" s="34"/>
      <c r="E248" s="11"/>
      <c r="F248" s="5"/>
      <c r="G248" s="5"/>
      <c r="H248" s="87"/>
      <c r="I248" s="87"/>
      <c r="J248" s="32"/>
    </row>
    <row r="249" spans="1:10" ht="15.75" x14ac:dyDescent="0.25">
      <c r="A249" s="3"/>
      <c r="B249" s="21"/>
      <c r="C249" s="3"/>
      <c r="D249" s="34"/>
      <c r="E249" s="11"/>
      <c r="F249" s="5"/>
      <c r="G249" s="5"/>
      <c r="H249" s="87"/>
      <c r="I249" s="87"/>
      <c r="J249" s="32"/>
    </row>
    <row r="250" spans="1:10" ht="15.75" x14ac:dyDescent="0.25">
      <c r="A250" s="3"/>
      <c r="B250" s="21"/>
      <c r="C250" s="3"/>
      <c r="D250" s="34"/>
      <c r="E250" s="11"/>
      <c r="F250" s="5"/>
      <c r="G250" s="5"/>
      <c r="H250" s="87"/>
      <c r="I250" s="87"/>
      <c r="J250" s="32"/>
    </row>
    <row r="251" spans="1:10" ht="15.75" x14ac:dyDescent="0.25">
      <c r="A251" s="3"/>
      <c r="B251" s="21"/>
      <c r="C251" s="3"/>
      <c r="D251" s="34"/>
      <c r="E251" s="11"/>
      <c r="F251" s="5"/>
      <c r="G251" s="5"/>
      <c r="H251" s="87"/>
      <c r="I251" s="87"/>
      <c r="J251" s="32"/>
    </row>
    <row r="252" spans="1:10" ht="15.75" x14ac:dyDescent="0.25">
      <c r="A252" s="3"/>
      <c r="B252" s="21"/>
      <c r="C252" s="3"/>
      <c r="D252" s="34"/>
      <c r="E252" s="11"/>
      <c r="F252" s="5"/>
      <c r="G252" s="5"/>
      <c r="H252" s="87"/>
      <c r="I252" s="87"/>
      <c r="J252" s="32"/>
    </row>
    <row r="253" spans="1:10" ht="15.75" x14ac:dyDescent="0.25">
      <c r="A253" s="3"/>
      <c r="B253" s="21"/>
      <c r="C253" s="3"/>
      <c r="D253" s="34"/>
      <c r="E253" s="11"/>
      <c r="F253" s="5"/>
      <c r="G253" s="5"/>
      <c r="H253" s="87"/>
      <c r="I253" s="87"/>
      <c r="J253" s="32"/>
    </row>
    <row r="254" spans="1:10" ht="15.75" x14ac:dyDescent="0.25">
      <c r="A254" s="3"/>
      <c r="B254" s="21"/>
      <c r="C254" s="3"/>
      <c r="D254" s="34"/>
      <c r="E254" s="11"/>
      <c r="F254" s="5"/>
      <c r="G254" s="5"/>
      <c r="H254" s="87"/>
      <c r="I254" s="87"/>
      <c r="J254" s="32"/>
    </row>
    <row r="255" spans="1:10" ht="15.75" x14ac:dyDescent="0.25">
      <c r="A255" s="3"/>
      <c r="B255" s="21"/>
      <c r="C255" s="3"/>
      <c r="D255" s="34"/>
      <c r="E255" s="11"/>
      <c r="F255" s="5"/>
      <c r="G255" s="5"/>
      <c r="H255" s="87"/>
      <c r="I255" s="87"/>
      <c r="J255" s="32"/>
    </row>
    <row r="256" spans="1:10" ht="15.75" x14ac:dyDescent="0.25">
      <c r="A256" s="3"/>
      <c r="B256" s="21"/>
      <c r="C256" s="3"/>
      <c r="D256" s="34"/>
      <c r="E256" s="11"/>
      <c r="F256" s="5"/>
      <c r="G256" s="5"/>
      <c r="H256" s="87"/>
      <c r="I256" s="87"/>
      <c r="J256" s="32"/>
    </row>
    <row r="257" spans="1:10" ht="15.75" x14ac:dyDescent="0.25">
      <c r="A257" s="3"/>
      <c r="B257" s="21"/>
      <c r="C257" s="3"/>
      <c r="D257" s="34"/>
      <c r="E257" s="11"/>
      <c r="F257" s="5"/>
      <c r="G257" s="5"/>
      <c r="H257" s="87"/>
      <c r="I257" s="87"/>
      <c r="J257" s="32"/>
    </row>
    <row r="258" spans="1:10" ht="15.75" x14ac:dyDescent="0.25">
      <c r="A258" s="3"/>
      <c r="B258" s="21"/>
      <c r="C258" s="3"/>
      <c r="D258" s="34"/>
      <c r="E258" s="11"/>
      <c r="F258" s="5"/>
      <c r="G258" s="5"/>
      <c r="H258" s="87"/>
      <c r="I258" s="87"/>
      <c r="J258" s="32"/>
    </row>
    <row r="259" spans="1:10" ht="15.75" x14ac:dyDescent="0.25">
      <c r="A259" s="3"/>
      <c r="B259" s="21"/>
      <c r="C259" s="3"/>
      <c r="D259" s="34"/>
      <c r="E259" s="11"/>
      <c r="F259" s="5"/>
      <c r="G259" s="5"/>
      <c r="H259" s="87"/>
      <c r="I259" s="87"/>
      <c r="J259" s="32"/>
    </row>
    <row r="260" spans="1:10" ht="15.75" x14ac:dyDescent="0.25">
      <c r="A260" s="3"/>
      <c r="B260" s="21"/>
      <c r="C260" s="3"/>
      <c r="D260" s="34"/>
      <c r="E260" s="11"/>
      <c r="F260" s="5"/>
      <c r="G260" s="5"/>
      <c r="H260" s="87"/>
      <c r="I260" s="87"/>
      <c r="J260" s="32"/>
    </row>
    <row r="261" spans="1:10" ht="15.75" x14ac:dyDescent="0.25">
      <c r="A261" s="3"/>
      <c r="B261" s="21"/>
      <c r="C261" s="3"/>
      <c r="D261" s="34"/>
      <c r="E261" s="11"/>
      <c r="F261" s="5"/>
      <c r="G261" s="5"/>
      <c r="H261" s="87"/>
      <c r="I261" s="87"/>
      <c r="J261" s="32"/>
    </row>
    <row r="262" spans="1:10" ht="15.75" x14ac:dyDescent="0.25">
      <c r="A262" s="3"/>
      <c r="B262" s="21"/>
      <c r="C262" s="3"/>
      <c r="D262" s="34"/>
      <c r="E262" s="11"/>
      <c r="F262" s="5"/>
      <c r="G262" s="5"/>
      <c r="H262" s="87"/>
      <c r="I262" s="87"/>
      <c r="J262" s="32"/>
    </row>
    <row r="263" spans="1:10" ht="15.75" x14ac:dyDescent="0.25">
      <c r="A263" s="3"/>
      <c r="B263" s="21"/>
      <c r="C263" s="3"/>
      <c r="D263" s="34"/>
      <c r="E263" s="11"/>
      <c r="F263" s="5"/>
      <c r="G263" s="5"/>
      <c r="H263" s="87"/>
      <c r="I263" s="87"/>
      <c r="J263" s="32"/>
    </row>
    <row r="264" spans="1:10" ht="15.75" x14ac:dyDescent="0.25">
      <c r="A264" s="3"/>
      <c r="B264" s="21"/>
      <c r="C264" s="3"/>
      <c r="D264" s="34"/>
      <c r="E264" s="11"/>
      <c r="F264" s="5"/>
      <c r="G264" s="5"/>
      <c r="H264" s="87"/>
      <c r="I264" s="87"/>
      <c r="J264" s="32"/>
    </row>
    <row r="265" spans="1:10" ht="15.75" x14ac:dyDescent="0.25">
      <c r="A265" s="3"/>
      <c r="B265" s="21"/>
      <c r="C265" s="3"/>
      <c r="D265" s="34"/>
      <c r="E265" s="11"/>
      <c r="F265" s="5"/>
      <c r="G265" s="5"/>
      <c r="H265" s="87"/>
      <c r="I265" s="87"/>
      <c r="J265" s="32"/>
    </row>
    <row r="266" spans="1:10" ht="15.75" x14ac:dyDescent="0.25">
      <c r="A266" s="3"/>
      <c r="B266" s="21"/>
      <c r="C266" s="3"/>
      <c r="D266" s="34"/>
      <c r="E266" s="11"/>
      <c r="F266" s="5"/>
      <c r="G266" s="5"/>
      <c r="H266" s="87"/>
      <c r="I266" s="87"/>
      <c r="J266" s="32"/>
    </row>
    <row r="267" spans="1:10" ht="15.75" x14ac:dyDescent="0.25">
      <c r="A267" s="3"/>
      <c r="B267" s="21"/>
      <c r="C267" s="3"/>
      <c r="D267" s="34"/>
      <c r="E267" s="11"/>
      <c r="F267" s="5"/>
      <c r="G267" s="5"/>
      <c r="H267" s="87"/>
      <c r="I267" s="87"/>
      <c r="J267" s="32"/>
    </row>
    <row r="268" spans="1:10" ht="15.75" x14ac:dyDescent="0.25">
      <c r="A268" s="3"/>
      <c r="B268" s="21"/>
      <c r="C268" s="3"/>
      <c r="D268" s="34"/>
      <c r="E268" s="11"/>
      <c r="F268" s="5"/>
      <c r="G268" s="5"/>
      <c r="H268" s="87"/>
      <c r="I268" s="87"/>
      <c r="J268" s="32"/>
    </row>
    <row r="269" spans="1:10" ht="15.75" x14ac:dyDescent="0.25">
      <c r="A269" s="3"/>
      <c r="B269" s="21"/>
      <c r="C269" s="3"/>
      <c r="D269" s="34"/>
      <c r="E269" s="11"/>
      <c r="F269" s="5"/>
      <c r="G269" s="5"/>
      <c r="H269" s="87"/>
      <c r="I269" s="87"/>
      <c r="J269" s="32"/>
    </row>
    <row r="270" spans="1:10" ht="15.75" x14ac:dyDescent="0.25">
      <c r="A270" s="3"/>
      <c r="B270" s="21"/>
      <c r="C270" s="3"/>
      <c r="D270" s="34"/>
      <c r="E270" s="11"/>
      <c r="F270" s="5"/>
      <c r="G270" s="5"/>
      <c r="H270" s="87"/>
      <c r="I270" s="87"/>
      <c r="J270" s="32"/>
    </row>
    <row r="271" spans="1:10" ht="15.75" x14ac:dyDescent="0.25">
      <c r="A271" s="3"/>
      <c r="B271" s="21"/>
      <c r="C271" s="3"/>
      <c r="D271" s="34"/>
      <c r="E271" s="11"/>
      <c r="F271" s="5"/>
      <c r="G271" s="5"/>
      <c r="H271" s="87"/>
      <c r="I271" s="87"/>
      <c r="J271" s="32"/>
    </row>
    <row r="272" spans="1:10" ht="15.75" x14ac:dyDescent="0.25">
      <c r="A272" s="3"/>
      <c r="B272" s="21"/>
      <c r="C272" s="3"/>
      <c r="D272" s="34"/>
      <c r="E272" s="11"/>
      <c r="F272" s="5"/>
      <c r="G272" s="5"/>
      <c r="H272" s="87"/>
      <c r="I272" s="87"/>
      <c r="J272" s="32"/>
    </row>
    <row r="273" spans="1:10" ht="15.75" x14ac:dyDescent="0.25">
      <c r="A273" s="3"/>
      <c r="B273" s="21"/>
      <c r="C273" s="3"/>
      <c r="D273" s="34"/>
      <c r="E273" s="11"/>
      <c r="F273" s="5"/>
      <c r="G273" s="5"/>
      <c r="H273" s="87"/>
      <c r="I273" s="87"/>
      <c r="J273" s="32"/>
    </row>
    <row r="274" spans="1:10" ht="15.75" x14ac:dyDescent="0.25">
      <c r="A274" s="3"/>
      <c r="B274" s="21"/>
      <c r="C274" s="3"/>
      <c r="D274" s="34"/>
      <c r="E274" s="11"/>
      <c r="F274" s="5"/>
      <c r="G274" s="5"/>
      <c r="H274" s="87"/>
      <c r="I274" s="87"/>
      <c r="J274" s="32"/>
    </row>
    <row r="275" spans="1:10" ht="15.75" x14ac:dyDescent="0.25">
      <c r="A275" s="3"/>
      <c r="B275" s="21"/>
      <c r="C275" s="3"/>
      <c r="D275" s="34"/>
      <c r="E275" s="11"/>
      <c r="F275" s="5"/>
      <c r="G275" s="5"/>
      <c r="H275" s="87"/>
      <c r="I275" s="87"/>
      <c r="J275" s="32"/>
    </row>
    <row r="276" spans="1:10" ht="15.75" x14ac:dyDescent="0.25">
      <c r="A276" s="3"/>
      <c r="B276" s="21"/>
      <c r="C276" s="3"/>
      <c r="D276" s="34"/>
      <c r="E276" s="11"/>
      <c r="F276" s="5"/>
      <c r="G276" s="5"/>
      <c r="H276" s="87"/>
      <c r="I276" s="87"/>
      <c r="J276" s="32"/>
    </row>
    <row r="277" spans="1:10" ht="15.75" x14ac:dyDescent="0.25">
      <c r="A277" s="3"/>
      <c r="B277" s="21"/>
      <c r="C277" s="3"/>
      <c r="D277" s="34"/>
      <c r="E277" s="11"/>
      <c r="F277" s="5"/>
      <c r="G277" s="5"/>
      <c r="H277" s="87"/>
      <c r="I277" s="87"/>
      <c r="J277" s="32"/>
    </row>
    <row r="278" spans="1:10" ht="15.75" x14ac:dyDescent="0.25">
      <c r="A278" s="3"/>
      <c r="B278" s="21"/>
      <c r="C278" s="3"/>
      <c r="D278" s="34"/>
      <c r="E278" s="11"/>
      <c r="F278" s="5"/>
      <c r="G278" s="5"/>
      <c r="H278" s="87"/>
      <c r="I278" s="87"/>
      <c r="J278" s="32"/>
    </row>
    <row r="279" spans="1:10" ht="15.75" x14ac:dyDescent="0.25">
      <c r="A279" s="3"/>
      <c r="B279" s="21"/>
      <c r="C279" s="3"/>
      <c r="D279" s="34"/>
      <c r="E279" s="11"/>
      <c r="F279" s="5"/>
      <c r="G279" s="5"/>
      <c r="H279" s="87"/>
      <c r="I279" s="87"/>
      <c r="J279" s="32"/>
    </row>
    <row r="280" spans="1:10" ht="15.75" x14ac:dyDescent="0.25">
      <c r="A280" s="3"/>
      <c r="B280" s="21"/>
      <c r="C280" s="3"/>
      <c r="D280" s="34"/>
      <c r="E280" s="11"/>
      <c r="F280" s="5"/>
      <c r="G280" s="5"/>
      <c r="H280" s="87"/>
      <c r="I280" s="87"/>
      <c r="J280" s="32"/>
    </row>
    <row r="281" spans="1:10" ht="15.75" x14ac:dyDescent="0.25">
      <c r="A281" s="3"/>
      <c r="B281" s="21"/>
      <c r="C281" s="3"/>
      <c r="D281" s="34"/>
      <c r="E281" s="11"/>
      <c r="F281" s="5"/>
      <c r="G281" s="5"/>
      <c r="H281" s="87"/>
      <c r="I281" s="87"/>
      <c r="J281" s="32"/>
    </row>
    <row r="282" spans="1:10" ht="15.75" x14ac:dyDescent="0.25">
      <c r="A282" s="3"/>
      <c r="B282" s="21"/>
      <c r="C282" s="3"/>
      <c r="D282" s="34"/>
      <c r="E282" s="11"/>
      <c r="F282" s="5"/>
      <c r="G282" s="5"/>
      <c r="H282" s="87"/>
      <c r="I282" s="87"/>
      <c r="J282" s="32"/>
    </row>
    <row r="283" spans="1:10" ht="15.75" x14ac:dyDescent="0.25">
      <c r="A283" s="3"/>
      <c r="B283" s="21"/>
      <c r="C283" s="3"/>
      <c r="D283" s="34"/>
      <c r="E283" s="11"/>
      <c r="F283" s="5"/>
      <c r="G283" s="5"/>
      <c r="H283" s="87"/>
      <c r="I283" s="87"/>
      <c r="J283" s="32"/>
    </row>
    <row r="284" spans="1:10" ht="15.75" x14ac:dyDescent="0.25">
      <c r="A284" s="3"/>
      <c r="B284" s="21"/>
      <c r="C284" s="3"/>
      <c r="D284" s="34"/>
      <c r="E284" s="11"/>
      <c r="F284" s="5"/>
      <c r="G284" s="5"/>
      <c r="H284" s="87"/>
      <c r="I284" s="87"/>
      <c r="J284" s="32"/>
    </row>
    <row r="285" spans="1:10" ht="15.75" x14ac:dyDescent="0.25">
      <c r="A285" s="3"/>
      <c r="B285" s="21"/>
      <c r="C285" s="3"/>
      <c r="D285" s="34"/>
      <c r="E285" s="11"/>
      <c r="F285" s="5"/>
      <c r="G285" s="5"/>
      <c r="H285" s="87"/>
      <c r="I285" s="87"/>
      <c r="J285" s="32"/>
    </row>
    <row r="286" spans="1:10" ht="15.75" x14ac:dyDescent="0.25">
      <c r="A286" s="3"/>
      <c r="B286" s="21"/>
      <c r="C286" s="3"/>
      <c r="D286" s="34"/>
      <c r="E286" s="11"/>
      <c r="F286" s="5"/>
      <c r="G286" s="5"/>
      <c r="H286" s="87"/>
      <c r="I286" s="87"/>
      <c r="J286" s="32"/>
    </row>
    <row r="287" spans="1:10" ht="15.75" x14ac:dyDescent="0.25">
      <c r="A287" s="3"/>
      <c r="B287" s="21"/>
      <c r="C287" s="3"/>
      <c r="D287" s="34"/>
      <c r="E287" s="11"/>
      <c r="F287" s="5"/>
      <c r="G287" s="5"/>
      <c r="H287" s="87"/>
      <c r="I287" s="87"/>
      <c r="J287" s="32"/>
    </row>
    <row r="288" spans="1:10" ht="15.75" x14ac:dyDescent="0.25">
      <c r="A288" s="3"/>
      <c r="B288" s="21"/>
      <c r="C288" s="3"/>
      <c r="D288" s="34"/>
      <c r="E288" s="11"/>
      <c r="F288" s="5"/>
      <c r="G288" s="5"/>
      <c r="H288" s="87"/>
      <c r="I288" s="87"/>
      <c r="J288" s="32"/>
    </row>
    <row r="289" spans="1:10" ht="15.75" x14ac:dyDescent="0.25">
      <c r="A289" s="3"/>
      <c r="B289" s="21"/>
      <c r="C289" s="3"/>
      <c r="D289" s="34"/>
      <c r="E289" s="11"/>
      <c r="F289" s="5"/>
      <c r="G289" s="5"/>
      <c r="H289" s="87"/>
      <c r="I289" s="87"/>
      <c r="J289" s="32"/>
    </row>
    <row r="290" spans="1:10" ht="15.75" x14ac:dyDescent="0.25">
      <c r="A290" s="3"/>
      <c r="B290" s="21"/>
      <c r="C290" s="3"/>
      <c r="D290" s="34"/>
      <c r="E290" s="11"/>
      <c r="F290" s="5"/>
      <c r="G290" s="5"/>
      <c r="H290" s="87"/>
      <c r="I290" s="87"/>
      <c r="J290" s="32"/>
    </row>
    <row r="291" spans="1:10" ht="15.75" x14ac:dyDescent="0.25">
      <c r="A291" s="3"/>
      <c r="B291" s="21"/>
      <c r="C291" s="3"/>
      <c r="D291" s="34"/>
      <c r="E291" s="11"/>
      <c r="F291" s="5"/>
      <c r="G291" s="5"/>
      <c r="H291" s="87"/>
      <c r="I291" s="87"/>
      <c r="J291" s="32"/>
    </row>
    <row r="292" spans="1:10" ht="15.75" x14ac:dyDescent="0.25">
      <c r="A292" s="3"/>
      <c r="B292" s="21"/>
      <c r="C292" s="3"/>
      <c r="D292" s="34"/>
      <c r="E292" s="11"/>
      <c r="F292" s="5"/>
      <c r="G292" s="5"/>
      <c r="H292" s="87"/>
      <c r="I292" s="87"/>
      <c r="J292" s="32"/>
    </row>
    <row r="293" spans="1:10" ht="15.75" x14ac:dyDescent="0.25">
      <c r="A293" s="3"/>
      <c r="B293" s="21"/>
      <c r="C293" s="3"/>
      <c r="D293" s="34"/>
      <c r="E293" s="11"/>
      <c r="F293" s="5"/>
      <c r="G293" s="5"/>
      <c r="H293" s="87"/>
      <c r="I293" s="87"/>
      <c r="J293" s="32"/>
    </row>
    <row r="294" spans="1:10" ht="15.75" x14ac:dyDescent="0.25">
      <c r="A294" s="3"/>
      <c r="B294" s="21"/>
      <c r="C294" s="3"/>
      <c r="D294" s="34"/>
      <c r="E294" s="11"/>
      <c r="F294" s="5"/>
      <c r="G294" s="5"/>
      <c r="H294" s="87"/>
      <c r="I294" s="87"/>
      <c r="J294" s="32"/>
    </row>
    <row r="295" spans="1:10" ht="15.75" x14ac:dyDescent="0.25">
      <c r="A295" s="3"/>
      <c r="B295" s="21"/>
      <c r="C295" s="3"/>
      <c r="D295" s="34"/>
      <c r="E295" s="11"/>
      <c r="F295" s="5"/>
      <c r="G295" s="5"/>
      <c r="H295" s="87"/>
      <c r="I295" s="87"/>
      <c r="J295" s="32"/>
    </row>
    <row r="296" spans="1:10" ht="15.75" x14ac:dyDescent="0.25">
      <c r="A296" s="3"/>
      <c r="B296" s="21"/>
      <c r="C296" s="3"/>
      <c r="D296" s="34"/>
      <c r="E296" s="11"/>
      <c r="F296" s="5"/>
      <c r="G296" s="5"/>
      <c r="H296" s="87"/>
      <c r="I296" s="87"/>
      <c r="J296" s="32"/>
    </row>
    <row r="297" spans="1:10" ht="15.75" x14ac:dyDescent="0.25">
      <c r="A297" s="3"/>
      <c r="B297" s="21"/>
      <c r="C297" s="3"/>
      <c r="D297" s="34"/>
      <c r="E297" s="11"/>
      <c r="F297" s="5"/>
      <c r="H297" s="87"/>
      <c r="I297" s="87"/>
      <c r="J297" s="32"/>
    </row>
  </sheetData>
  <autoFilter ref="A3:J219" xr:uid="{D5A40789-C812-421B-A978-C88C7B4EE0FB}">
    <filterColumn colId="0">
      <filters>
        <filter val="3"/>
      </filters>
    </filterColumn>
  </autoFilter>
  <mergeCells count="3">
    <mergeCell ref="A1:J1"/>
    <mergeCell ref="A2:C2"/>
    <mergeCell ref="D2:J2"/>
  </mergeCells>
  <phoneticPr fontId="10" type="noConversion"/>
  <conditionalFormatting sqref="D3:E297">
    <cfRule type="cellIs" dxfId="30" priority="3" operator="equal">
      <formula>"C"</formula>
    </cfRule>
    <cfRule type="cellIs" dxfId="29" priority="4" operator="equal">
      <formula>"A"</formula>
    </cfRule>
  </conditionalFormatting>
  <conditionalFormatting sqref="E5:E8 D5:D11 E13 E45:E46 E61:E62">
    <cfRule type="cellIs" dxfId="28" priority="60" operator="equal">
      <formula>"C"</formula>
    </cfRule>
    <cfRule type="cellIs" dxfId="27" priority="61" operator="equal">
      <formula>"A"</formula>
    </cfRule>
  </conditionalFormatting>
  <conditionalFormatting sqref="F4:F11 F39:F44 F104:F123 F180 F185 F218:F297 F3:G3 F32:G35 F65:G68 G219:G296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:F31 F124:F179">
    <cfRule type="containsText" dxfId="26" priority="20" operator="containsText" text="CL 220 EP">
      <formula>NOT(ISERROR(SEARCH("CL 220 EP",F12)))</formula>
    </cfRule>
  </conditionalFormatting>
  <conditionalFormatting sqref="F36:F38">
    <cfRule type="containsText" dxfId="25" priority="19" operator="containsText" text="CL 220 EP">
      <formula>NOT(ISERROR(SEARCH("CL 220 EP",F36)))</formula>
    </cfRule>
  </conditionalFormatting>
  <conditionalFormatting sqref="F45:F64">
    <cfRule type="containsText" dxfId="24" priority="14" operator="containsText" text="CL 220 EP">
      <formula>NOT(ISERROR(SEARCH("CL 220 EP",F45)))</formula>
    </cfRule>
  </conditionalFormatting>
  <conditionalFormatting sqref="F69:F103">
    <cfRule type="containsText" dxfId="23" priority="12" operator="containsText" text="CL 220 EP">
      <formula>NOT(ISERROR(SEARCH("CL 220 EP",F69)))</formula>
    </cfRule>
  </conditionalFormatting>
  <conditionalFormatting sqref="F181:F184">
    <cfRule type="containsText" dxfId="22" priority="2" operator="containsText" text="CL 220 EP">
      <formula>NOT(ISERROR(SEARCH("CL 220 EP",F181)))</formula>
    </cfRule>
  </conditionalFormatting>
  <conditionalFormatting sqref="F186:F217">
    <cfRule type="containsText" dxfId="21" priority="1" operator="containsText" text="CL 220 EP">
      <formula>NOT(ISERROR(SEARCH("CL 220 EP",F186)))</formula>
    </cfRule>
  </conditionalFormatting>
  <conditionalFormatting sqref="G4:G11">
    <cfRule type="cellIs" dxfId="20" priority="24" operator="equal">
      <formula>"C"</formula>
    </cfRule>
    <cfRule type="cellIs" dxfId="19" priority="25" operator="equal">
      <formula>"A"</formula>
    </cfRule>
  </conditionalFormatting>
  <conditionalFormatting sqref="G39:G44">
    <cfRule type="cellIs" dxfId="18" priority="17" operator="equal">
      <formula>"C"</formula>
    </cfRule>
    <cfRule type="cellIs" dxfId="17" priority="18" operator="equal">
      <formula>"A"</formula>
    </cfRule>
  </conditionalFormatting>
  <conditionalFormatting sqref="G104:G123">
    <cfRule type="cellIs" dxfId="16" priority="10" operator="equal">
      <formula>"C"</formula>
    </cfRule>
    <cfRule type="cellIs" dxfId="15" priority="11" operator="equal">
      <formula>"A"</formula>
    </cfRule>
  </conditionalFormatting>
  <conditionalFormatting sqref="H3:H297 J3:J297">
    <cfRule type="colorScale" priority="3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F3D91-BACD-4FAC-AD6C-9947A008C26A}">
  <dimension ref="B1:J23"/>
  <sheetViews>
    <sheetView workbookViewId="0">
      <selection activeCell="I40" sqref="I40"/>
    </sheetView>
  </sheetViews>
  <sheetFormatPr defaultRowHeight="15" x14ac:dyDescent="0.25"/>
  <cols>
    <col min="2" max="2" width="10.85546875" customWidth="1"/>
    <col min="5" max="5" width="2.85546875" customWidth="1"/>
  </cols>
  <sheetData>
    <row r="1" spans="2:10" ht="15" customHeight="1" x14ac:dyDescent="0.25">
      <c r="B1" s="206"/>
      <c r="C1" s="208" t="s">
        <v>697</v>
      </c>
      <c r="D1" s="209"/>
      <c r="E1" s="209"/>
      <c r="F1" s="209"/>
      <c r="G1" s="209"/>
      <c r="H1" s="210"/>
    </row>
    <row r="2" spans="2:10" ht="15.75" thickBot="1" x14ac:dyDescent="0.3">
      <c r="B2" s="207"/>
      <c r="C2" s="211"/>
      <c r="D2" s="212"/>
      <c r="E2" s="212"/>
      <c r="F2" s="212"/>
      <c r="G2" s="212"/>
      <c r="H2" s="213"/>
    </row>
    <row r="3" spans="2:10" ht="15.75" thickBot="1" x14ac:dyDescent="0.3">
      <c r="B3" s="197" t="s">
        <v>698</v>
      </c>
      <c r="C3" s="198"/>
      <c r="D3" s="199"/>
      <c r="F3" s="197" t="s">
        <v>10</v>
      </c>
      <c r="G3" s="198"/>
      <c r="H3" s="199"/>
    </row>
    <row r="4" spans="2:10" ht="9" customHeight="1" thickBot="1" x14ac:dyDescent="0.3">
      <c r="B4" s="119"/>
      <c r="H4" s="118"/>
    </row>
    <row r="5" spans="2:10" ht="15.75" thickBot="1" x14ac:dyDescent="0.3">
      <c r="B5" s="197" t="s">
        <v>699</v>
      </c>
      <c r="C5" s="198"/>
      <c r="D5" s="199"/>
      <c r="F5" s="197" t="s">
        <v>700</v>
      </c>
      <c r="G5" s="198"/>
      <c r="H5" s="199"/>
    </row>
    <row r="6" spans="2:10" ht="9" customHeight="1" thickBot="1" x14ac:dyDescent="0.3">
      <c r="B6" s="119"/>
      <c r="H6" s="118"/>
    </row>
    <row r="7" spans="2:10" ht="15.75" thickBot="1" x14ac:dyDescent="0.3">
      <c r="B7" s="197" t="s">
        <v>701</v>
      </c>
      <c r="C7" s="198"/>
      <c r="D7" s="199"/>
      <c r="F7" s="197" t="s">
        <v>702</v>
      </c>
      <c r="G7" s="198"/>
      <c r="H7" s="199"/>
    </row>
    <row r="8" spans="2:10" ht="9" customHeight="1" thickBot="1" x14ac:dyDescent="0.3">
      <c r="B8" s="119"/>
      <c r="H8" s="118"/>
    </row>
    <row r="9" spans="2:10" ht="15.75" thickBot="1" x14ac:dyDescent="0.3">
      <c r="B9" s="197" t="s">
        <v>703</v>
      </c>
      <c r="C9" s="198"/>
      <c r="D9" s="199"/>
      <c r="F9" s="197" t="s">
        <v>704</v>
      </c>
      <c r="G9" s="198"/>
      <c r="H9" s="199"/>
    </row>
    <row r="10" spans="2:10" ht="9" customHeight="1" thickBot="1" x14ac:dyDescent="0.3">
      <c r="B10" s="119"/>
      <c r="H10" s="118"/>
    </row>
    <row r="11" spans="2:10" ht="15.75" thickBot="1" x14ac:dyDescent="0.3">
      <c r="B11" s="197" t="s">
        <v>705</v>
      </c>
      <c r="C11" s="198"/>
      <c r="D11" s="199"/>
      <c r="F11" s="197" t="s">
        <v>707</v>
      </c>
      <c r="G11" s="198"/>
      <c r="H11" s="199"/>
    </row>
    <row r="12" spans="2:10" ht="9" customHeight="1" thickBot="1" x14ac:dyDescent="0.3">
      <c r="B12" s="119"/>
      <c r="H12" s="118"/>
    </row>
    <row r="13" spans="2:10" ht="15.75" thickBot="1" x14ac:dyDescent="0.3">
      <c r="B13" s="197" t="s">
        <v>708</v>
      </c>
      <c r="C13" s="198"/>
      <c r="D13" s="199"/>
      <c r="F13" s="197" t="s">
        <v>710</v>
      </c>
      <c r="G13" s="198"/>
      <c r="H13" s="199"/>
      <c r="J13" s="116"/>
    </row>
    <row r="14" spans="2:10" ht="9" customHeight="1" thickBot="1" x14ac:dyDescent="0.3">
      <c r="B14" s="119"/>
      <c r="H14" s="118"/>
      <c r="J14" s="117"/>
    </row>
    <row r="15" spans="2:10" ht="15.75" thickBot="1" x14ac:dyDescent="0.3">
      <c r="B15" s="197" t="s">
        <v>711</v>
      </c>
      <c r="C15" s="198"/>
      <c r="D15" s="199"/>
      <c r="F15" s="197" t="s">
        <v>712</v>
      </c>
      <c r="G15" s="198"/>
      <c r="H15" s="199"/>
    </row>
    <row r="16" spans="2:10" ht="9" customHeight="1" thickBot="1" x14ac:dyDescent="0.3">
      <c r="B16" s="119"/>
      <c r="H16" s="118"/>
    </row>
    <row r="17" spans="2:8" ht="15.75" thickBot="1" x14ac:dyDescent="0.3">
      <c r="B17" s="197" t="s">
        <v>713</v>
      </c>
      <c r="C17" s="198"/>
      <c r="D17" s="199"/>
      <c r="F17" s="197" t="s">
        <v>714</v>
      </c>
      <c r="G17" s="198"/>
      <c r="H17" s="199"/>
    </row>
    <row r="18" spans="2:8" ht="9" customHeight="1" thickBot="1" x14ac:dyDescent="0.3">
      <c r="B18" s="119"/>
      <c r="H18" s="118"/>
    </row>
    <row r="19" spans="2:8" ht="15.75" thickBot="1" x14ac:dyDescent="0.3">
      <c r="B19" s="197" t="s">
        <v>715</v>
      </c>
      <c r="C19" s="198"/>
      <c r="D19" s="199"/>
      <c r="F19" s="197" t="s">
        <v>1271</v>
      </c>
      <c r="G19" s="198"/>
      <c r="H19" s="199"/>
    </row>
    <row r="20" spans="2:8" ht="9" customHeight="1" thickBot="1" x14ac:dyDescent="0.3">
      <c r="B20" s="119"/>
      <c r="H20" s="118"/>
    </row>
    <row r="21" spans="2:8" ht="15.75" thickBot="1" x14ac:dyDescent="0.3">
      <c r="B21" s="200" t="s">
        <v>1273</v>
      </c>
      <c r="C21" s="201"/>
      <c r="D21" s="202"/>
      <c r="F21" s="200" t="s">
        <v>1274</v>
      </c>
      <c r="G21" s="201"/>
      <c r="H21" s="202"/>
    </row>
    <row r="22" spans="2:8" ht="9" customHeight="1" thickBot="1" x14ac:dyDescent="0.3">
      <c r="B22" s="119"/>
      <c r="H22" s="118"/>
    </row>
    <row r="23" spans="2:8" ht="15.75" thickBot="1" x14ac:dyDescent="0.3">
      <c r="B23" s="200" t="s">
        <v>1272</v>
      </c>
      <c r="C23" s="201"/>
      <c r="D23" s="202"/>
      <c r="E23" s="120"/>
      <c r="F23" s="203">
        <v>2</v>
      </c>
      <c r="G23" s="204"/>
      <c r="H23" s="205"/>
    </row>
  </sheetData>
  <mergeCells count="24">
    <mergeCell ref="F19:H19"/>
    <mergeCell ref="F21:H21"/>
    <mergeCell ref="F23:H23"/>
    <mergeCell ref="B1:B2"/>
    <mergeCell ref="C1:H2"/>
    <mergeCell ref="B23:D23"/>
    <mergeCell ref="F3:H3"/>
    <mergeCell ref="F5:H5"/>
    <mergeCell ref="F7:H7"/>
    <mergeCell ref="F9:H9"/>
    <mergeCell ref="F11:H11"/>
    <mergeCell ref="F13:H13"/>
    <mergeCell ref="F15:H15"/>
    <mergeCell ref="F17:H17"/>
    <mergeCell ref="B11:D11"/>
    <mergeCell ref="B13:D13"/>
    <mergeCell ref="B15:D15"/>
    <mergeCell ref="B17:D17"/>
    <mergeCell ref="B19:D19"/>
    <mergeCell ref="B21:D21"/>
    <mergeCell ref="B3:D3"/>
    <mergeCell ref="B5:D5"/>
    <mergeCell ref="B7:D7"/>
    <mergeCell ref="B9:D9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BC4D-ACDE-43FA-BB70-EDDEFE453FD3}">
  <dimension ref="A2:B5"/>
  <sheetViews>
    <sheetView topLeftCell="A11" workbookViewId="0">
      <selection activeCell="K35" sqref="K35"/>
    </sheetView>
  </sheetViews>
  <sheetFormatPr defaultRowHeight="15" x14ac:dyDescent="0.25"/>
  <cols>
    <col min="1" max="1" width="23.85546875" customWidth="1"/>
  </cols>
  <sheetData>
    <row r="2" spans="1:2" x14ac:dyDescent="0.25">
      <c r="A2" t="s">
        <v>329</v>
      </c>
    </row>
    <row r="3" spans="1:2" x14ac:dyDescent="0.25">
      <c r="A3" t="s">
        <v>2</v>
      </c>
    </row>
    <row r="4" spans="1:2" ht="31.5" x14ac:dyDescent="0.25">
      <c r="A4" s="41" t="s">
        <v>113</v>
      </c>
      <c r="B4" s="42" t="s">
        <v>129</v>
      </c>
    </row>
    <row r="5" spans="1:2" ht="15.75" x14ac:dyDescent="0.25">
      <c r="A5" s="5" t="s">
        <v>115</v>
      </c>
    </row>
  </sheetData>
  <conditionalFormatting sqref="A5">
    <cfRule type="cellIs" dxfId="14" priority="1" operator="equal">
      <formula>"220 EP"</formula>
    </cfRule>
    <cfRule type="cellIs" dxfId="13" priority="2" operator="equal">
      <formula>"RS-460"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E5B9-7E0A-4FA9-B1ED-101262B2A901}">
  <dimension ref="A1:AN1558"/>
  <sheetViews>
    <sheetView view="pageBreakPreview" topLeftCell="A1256" zoomScale="124" zoomScaleNormal="100" zoomScaleSheetLayoutView="124" workbookViewId="0">
      <selection activeCell="K1389" sqref="K1:K1048576"/>
    </sheetView>
  </sheetViews>
  <sheetFormatPr defaultRowHeight="15" x14ac:dyDescent="0.25"/>
  <cols>
    <col min="1" max="1" width="3.140625" customWidth="1"/>
    <col min="2" max="2" width="0.85546875" customWidth="1"/>
    <col min="3" max="5" width="9.7109375" customWidth="1"/>
    <col min="6" max="6" width="1.5703125" customWidth="1"/>
    <col min="7" max="8" width="5.85546875" customWidth="1"/>
    <col min="9" max="9" width="8.5703125" customWidth="1"/>
    <col min="10" max="10" width="0.85546875" customWidth="1"/>
    <col min="11" max="11" width="1.85546875" customWidth="1"/>
    <col min="12" max="12" width="0.85546875" customWidth="1"/>
    <col min="13" max="15" width="9.7109375" customWidth="1"/>
    <col min="16" max="16" width="1.5703125" customWidth="1"/>
    <col min="17" max="18" width="5.85546875" customWidth="1"/>
    <col min="19" max="19" width="8.5703125" customWidth="1"/>
    <col min="20" max="20" width="0.85546875" customWidth="1"/>
    <col min="21" max="21" width="3.140625" customWidth="1"/>
    <col min="22" max="22" width="0.85546875" customWidth="1"/>
    <col min="23" max="25" width="9.7109375" customWidth="1"/>
    <col min="26" max="26" width="1.5703125" customWidth="1"/>
    <col min="27" max="29" width="6.7109375" customWidth="1"/>
    <col min="30" max="30" width="0.85546875" customWidth="1"/>
    <col min="31" max="31" width="2.7109375" customWidth="1"/>
    <col min="32" max="32" width="0.85546875" customWidth="1"/>
    <col min="33" max="35" width="9.7109375" customWidth="1"/>
    <col min="36" max="36" width="1.5703125" customWidth="1"/>
    <col min="37" max="39" width="6.7109375" customWidth="1"/>
    <col min="40" max="40" width="0.85546875" customWidth="1"/>
  </cols>
  <sheetData>
    <row r="1" spans="2:20" ht="32.1" customHeight="1" thickTop="1" x14ac:dyDescent="0.25">
      <c r="B1" s="57"/>
      <c r="C1" s="58"/>
      <c r="D1" s="217" t="s">
        <v>697</v>
      </c>
      <c r="E1" s="218"/>
      <c r="F1" s="218"/>
      <c r="G1" s="218"/>
      <c r="H1" s="218"/>
      <c r="I1" s="218"/>
      <c r="J1" s="219"/>
      <c r="L1" s="57"/>
      <c r="M1" s="58"/>
      <c r="N1" s="217" t="s">
        <v>697</v>
      </c>
      <c r="O1" s="218"/>
      <c r="P1" s="218"/>
      <c r="Q1" s="218"/>
      <c r="R1" s="218"/>
      <c r="S1" s="218"/>
      <c r="T1" s="219"/>
    </row>
    <row r="2" spans="2:20" ht="6.95" customHeight="1" x14ac:dyDescent="0.25">
      <c r="B2" s="59"/>
      <c r="J2" s="60"/>
      <c r="L2" s="59"/>
      <c r="T2" s="60"/>
    </row>
    <row r="3" spans="2:20" ht="18" customHeight="1" x14ac:dyDescent="0.25">
      <c r="B3" s="61"/>
      <c r="C3" s="214" t="s">
        <v>698</v>
      </c>
      <c r="D3" s="215"/>
      <c r="E3" s="216"/>
      <c r="F3" s="62"/>
      <c r="G3" s="214" t="s">
        <v>5</v>
      </c>
      <c r="H3" s="215"/>
      <c r="I3" s="216"/>
      <c r="J3" s="63"/>
      <c r="L3" s="61"/>
      <c r="M3" s="214" t="s">
        <v>698</v>
      </c>
      <c r="N3" s="215"/>
      <c r="O3" s="216"/>
      <c r="P3" s="62"/>
      <c r="Q3" s="214" t="s">
        <v>10</v>
      </c>
      <c r="R3" s="215"/>
      <c r="S3" s="216"/>
      <c r="T3" s="63"/>
    </row>
    <row r="4" spans="2:20" ht="6.95" customHeight="1" x14ac:dyDescent="0.25">
      <c r="B4" s="59"/>
      <c r="C4" s="62"/>
      <c r="D4" s="62"/>
      <c r="E4" s="62"/>
      <c r="F4" s="62"/>
      <c r="G4" s="62"/>
      <c r="H4" s="62"/>
      <c r="I4" s="62"/>
      <c r="J4" s="60"/>
      <c r="L4" s="59"/>
      <c r="M4" s="62"/>
      <c r="N4" s="62"/>
      <c r="O4" s="62"/>
      <c r="P4" s="62"/>
      <c r="Q4" s="62"/>
      <c r="R4" s="62"/>
      <c r="S4" s="62"/>
      <c r="T4" s="60"/>
    </row>
    <row r="5" spans="2:20" ht="18" customHeight="1" x14ac:dyDescent="0.25">
      <c r="B5" s="61"/>
      <c r="C5" s="214" t="s">
        <v>699</v>
      </c>
      <c r="D5" s="215"/>
      <c r="E5" s="216"/>
      <c r="F5" s="62"/>
      <c r="G5" s="214" t="s">
        <v>1638</v>
      </c>
      <c r="H5" s="215"/>
      <c r="I5" s="216"/>
      <c r="J5" s="63"/>
      <c r="L5" s="61"/>
      <c r="M5" s="214" t="s">
        <v>699</v>
      </c>
      <c r="N5" s="215"/>
      <c r="O5" s="216"/>
      <c r="P5" s="62"/>
      <c r="Q5" s="214" t="s">
        <v>1638</v>
      </c>
      <c r="R5" s="215"/>
      <c r="S5" s="216"/>
      <c r="T5" s="63"/>
    </row>
    <row r="6" spans="2:20" ht="6.75" customHeight="1" x14ac:dyDescent="0.25">
      <c r="B6" s="59"/>
      <c r="C6" s="62"/>
      <c r="D6" s="62"/>
      <c r="E6" s="62"/>
      <c r="F6" s="62"/>
      <c r="G6" s="62"/>
      <c r="H6" s="62"/>
      <c r="I6" s="62"/>
      <c r="J6" s="60"/>
      <c r="L6" s="59"/>
      <c r="M6" s="62"/>
      <c r="N6" s="62"/>
      <c r="O6" s="62"/>
      <c r="P6" s="62"/>
      <c r="Q6" s="62"/>
      <c r="R6" s="62"/>
      <c r="S6" s="62"/>
      <c r="T6" s="60"/>
    </row>
    <row r="7" spans="2:20" ht="18" customHeight="1" x14ac:dyDescent="0.25">
      <c r="B7" s="61"/>
      <c r="C7" s="214" t="s">
        <v>701</v>
      </c>
      <c r="D7" s="215"/>
      <c r="E7" s="216"/>
      <c r="F7" s="62"/>
      <c r="G7" s="214" t="s">
        <v>702</v>
      </c>
      <c r="H7" s="215"/>
      <c r="I7" s="216"/>
      <c r="J7" s="63"/>
      <c r="L7" s="61"/>
      <c r="M7" s="214" t="s">
        <v>701</v>
      </c>
      <c r="N7" s="215"/>
      <c r="O7" s="216"/>
      <c r="P7" s="62"/>
      <c r="Q7" s="214" t="s">
        <v>702</v>
      </c>
      <c r="R7" s="215"/>
      <c r="S7" s="216"/>
      <c r="T7" s="63"/>
    </row>
    <row r="8" spans="2:20" ht="6.95" customHeight="1" x14ac:dyDescent="0.25">
      <c r="B8" s="59"/>
      <c r="C8" s="62"/>
      <c r="D8" s="62"/>
      <c r="E8" s="62"/>
      <c r="F8" s="62"/>
      <c r="G8" s="62"/>
      <c r="H8" s="62"/>
      <c r="I8" s="62"/>
      <c r="J8" s="60"/>
      <c r="L8" s="59"/>
      <c r="M8" s="62"/>
      <c r="N8" s="62"/>
      <c r="O8" s="62"/>
      <c r="P8" s="62"/>
      <c r="Q8" s="62"/>
      <c r="R8" s="62"/>
      <c r="S8" s="62"/>
      <c r="T8" s="60"/>
    </row>
    <row r="9" spans="2:20" ht="18" customHeight="1" x14ac:dyDescent="0.25">
      <c r="B9" s="61"/>
      <c r="C9" s="214" t="s">
        <v>703</v>
      </c>
      <c r="D9" s="215"/>
      <c r="E9" s="216"/>
      <c r="F9" s="62"/>
      <c r="G9" s="214" t="s">
        <v>704</v>
      </c>
      <c r="H9" s="215"/>
      <c r="I9" s="216"/>
      <c r="J9" s="63"/>
      <c r="L9" s="61"/>
      <c r="M9" s="214" t="s">
        <v>703</v>
      </c>
      <c r="N9" s="215"/>
      <c r="O9" s="216"/>
      <c r="P9" s="62"/>
      <c r="Q9" s="214" t="s">
        <v>704</v>
      </c>
      <c r="R9" s="215"/>
      <c r="S9" s="216"/>
      <c r="T9" s="63"/>
    </row>
    <row r="10" spans="2:20" ht="6.95" customHeight="1" x14ac:dyDescent="0.25">
      <c r="B10" s="59"/>
      <c r="C10" s="62"/>
      <c r="D10" s="62"/>
      <c r="E10" s="62"/>
      <c r="F10" s="62"/>
      <c r="G10" s="62"/>
      <c r="H10" s="62"/>
      <c r="I10" s="62"/>
      <c r="J10" s="60"/>
      <c r="L10" s="59"/>
      <c r="M10" s="62"/>
      <c r="N10" s="62"/>
      <c r="O10" s="62"/>
      <c r="P10" s="62"/>
      <c r="Q10" s="62"/>
      <c r="R10" s="62"/>
      <c r="S10" s="62"/>
      <c r="T10" s="60"/>
    </row>
    <row r="11" spans="2:20" ht="18" customHeight="1" x14ac:dyDescent="0.25">
      <c r="B11" s="61"/>
      <c r="C11" s="214" t="s">
        <v>705</v>
      </c>
      <c r="D11" s="215"/>
      <c r="E11" s="216"/>
      <c r="F11" s="62"/>
      <c r="G11" s="214" t="s">
        <v>706</v>
      </c>
      <c r="H11" s="215"/>
      <c r="I11" s="216"/>
      <c r="J11" s="63"/>
      <c r="L11" s="61"/>
      <c r="M11" s="214" t="s">
        <v>705</v>
      </c>
      <c r="N11" s="215"/>
      <c r="O11" s="216"/>
      <c r="P11" s="62"/>
      <c r="Q11" s="214" t="s">
        <v>707</v>
      </c>
      <c r="R11" s="215"/>
      <c r="S11" s="216"/>
      <c r="T11" s="63"/>
    </row>
    <row r="12" spans="2:20" ht="6.95" customHeight="1" x14ac:dyDescent="0.25">
      <c r="B12" s="59"/>
      <c r="C12" s="62"/>
      <c r="D12" s="62"/>
      <c r="E12" s="62"/>
      <c r="F12" s="62"/>
      <c r="G12" s="62"/>
      <c r="H12" s="62"/>
      <c r="I12" s="62"/>
      <c r="J12" s="60"/>
      <c r="L12" s="59"/>
      <c r="M12" s="62"/>
      <c r="N12" s="62"/>
      <c r="O12" s="62"/>
      <c r="P12" s="62"/>
      <c r="Q12" s="62"/>
      <c r="R12" s="62"/>
      <c r="S12" s="62"/>
      <c r="T12" s="60"/>
    </row>
    <row r="13" spans="2:20" ht="18" customHeight="1" x14ac:dyDescent="0.25">
      <c r="B13" s="61"/>
      <c r="C13" s="214" t="s">
        <v>708</v>
      </c>
      <c r="D13" s="215"/>
      <c r="E13" s="216"/>
      <c r="F13" s="62"/>
      <c r="G13" s="214" t="s">
        <v>709</v>
      </c>
      <c r="H13" s="215"/>
      <c r="I13" s="216"/>
      <c r="J13" s="63"/>
      <c r="L13" s="61"/>
      <c r="M13" s="214" t="s">
        <v>708</v>
      </c>
      <c r="N13" s="215"/>
      <c r="O13" s="216"/>
      <c r="P13" s="62"/>
      <c r="Q13" s="214" t="s">
        <v>710</v>
      </c>
      <c r="R13" s="215"/>
      <c r="S13" s="216"/>
      <c r="T13" s="63"/>
    </row>
    <row r="14" spans="2:20" ht="6.95" customHeight="1" x14ac:dyDescent="0.25">
      <c r="B14" s="59"/>
      <c r="C14" s="62"/>
      <c r="D14" s="62"/>
      <c r="E14" s="62"/>
      <c r="F14" s="62"/>
      <c r="G14" s="62"/>
      <c r="H14" s="62"/>
      <c r="I14" s="62"/>
      <c r="J14" s="60"/>
      <c r="L14" s="59"/>
      <c r="M14" s="62"/>
      <c r="N14" s="62"/>
      <c r="O14" s="62"/>
      <c r="P14" s="62"/>
      <c r="Q14" s="62"/>
      <c r="R14" s="62"/>
      <c r="S14" s="62"/>
      <c r="T14" s="60"/>
    </row>
    <row r="15" spans="2:20" ht="18" customHeight="1" x14ac:dyDescent="0.25">
      <c r="B15" s="61"/>
      <c r="C15" s="214" t="s">
        <v>711</v>
      </c>
      <c r="D15" s="215"/>
      <c r="E15" s="216"/>
      <c r="F15" s="62"/>
      <c r="G15" s="214" t="s">
        <v>712</v>
      </c>
      <c r="H15" s="215"/>
      <c r="I15" s="216"/>
      <c r="J15" s="63"/>
      <c r="L15" s="61"/>
      <c r="M15" s="214" t="s">
        <v>711</v>
      </c>
      <c r="N15" s="215"/>
      <c r="O15" s="216"/>
      <c r="P15" s="62"/>
      <c r="Q15" s="214" t="s">
        <v>712</v>
      </c>
      <c r="R15" s="215"/>
      <c r="S15" s="216"/>
      <c r="T15" s="63"/>
    </row>
    <row r="16" spans="2:20" ht="6.6" customHeight="1" x14ac:dyDescent="0.25">
      <c r="B16" s="59"/>
      <c r="C16" s="62"/>
      <c r="D16" s="62"/>
      <c r="E16" s="62"/>
      <c r="F16" s="62"/>
      <c r="G16" s="62"/>
      <c r="H16" s="62"/>
      <c r="I16" s="62"/>
      <c r="J16" s="60"/>
      <c r="L16" s="59"/>
      <c r="M16" s="62"/>
      <c r="N16" s="62"/>
      <c r="O16" s="62"/>
      <c r="P16" s="62"/>
      <c r="Q16" s="62"/>
      <c r="R16" s="62"/>
      <c r="S16" s="62"/>
      <c r="T16" s="60"/>
    </row>
    <row r="17" spans="2:20" ht="18" customHeight="1" x14ac:dyDescent="0.25">
      <c r="B17" s="61"/>
      <c r="C17" s="214" t="s">
        <v>1273</v>
      </c>
      <c r="D17" s="215"/>
      <c r="E17" s="216"/>
      <c r="F17" s="62"/>
      <c r="G17" s="214" t="s">
        <v>1286</v>
      </c>
      <c r="H17" s="215"/>
      <c r="I17" s="216"/>
      <c r="J17" s="63"/>
      <c r="L17" s="61"/>
      <c r="M17" s="214" t="s">
        <v>1273</v>
      </c>
      <c r="N17" s="215"/>
      <c r="O17" s="216"/>
      <c r="P17" s="62"/>
      <c r="Q17" s="214" t="s">
        <v>1287</v>
      </c>
      <c r="R17" s="215"/>
      <c r="S17" s="216"/>
      <c r="T17" s="63"/>
    </row>
    <row r="18" spans="2:20" ht="6.95" customHeight="1" x14ac:dyDescent="0.25">
      <c r="B18" s="59"/>
      <c r="C18" s="62"/>
      <c r="D18" s="62"/>
      <c r="E18" s="62"/>
      <c r="F18" s="62"/>
      <c r="G18" s="62"/>
      <c r="H18" s="62"/>
      <c r="I18" s="62"/>
      <c r="J18" s="60"/>
      <c r="L18" s="59"/>
      <c r="M18" s="62"/>
      <c r="N18" s="62"/>
      <c r="O18" s="62"/>
      <c r="P18" s="62"/>
      <c r="Q18" s="62"/>
      <c r="R18" s="62"/>
      <c r="S18" s="62"/>
      <c r="T18" s="60"/>
    </row>
    <row r="19" spans="2:20" ht="18" customHeight="1" x14ac:dyDescent="0.25">
      <c r="B19" s="59"/>
      <c r="C19" s="214" t="s">
        <v>713</v>
      </c>
      <c r="D19" s="215"/>
      <c r="E19" s="216"/>
      <c r="F19" s="62"/>
      <c r="G19" s="220" t="s">
        <v>714</v>
      </c>
      <c r="H19" s="220"/>
      <c r="I19" s="220"/>
      <c r="J19" s="63"/>
      <c r="L19" s="59"/>
      <c r="M19" s="214" t="s">
        <v>713</v>
      </c>
      <c r="N19" s="215"/>
      <c r="O19" s="216"/>
      <c r="P19" s="62"/>
      <c r="Q19" s="220" t="s">
        <v>714</v>
      </c>
      <c r="R19" s="220"/>
      <c r="S19" s="220"/>
      <c r="T19" s="63"/>
    </row>
    <row r="20" spans="2:20" ht="6.6" customHeight="1" x14ac:dyDescent="0.25">
      <c r="B20" s="59"/>
      <c r="C20" s="128"/>
      <c r="D20" s="128"/>
      <c r="E20" s="128"/>
      <c r="F20" s="62"/>
      <c r="G20" s="128"/>
      <c r="H20" s="128"/>
      <c r="I20" s="128"/>
      <c r="J20" s="63"/>
      <c r="L20" s="59"/>
      <c r="M20" s="128"/>
      <c r="N20" s="128"/>
      <c r="O20" s="128"/>
      <c r="P20" s="62"/>
      <c r="Q20" s="128"/>
      <c r="R20" s="128"/>
      <c r="S20" s="128"/>
      <c r="T20" s="63"/>
    </row>
    <row r="21" spans="2:20" ht="18" customHeight="1" x14ac:dyDescent="0.25">
      <c r="B21" s="59"/>
      <c r="C21" s="220" t="s">
        <v>715</v>
      </c>
      <c r="D21" s="220"/>
      <c r="E21" s="220"/>
      <c r="F21" s="62"/>
      <c r="G21" s="220" t="s">
        <v>1288</v>
      </c>
      <c r="H21" s="220"/>
      <c r="I21" s="220"/>
      <c r="J21" s="63"/>
      <c r="L21" s="59"/>
      <c r="M21" s="220" t="s">
        <v>715</v>
      </c>
      <c r="N21" s="220"/>
      <c r="O21" s="220"/>
      <c r="P21" s="62"/>
      <c r="Q21" s="220" t="s">
        <v>1288</v>
      </c>
      <c r="R21" s="220"/>
      <c r="S21" s="220"/>
      <c r="T21" s="63"/>
    </row>
    <row r="22" spans="2:20" ht="6.6" customHeight="1" thickBot="1" x14ac:dyDescent="0.3">
      <c r="B22" s="64"/>
      <c r="C22" s="221"/>
      <c r="D22" s="221"/>
      <c r="E22" s="221"/>
      <c r="F22" s="130"/>
      <c r="G22" s="221"/>
      <c r="H22" s="221"/>
      <c r="I22" s="221"/>
      <c r="J22" s="66"/>
      <c r="L22" s="64"/>
      <c r="M22" s="221"/>
      <c r="N22" s="221"/>
      <c r="O22" s="221"/>
      <c r="P22" s="130"/>
      <c r="Q22" s="221"/>
      <c r="R22" s="221"/>
      <c r="S22" s="221"/>
      <c r="T22" s="66"/>
    </row>
    <row r="23" spans="2:20" ht="32.1" customHeight="1" thickTop="1" x14ac:dyDescent="0.25">
      <c r="B23" s="57"/>
      <c r="C23" s="58"/>
      <c r="D23" s="217" t="s">
        <v>697</v>
      </c>
      <c r="E23" s="218"/>
      <c r="F23" s="218"/>
      <c r="G23" s="218"/>
      <c r="H23" s="218"/>
      <c r="I23" s="218"/>
      <c r="J23" s="219"/>
      <c r="L23" s="57"/>
      <c r="M23" s="58"/>
      <c r="N23" s="217" t="s">
        <v>697</v>
      </c>
      <c r="O23" s="218"/>
      <c r="P23" s="218"/>
      <c r="Q23" s="218"/>
      <c r="R23" s="218"/>
      <c r="S23" s="218"/>
      <c r="T23" s="219"/>
    </row>
    <row r="24" spans="2:20" ht="6.95" customHeight="1" x14ac:dyDescent="0.25">
      <c r="B24" s="59"/>
      <c r="J24" s="60"/>
      <c r="L24" s="59"/>
      <c r="T24" s="60"/>
    </row>
    <row r="25" spans="2:20" ht="18" customHeight="1" x14ac:dyDescent="0.25">
      <c r="B25" s="61"/>
      <c r="C25" s="214" t="s">
        <v>698</v>
      </c>
      <c r="D25" s="215"/>
      <c r="E25" s="216"/>
      <c r="F25" s="62"/>
      <c r="G25" s="214" t="s">
        <v>1289</v>
      </c>
      <c r="H25" s="215"/>
      <c r="I25" s="216"/>
      <c r="J25" s="63"/>
      <c r="L25" s="61"/>
      <c r="M25" s="214" t="s">
        <v>698</v>
      </c>
      <c r="N25" s="215"/>
      <c r="O25" s="216"/>
      <c r="P25" s="62"/>
      <c r="Q25" s="214" t="s">
        <v>1290</v>
      </c>
      <c r="R25" s="215"/>
      <c r="S25" s="216"/>
      <c r="T25" s="63"/>
    </row>
    <row r="26" spans="2:20" ht="6.95" customHeight="1" x14ac:dyDescent="0.25">
      <c r="B26" s="59"/>
      <c r="C26" s="62"/>
      <c r="D26" s="62"/>
      <c r="E26" s="62"/>
      <c r="F26" s="62"/>
      <c r="G26" s="62"/>
      <c r="H26" s="62"/>
      <c r="I26" s="62"/>
      <c r="J26" s="60"/>
      <c r="L26" s="59"/>
      <c r="M26" s="62"/>
      <c r="N26" s="62"/>
      <c r="O26" s="62"/>
      <c r="P26" s="62"/>
      <c r="Q26" s="62"/>
      <c r="R26" s="62"/>
      <c r="S26" s="62"/>
      <c r="T26" s="60"/>
    </row>
    <row r="27" spans="2:20" ht="18" customHeight="1" x14ac:dyDescent="0.25">
      <c r="B27" s="61"/>
      <c r="C27" s="214" t="s">
        <v>699</v>
      </c>
      <c r="D27" s="215"/>
      <c r="E27" s="216"/>
      <c r="F27" s="62"/>
      <c r="G27" s="214" t="s">
        <v>1638</v>
      </c>
      <c r="H27" s="215"/>
      <c r="I27" s="216"/>
      <c r="J27" s="63"/>
      <c r="L27" s="61"/>
      <c r="M27" s="214" t="s">
        <v>699</v>
      </c>
      <c r="N27" s="215"/>
      <c r="O27" s="216"/>
      <c r="P27" s="62"/>
      <c r="Q27" s="214" t="s">
        <v>1638</v>
      </c>
      <c r="R27" s="215"/>
      <c r="S27" s="216"/>
      <c r="T27" s="63"/>
    </row>
    <row r="28" spans="2:20" ht="6.95" customHeight="1" x14ac:dyDescent="0.25">
      <c r="B28" s="59"/>
      <c r="C28" s="62"/>
      <c r="D28" s="62"/>
      <c r="E28" s="62"/>
      <c r="F28" s="62"/>
      <c r="G28" s="62"/>
      <c r="H28" s="62"/>
      <c r="I28" s="62"/>
      <c r="J28" s="60"/>
      <c r="L28" s="59"/>
      <c r="M28" s="62"/>
      <c r="N28" s="62"/>
      <c r="O28" s="62"/>
      <c r="P28" s="62"/>
      <c r="Q28" s="62"/>
      <c r="R28" s="62"/>
      <c r="S28" s="62"/>
      <c r="T28" s="60"/>
    </row>
    <row r="29" spans="2:20" ht="18" customHeight="1" x14ac:dyDescent="0.25">
      <c r="B29" s="61"/>
      <c r="C29" s="214" t="s">
        <v>701</v>
      </c>
      <c r="D29" s="215"/>
      <c r="E29" s="216"/>
      <c r="F29" s="62"/>
      <c r="G29" s="214" t="s">
        <v>716</v>
      </c>
      <c r="H29" s="215"/>
      <c r="I29" s="216"/>
      <c r="J29" s="63"/>
      <c r="L29" s="61"/>
      <c r="M29" s="214" t="s">
        <v>701</v>
      </c>
      <c r="N29" s="215"/>
      <c r="O29" s="216"/>
      <c r="P29" s="62"/>
      <c r="Q29" s="214" t="s">
        <v>716</v>
      </c>
      <c r="R29" s="215"/>
      <c r="S29" s="216"/>
      <c r="T29" s="63"/>
    </row>
    <row r="30" spans="2:20" ht="6.95" customHeight="1" x14ac:dyDescent="0.25">
      <c r="B30" s="59"/>
      <c r="C30" s="62"/>
      <c r="D30" s="62"/>
      <c r="E30" s="62"/>
      <c r="F30" s="62"/>
      <c r="G30" s="62"/>
      <c r="H30" s="62"/>
      <c r="I30" s="62"/>
      <c r="J30" s="60"/>
      <c r="L30" s="59"/>
      <c r="M30" s="62"/>
      <c r="N30" s="62"/>
      <c r="O30" s="62"/>
      <c r="P30" s="62"/>
      <c r="Q30" s="62"/>
      <c r="R30" s="62"/>
      <c r="S30" s="62"/>
      <c r="T30" s="60"/>
    </row>
    <row r="31" spans="2:20" ht="18" customHeight="1" x14ac:dyDescent="0.25">
      <c r="B31" s="61"/>
      <c r="C31" s="214" t="s">
        <v>703</v>
      </c>
      <c r="D31" s="215"/>
      <c r="E31" s="216"/>
      <c r="F31" s="62"/>
      <c r="G31" s="214" t="s">
        <v>717</v>
      </c>
      <c r="H31" s="215"/>
      <c r="I31" s="216"/>
      <c r="J31" s="63"/>
      <c r="L31" s="61"/>
      <c r="M31" s="214" t="s">
        <v>703</v>
      </c>
      <c r="N31" s="215"/>
      <c r="O31" s="216"/>
      <c r="P31" s="62"/>
      <c r="Q31" s="214" t="s">
        <v>717</v>
      </c>
      <c r="R31" s="215"/>
      <c r="S31" s="216"/>
      <c r="T31" s="63"/>
    </row>
    <row r="32" spans="2:20" ht="6.95" customHeight="1" x14ac:dyDescent="0.25">
      <c r="B32" s="59"/>
      <c r="C32" s="62"/>
      <c r="D32" s="62"/>
      <c r="E32" s="62"/>
      <c r="F32" s="62"/>
      <c r="G32" s="62"/>
      <c r="H32" s="62"/>
      <c r="I32" s="62"/>
      <c r="J32" s="60"/>
      <c r="L32" s="59"/>
      <c r="M32" s="62"/>
      <c r="N32" s="62"/>
      <c r="O32" s="62"/>
      <c r="P32" s="62"/>
      <c r="Q32" s="62"/>
      <c r="R32" s="62"/>
      <c r="S32" s="62"/>
      <c r="T32" s="60"/>
    </row>
    <row r="33" spans="2:20" ht="18" customHeight="1" x14ac:dyDescent="0.25">
      <c r="B33" s="61"/>
      <c r="C33" s="214" t="s">
        <v>705</v>
      </c>
      <c r="D33" s="215"/>
      <c r="E33" s="216"/>
      <c r="F33" s="62"/>
      <c r="G33" s="214" t="s">
        <v>718</v>
      </c>
      <c r="H33" s="215"/>
      <c r="I33" s="216"/>
      <c r="J33" s="63"/>
      <c r="L33" s="61"/>
      <c r="M33" s="214" t="s">
        <v>705</v>
      </c>
      <c r="N33" s="215"/>
      <c r="O33" s="216"/>
      <c r="P33" s="62"/>
      <c r="Q33" s="214" t="s">
        <v>718</v>
      </c>
      <c r="R33" s="215"/>
      <c r="S33" s="216"/>
      <c r="T33" s="63"/>
    </row>
    <row r="34" spans="2:20" ht="6.95" customHeight="1" x14ac:dyDescent="0.25">
      <c r="B34" s="59"/>
      <c r="C34" s="62"/>
      <c r="D34" s="62"/>
      <c r="E34" s="62"/>
      <c r="F34" s="62"/>
      <c r="G34" s="62"/>
      <c r="H34" s="62"/>
      <c r="I34" s="62"/>
      <c r="J34" s="60"/>
      <c r="L34" s="59"/>
      <c r="M34" s="62"/>
      <c r="N34" s="62"/>
      <c r="O34" s="62"/>
      <c r="P34" s="62"/>
      <c r="Q34" s="62"/>
      <c r="R34" s="62"/>
      <c r="S34" s="62"/>
      <c r="T34" s="60"/>
    </row>
    <row r="35" spans="2:20" ht="18" customHeight="1" x14ac:dyDescent="0.25">
      <c r="B35" s="61"/>
      <c r="C35" s="214" t="s">
        <v>708</v>
      </c>
      <c r="D35" s="215"/>
      <c r="E35" s="216"/>
      <c r="F35" s="62"/>
      <c r="G35" s="214" t="s">
        <v>719</v>
      </c>
      <c r="H35" s="215"/>
      <c r="I35" s="216"/>
      <c r="J35" s="63"/>
      <c r="L35" s="61"/>
      <c r="M35" s="214" t="s">
        <v>708</v>
      </c>
      <c r="N35" s="215"/>
      <c r="O35" s="216"/>
      <c r="P35" s="62"/>
      <c r="Q35" s="214" t="s">
        <v>719</v>
      </c>
      <c r="R35" s="215"/>
      <c r="S35" s="216"/>
      <c r="T35" s="63"/>
    </row>
    <row r="36" spans="2:20" ht="6.95" customHeight="1" x14ac:dyDescent="0.25">
      <c r="B36" s="59"/>
      <c r="C36" s="62"/>
      <c r="D36" s="62"/>
      <c r="E36" s="62"/>
      <c r="F36" s="62"/>
      <c r="G36" s="62"/>
      <c r="H36" s="62"/>
      <c r="I36" s="62"/>
      <c r="J36" s="60"/>
      <c r="L36" s="59"/>
      <c r="M36" s="62"/>
      <c r="N36" s="62"/>
      <c r="O36" s="62"/>
      <c r="P36" s="62"/>
      <c r="Q36" s="62"/>
      <c r="R36" s="62"/>
      <c r="S36" s="62"/>
      <c r="T36" s="60"/>
    </row>
    <row r="37" spans="2:20" ht="18" customHeight="1" x14ac:dyDescent="0.25">
      <c r="B37" s="61"/>
      <c r="C37" s="214" t="s">
        <v>711</v>
      </c>
      <c r="D37" s="215"/>
      <c r="E37" s="216"/>
      <c r="F37" s="62"/>
      <c r="G37" s="214" t="s">
        <v>712</v>
      </c>
      <c r="H37" s="215"/>
      <c r="I37" s="216"/>
      <c r="J37" s="63"/>
      <c r="L37" s="61"/>
      <c r="M37" s="214" t="s">
        <v>711</v>
      </c>
      <c r="N37" s="215"/>
      <c r="O37" s="216"/>
      <c r="P37" s="62"/>
      <c r="Q37" s="214" t="s">
        <v>712</v>
      </c>
      <c r="R37" s="215"/>
      <c r="S37" s="216"/>
      <c r="T37" s="63"/>
    </row>
    <row r="38" spans="2:20" ht="6.6" customHeight="1" x14ac:dyDescent="0.25">
      <c r="B38" s="59"/>
      <c r="C38" s="62"/>
      <c r="D38" s="62"/>
      <c r="E38" s="62"/>
      <c r="F38" s="62"/>
      <c r="G38" s="62"/>
      <c r="H38" s="62"/>
      <c r="I38" s="62"/>
      <c r="J38" s="60"/>
      <c r="L38" s="59"/>
      <c r="M38" s="62"/>
      <c r="N38" s="62"/>
      <c r="O38" s="62"/>
      <c r="P38" s="62"/>
      <c r="Q38" s="62"/>
      <c r="R38" s="62"/>
      <c r="S38" s="62"/>
      <c r="T38" s="60"/>
    </row>
    <row r="39" spans="2:20" ht="18" customHeight="1" x14ac:dyDescent="0.25">
      <c r="B39" s="61"/>
      <c r="C39" s="214" t="s">
        <v>1273</v>
      </c>
      <c r="D39" s="215"/>
      <c r="E39" s="216"/>
      <c r="F39" s="62"/>
      <c r="G39" s="214" t="s">
        <v>1291</v>
      </c>
      <c r="H39" s="215"/>
      <c r="I39" s="216"/>
      <c r="J39" s="63"/>
      <c r="L39" s="61"/>
      <c r="M39" s="214" t="s">
        <v>1273</v>
      </c>
      <c r="N39" s="215"/>
      <c r="O39" s="216"/>
      <c r="P39" s="62"/>
      <c r="Q39" s="214" t="s">
        <v>1292</v>
      </c>
      <c r="R39" s="215"/>
      <c r="S39" s="216"/>
      <c r="T39" s="63"/>
    </row>
    <row r="40" spans="2:20" ht="6.95" customHeight="1" x14ac:dyDescent="0.25">
      <c r="B40" s="59"/>
      <c r="C40" s="62"/>
      <c r="D40" s="62"/>
      <c r="E40" s="62"/>
      <c r="F40" s="62"/>
      <c r="G40" s="62"/>
      <c r="H40" s="62"/>
      <c r="I40" s="62"/>
      <c r="J40" s="60"/>
      <c r="L40" s="59"/>
      <c r="M40" s="62"/>
      <c r="N40" s="62"/>
      <c r="O40" s="62"/>
      <c r="P40" s="62"/>
      <c r="Q40" s="62"/>
      <c r="R40" s="62"/>
      <c r="S40" s="62"/>
      <c r="T40" s="60"/>
    </row>
    <row r="41" spans="2:20" ht="18" customHeight="1" x14ac:dyDescent="0.25">
      <c r="B41" s="59"/>
      <c r="C41" s="214" t="s">
        <v>713</v>
      </c>
      <c r="D41" s="215"/>
      <c r="E41" s="216"/>
      <c r="F41" s="62"/>
      <c r="G41" s="220" t="s">
        <v>1293</v>
      </c>
      <c r="H41" s="220"/>
      <c r="I41" s="220"/>
      <c r="J41" s="63"/>
      <c r="L41" s="59"/>
      <c r="M41" s="214" t="s">
        <v>713</v>
      </c>
      <c r="N41" s="215"/>
      <c r="O41" s="216"/>
      <c r="P41" s="62"/>
      <c r="Q41" s="220" t="s">
        <v>714</v>
      </c>
      <c r="R41" s="220"/>
      <c r="S41" s="220"/>
      <c r="T41" s="63"/>
    </row>
    <row r="42" spans="2:20" ht="6.6" customHeight="1" x14ac:dyDescent="0.25">
      <c r="B42" s="59"/>
      <c r="C42" s="128"/>
      <c r="D42" s="128"/>
      <c r="E42" s="128"/>
      <c r="F42" s="62"/>
      <c r="G42" s="128"/>
      <c r="H42" s="128"/>
      <c r="I42" s="128"/>
      <c r="J42" s="63"/>
      <c r="L42" s="59"/>
      <c r="M42" s="128"/>
      <c r="N42" s="128"/>
      <c r="O42" s="128"/>
      <c r="P42" s="62"/>
      <c r="Q42" s="128"/>
      <c r="R42" s="128"/>
      <c r="S42" s="128"/>
      <c r="T42" s="63"/>
    </row>
    <row r="43" spans="2:20" ht="18" customHeight="1" x14ac:dyDescent="0.25">
      <c r="B43" s="59"/>
      <c r="C43" s="220" t="s">
        <v>715</v>
      </c>
      <c r="D43" s="220"/>
      <c r="E43" s="220"/>
      <c r="F43" s="62"/>
      <c r="G43" s="220" t="s">
        <v>1288</v>
      </c>
      <c r="H43" s="220"/>
      <c r="I43" s="220"/>
      <c r="J43" s="63"/>
      <c r="L43" s="59"/>
      <c r="M43" s="220" t="s">
        <v>715</v>
      </c>
      <c r="N43" s="220"/>
      <c r="O43" s="220"/>
      <c r="P43" s="62"/>
      <c r="Q43" s="220" t="s">
        <v>1288</v>
      </c>
      <c r="R43" s="220"/>
      <c r="S43" s="220"/>
      <c r="T43" s="63"/>
    </row>
    <row r="44" spans="2:20" ht="6.6" customHeight="1" thickBot="1" x14ac:dyDescent="0.3">
      <c r="B44" s="124"/>
      <c r="C44" s="129"/>
      <c r="D44" s="129"/>
      <c r="E44" s="129"/>
      <c r="F44" s="130"/>
      <c r="G44" s="129"/>
      <c r="H44" s="129"/>
      <c r="I44" s="129"/>
      <c r="J44" s="131"/>
      <c r="L44" s="124"/>
      <c r="M44" s="129"/>
      <c r="N44" s="129"/>
      <c r="O44" s="129"/>
      <c r="P44" s="130"/>
      <c r="Q44" s="129"/>
      <c r="R44" s="129"/>
      <c r="S44" s="129"/>
      <c r="T44" s="131"/>
    </row>
    <row r="45" spans="2:20" ht="32.1" customHeight="1" x14ac:dyDescent="0.25">
      <c r="B45" s="59"/>
      <c r="D45" s="222" t="s">
        <v>697</v>
      </c>
      <c r="E45" s="223"/>
      <c r="F45" s="223"/>
      <c r="G45" s="223"/>
      <c r="H45" s="223"/>
      <c r="I45" s="223"/>
      <c r="J45" s="224"/>
      <c r="L45" s="59"/>
      <c r="N45" s="222" t="s">
        <v>697</v>
      </c>
      <c r="O45" s="223"/>
      <c r="P45" s="223"/>
      <c r="Q45" s="223"/>
      <c r="R45" s="223"/>
      <c r="S45" s="223"/>
      <c r="T45" s="224"/>
    </row>
    <row r="46" spans="2:20" ht="6.95" customHeight="1" x14ac:dyDescent="0.25">
      <c r="B46" s="59"/>
      <c r="J46" s="60"/>
      <c r="L46" s="59"/>
      <c r="T46" s="60"/>
    </row>
    <row r="47" spans="2:20" ht="18" customHeight="1" x14ac:dyDescent="0.25">
      <c r="B47" s="61"/>
      <c r="C47" s="214" t="s">
        <v>698</v>
      </c>
      <c r="D47" s="215"/>
      <c r="E47" s="216"/>
      <c r="F47" s="62"/>
      <c r="G47" s="214" t="s">
        <v>1294</v>
      </c>
      <c r="H47" s="215"/>
      <c r="I47" s="216"/>
      <c r="J47" s="63"/>
      <c r="L47" s="61"/>
      <c r="M47" s="214" t="s">
        <v>698</v>
      </c>
      <c r="N47" s="215"/>
      <c r="O47" s="216"/>
      <c r="P47" s="62"/>
      <c r="Q47" s="214" t="s">
        <v>1295</v>
      </c>
      <c r="R47" s="215"/>
      <c r="S47" s="216"/>
      <c r="T47" s="63"/>
    </row>
    <row r="48" spans="2:20" ht="6.95" customHeight="1" x14ac:dyDescent="0.25">
      <c r="B48" s="59"/>
      <c r="C48" s="62"/>
      <c r="D48" s="62"/>
      <c r="E48" s="62"/>
      <c r="F48" s="62"/>
      <c r="G48" s="62"/>
      <c r="H48" s="62"/>
      <c r="I48" s="62"/>
      <c r="J48" s="60"/>
      <c r="L48" s="59"/>
      <c r="M48" s="62"/>
      <c r="N48" s="62"/>
      <c r="O48" s="62"/>
      <c r="P48" s="62"/>
      <c r="Q48" s="62"/>
      <c r="R48" s="62"/>
      <c r="S48" s="62"/>
      <c r="T48" s="60"/>
    </row>
    <row r="49" spans="2:20" ht="18" customHeight="1" x14ac:dyDescent="0.25">
      <c r="B49" s="61"/>
      <c r="C49" s="214" t="s">
        <v>699</v>
      </c>
      <c r="D49" s="215"/>
      <c r="E49" s="216"/>
      <c r="F49" s="62"/>
      <c r="G49" s="214" t="s">
        <v>1638</v>
      </c>
      <c r="H49" s="215"/>
      <c r="I49" s="216"/>
      <c r="J49" s="63"/>
      <c r="L49" s="61"/>
      <c r="M49" s="214" t="s">
        <v>699</v>
      </c>
      <c r="N49" s="215"/>
      <c r="O49" s="216"/>
      <c r="P49" s="62"/>
      <c r="Q49" s="214" t="s">
        <v>1638</v>
      </c>
      <c r="R49" s="215"/>
      <c r="S49" s="216"/>
      <c r="T49" s="63"/>
    </row>
    <row r="50" spans="2:20" ht="6.95" customHeight="1" x14ac:dyDescent="0.25">
      <c r="B50" s="59"/>
      <c r="C50" s="62"/>
      <c r="D50" s="62"/>
      <c r="E50" s="62"/>
      <c r="F50" s="62"/>
      <c r="G50" s="62"/>
      <c r="H50" s="62"/>
      <c r="I50" s="62"/>
      <c r="J50" s="60"/>
      <c r="L50" s="59"/>
      <c r="M50" s="62"/>
      <c r="N50" s="62"/>
      <c r="O50" s="62"/>
      <c r="P50" s="62"/>
      <c r="Q50" s="62"/>
      <c r="R50" s="62"/>
      <c r="S50" s="62"/>
      <c r="T50" s="60"/>
    </row>
    <row r="51" spans="2:20" ht="18" customHeight="1" x14ac:dyDescent="0.25">
      <c r="B51" s="61"/>
      <c r="C51" s="214" t="s">
        <v>701</v>
      </c>
      <c r="D51" s="215"/>
      <c r="E51" s="216"/>
      <c r="F51" s="62"/>
      <c r="G51" s="214" t="s">
        <v>716</v>
      </c>
      <c r="H51" s="215"/>
      <c r="I51" s="216"/>
      <c r="J51" s="63"/>
      <c r="L51" s="61"/>
      <c r="M51" s="214" t="s">
        <v>701</v>
      </c>
      <c r="N51" s="215"/>
      <c r="O51" s="216"/>
      <c r="P51" s="62"/>
      <c r="Q51" s="214" t="s">
        <v>716</v>
      </c>
      <c r="R51" s="215"/>
      <c r="S51" s="216"/>
      <c r="T51" s="63"/>
    </row>
    <row r="52" spans="2:20" ht="6.95" customHeight="1" x14ac:dyDescent="0.25">
      <c r="B52" s="59"/>
      <c r="C52" s="62"/>
      <c r="D52" s="62"/>
      <c r="E52" s="62"/>
      <c r="F52" s="62"/>
      <c r="G52" s="62"/>
      <c r="H52" s="62"/>
      <c r="I52" s="62"/>
      <c r="J52" s="60"/>
      <c r="L52" s="59"/>
      <c r="M52" s="62"/>
      <c r="N52" s="62"/>
      <c r="O52" s="62"/>
      <c r="P52" s="62"/>
      <c r="Q52" s="62"/>
      <c r="R52" s="62"/>
      <c r="S52" s="62"/>
      <c r="T52" s="60"/>
    </row>
    <row r="53" spans="2:20" ht="18" customHeight="1" x14ac:dyDescent="0.25">
      <c r="B53" s="61"/>
      <c r="C53" s="214" t="s">
        <v>703</v>
      </c>
      <c r="D53" s="215"/>
      <c r="E53" s="216"/>
      <c r="F53" s="62"/>
      <c r="G53" s="214" t="s">
        <v>720</v>
      </c>
      <c r="H53" s="215"/>
      <c r="I53" s="216"/>
      <c r="J53" s="63"/>
      <c r="L53" s="61"/>
      <c r="M53" s="214" t="s">
        <v>703</v>
      </c>
      <c r="N53" s="215"/>
      <c r="O53" s="216"/>
      <c r="P53" s="62"/>
      <c r="Q53" s="214" t="s">
        <v>720</v>
      </c>
      <c r="R53" s="215"/>
      <c r="S53" s="216"/>
      <c r="T53" s="63"/>
    </row>
    <row r="54" spans="2:20" ht="6.95" customHeight="1" x14ac:dyDescent="0.25">
      <c r="B54" s="59"/>
      <c r="C54" s="62"/>
      <c r="D54" s="62"/>
      <c r="E54" s="62"/>
      <c r="F54" s="62"/>
      <c r="G54" s="62"/>
      <c r="H54" s="62"/>
      <c r="I54" s="62"/>
      <c r="J54" s="60"/>
      <c r="L54" s="59"/>
      <c r="M54" s="62"/>
      <c r="N54" s="62"/>
      <c r="O54" s="62"/>
      <c r="P54" s="62"/>
      <c r="Q54" s="62"/>
      <c r="R54" s="62"/>
      <c r="S54" s="62"/>
      <c r="T54" s="60"/>
    </row>
    <row r="55" spans="2:20" ht="18" customHeight="1" x14ac:dyDescent="0.25">
      <c r="B55" s="61"/>
      <c r="C55" s="214" t="s">
        <v>705</v>
      </c>
      <c r="D55" s="215"/>
      <c r="E55" s="216"/>
      <c r="F55" s="62"/>
      <c r="G55" s="214" t="s">
        <v>721</v>
      </c>
      <c r="H55" s="215"/>
      <c r="I55" s="216"/>
      <c r="J55" s="63"/>
      <c r="L55" s="61"/>
      <c r="M55" s="214" t="s">
        <v>705</v>
      </c>
      <c r="N55" s="215"/>
      <c r="O55" s="216"/>
      <c r="P55" s="62"/>
      <c r="Q55" s="214" t="s">
        <v>721</v>
      </c>
      <c r="R55" s="215"/>
      <c r="S55" s="216"/>
      <c r="T55" s="63"/>
    </row>
    <row r="56" spans="2:20" ht="6.95" customHeight="1" x14ac:dyDescent="0.25">
      <c r="B56" s="59"/>
      <c r="C56" s="62"/>
      <c r="D56" s="62"/>
      <c r="E56" s="62"/>
      <c r="F56" s="62"/>
      <c r="G56" s="62"/>
      <c r="H56" s="62"/>
      <c r="I56" s="62"/>
      <c r="J56" s="60"/>
      <c r="L56" s="59"/>
      <c r="M56" s="62"/>
      <c r="N56" s="62"/>
      <c r="O56" s="62"/>
      <c r="P56" s="62"/>
      <c r="Q56" s="62"/>
      <c r="R56" s="62"/>
      <c r="S56" s="62"/>
      <c r="T56" s="60"/>
    </row>
    <row r="57" spans="2:20" ht="18" customHeight="1" x14ac:dyDescent="0.25">
      <c r="B57" s="61"/>
      <c r="C57" s="214" t="s">
        <v>708</v>
      </c>
      <c r="D57" s="215"/>
      <c r="E57" s="216"/>
      <c r="F57" s="62"/>
      <c r="G57" s="214" t="s">
        <v>722</v>
      </c>
      <c r="H57" s="215"/>
      <c r="I57" s="216"/>
      <c r="J57" s="63"/>
      <c r="L57" s="61"/>
      <c r="M57" s="214" t="s">
        <v>708</v>
      </c>
      <c r="N57" s="215"/>
      <c r="O57" s="216"/>
      <c r="P57" s="62"/>
      <c r="Q57" s="214" t="s">
        <v>722</v>
      </c>
      <c r="R57" s="215"/>
      <c r="S57" s="216"/>
      <c r="T57" s="63"/>
    </row>
    <row r="58" spans="2:20" ht="6.95" customHeight="1" x14ac:dyDescent="0.25">
      <c r="B58" s="59"/>
      <c r="C58" s="62"/>
      <c r="D58" s="62"/>
      <c r="E58" s="62"/>
      <c r="F58" s="62"/>
      <c r="G58" s="62"/>
      <c r="H58" s="62"/>
      <c r="I58" s="62"/>
      <c r="J58" s="60"/>
      <c r="L58" s="59"/>
      <c r="M58" s="62"/>
      <c r="N58" s="62"/>
      <c r="O58" s="62"/>
      <c r="P58" s="62"/>
      <c r="Q58" s="62"/>
      <c r="R58" s="62"/>
      <c r="S58" s="62"/>
      <c r="T58" s="60"/>
    </row>
    <row r="59" spans="2:20" ht="18" customHeight="1" x14ac:dyDescent="0.25">
      <c r="B59" s="61"/>
      <c r="C59" s="214" t="s">
        <v>711</v>
      </c>
      <c r="D59" s="215"/>
      <c r="E59" s="216"/>
      <c r="F59" s="62"/>
      <c r="G59" s="214" t="s">
        <v>712</v>
      </c>
      <c r="H59" s="215"/>
      <c r="I59" s="216"/>
      <c r="J59" s="63"/>
      <c r="L59" s="61"/>
      <c r="M59" s="214" t="s">
        <v>711</v>
      </c>
      <c r="N59" s="215"/>
      <c r="O59" s="216"/>
      <c r="P59" s="62"/>
      <c r="Q59" s="214" t="s">
        <v>712</v>
      </c>
      <c r="R59" s="215"/>
      <c r="S59" s="216"/>
      <c r="T59" s="63"/>
    </row>
    <row r="60" spans="2:20" ht="6.6" customHeight="1" x14ac:dyDescent="0.25">
      <c r="B60" s="59"/>
      <c r="C60" s="62"/>
      <c r="D60" s="62"/>
      <c r="E60" s="62"/>
      <c r="F60" s="62"/>
      <c r="G60" s="62"/>
      <c r="H60" s="62"/>
      <c r="I60" s="62"/>
      <c r="J60" s="60"/>
      <c r="L60" s="59"/>
      <c r="M60" s="62"/>
      <c r="N60" s="62"/>
      <c r="O60" s="62"/>
      <c r="P60" s="62"/>
      <c r="Q60" s="62"/>
      <c r="R60" s="62"/>
      <c r="S60" s="62"/>
      <c r="T60" s="60"/>
    </row>
    <row r="61" spans="2:20" ht="18" customHeight="1" x14ac:dyDescent="0.25">
      <c r="B61" s="61"/>
      <c r="C61" s="214" t="s">
        <v>1273</v>
      </c>
      <c r="D61" s="215"/>
      <c r="E61" s="216"/>
      <c r="F61" s="62"/>
      <c r="G61" s="214" t="s">
        <v>1296</v>
      </c>
      <c r="H61" s="215"/>
      <c r="I61" s="216"/>
      <c r="J61" s="63"/>
      <c r="L61" s="61"/>
      <c r="M61" s="214" t="s">
        <v>1273</v>
      </c>
      <c r="N61" s="215"/>
      <c r="O61" s="216"/>
      <c r="P61" s="62"/>
      <c r="Q61" s="214" t="s">
        <v>1297</v>
      </c>
      <c r="R61" s="215"/>
      <c r="S61" s="216"/>
      <c r="T61" s="63"/>
    </row>
    <row r="62" spans="2:20" ht="6.95" customHeight="1" x14ac:dyDescent="0.25">
      <c r="B62" s="59"/>
      <c r="C62" s="62"/>
      <c r="D62" s="62"/>
      <c r="E62" s="62"/>
      <c r="F62" s="62"/>
      <c r="G62" s="62"/>
      <c r="H62" s="62"/>
      <c r="I62" s="62"/>
      <c r="J62" s="60"/>
      <c r="L62" s="59"/>
      <c r="M62" s="62"/>
      <c r="N62" s="62"/>
      <c r="O62" s="62"/>
      <c r="P62" s="62"/>
      <c r="Q62" s="62"/>
      <c r="R62" s="62"/>
      <c r="S62" s="62"/>
      <c r="T62" s="60"/>
    </row>
    <row r="63" spans="2:20" ht="18" customHeight="1" x14ac:dyDescent="0.25">
      <c r="B63" s="59"/>
      <c r="C63" s="214" t="s">
        <v>713</v>
      </c>
      <c r="D63" s="215"/>
      <c r="E63" s="216"/>
      <c r="F63" s="62"/>
      <c r="G63" s="220" t="s">
        <v>1293</v>
      </c>
      <c r="H63" s="220"/>
      <c r="I63" s="220"/>
      <c r="J63" s="63"/>
      <c r="L63" s="59"/>
      <c r="M63" s="214" t="s">
        <v>713</v>
      </c>
      <c r="N63" s="215"/>
      <c r="O63" s="216"/>
      <c r="P63" s="62"/>
      <c r="Q63" s="220" t="s">
        <v>1293</v>
      </c>
      <c r="R63" s="220"/>
      <c r="S63" s="220"/>
      <c r="T63" s="63"/>
    </row>
    <row r="64" spans="2:20" ht="6.6" customHeight="1" x14ac:dyDescent="0.25">
      <c r="B64" s="59"/>
      <c r="C64" s="128"/>
      <c r="D64" s="128"/>
      <c r="E64" s="128"/>
      <c r="F64" s="62"/>
      <c r="G64" s="128"/>
      <c r="H64" s="128"/>
      <c r="I64" s="128"/>
      <c r="J64" s="63"/>
      <c r="L64" s="59"/>
      <c r="M64" s="128"/>
      <c r="N64" s="128"/>
      <c r="O64" s="128"/>
      <c r="P64" s="62"/>
      <c r="Q64" s="128"/>
      <c r="R64" s="128"/>
      <c r="S64" s="128"/>
      <c r="T64" s="63"/>
    </row>
    <row r="65" spans="2:20" ht="18" customHeight="1" x14ac:dyDescent="0.25">
      <c r="B65" s="59"/>
      <c r="C65" s="220" t="s">
        <v>715</v>
      </c>
      <c r="D65" s="220"/>
      <c r="E65" s="220"/>
      <c r="F65" s="62"/>
      <c r="G65" s="220" t="s">
        <v>1288</v>
      </c>
      <c r="H65" s="220"/>
      <c r="I65" s="220"/>
      <c r="J65" s="63"/>
      <c r="L65" s="59"/>
      <c r="M65" s="220" t="s">
        <v>715</v>
      </c>
      <c r="N65" s="220"/>
      <c r="O65" s="220"/>
      <c r="P65" s="62"/>
      <c r="Q65" s="220" t="s">
        <v>1288</v>
      </c>
      <c r="R65" s="220"/>
      <c r="S65" s="220"/>
      <c r="T65" s="63"/>
    </row>
    <row r="66" spans="2:20" ht="6.6" customHeight="1" thickBot="1" x14ac:dyDescent="0.3">
      <c r="B66" s="64"/>
      <c r="C66" s="221"/>
      <c r="D66" s="221"/>
      <c r="E66" s="221"/>
      <c r="F66" s="130"/>
      <c r="G66" s="221"/>
      <c r="H66" s="221"/>
      <c r="I66" s="221"/>
      <c r="J66" s="66"/>
      <c r="L66" s="64"/>
      <c r="M66" s="221"/>
      <c r="N66" s="221"/>
      <c r="O66" s="221"/>
      <c r="P66" s="130"/>
      <c r="Q66" s="221"/>
      <c r="R66" s="221"/>
      <c r="S66" s="221"/>
      <c r="T66" s="66"/>
    </row>
    <row r="67" spans="2:20" ht="32.1" customHeight="1" thickTop="1" x14ac:dyDescent="0.25">
      <c r="B67" s="57"/>
      <c r="C67" s="58"/>
      <c r="D67" s="217" t="s">
        <v>697</v>
      </c>
      <c r="E67" s="218"/>
      <c r="F67" s="218"/>
      <c r="G67" s="218"/>
      <c r="H67" s="218"/>
      <c r="I67" s="218"/>
      <c r="J67" s="219"/>
      <c r="L67" s="57"/>
      <c r="M67" s="58"/>
      <c r="N67" s="217" t="s">
        <v>697</v>
      </c>
      <c r="O67" s="218"/>
      <c r="P67" s="218"/>
      <c r="Q67" s="218"/>
      <c r="R67" s="218"/>
      <c r="S67" s="218"/>
      <c r="T67" s="219"/>
    </row>
    <row r="68" spans="2:20" ht="6.95" customHeight="1" x14ac:dyDescent="0.25">
      <c r="B68" s="59"/>
      <c r="J68" s="60"/>
      <c r="L68" s="59"/>
      <c r="T68" s="60"/>
    </row>
    <row r="69" spans="2:20" ht="18" customHeight="1" x14ac:dyDescent="0.25">
      <c r="B69" s="61"/>
      <c r="C69" s="214" t="s">
        <v>698</v>
      </c>
      <c r="D69" s="215"/>
      <c r="E69" s="216"/>
      <c r="F69" s="62"/>
      <c r="G69" s="214" t="s">
        <v>21</v>
      </c>
      <c r="H69" s="215"/>
      <c r="I69" s="216"/>
      <c r="J69" s="63"/>
      <c r="L69" s="61"/>
      <c r="M69" s="214" t="s">
        <v>698</v>
      </c>
      <c r="N69" s="215"/>
      <c r="O69" s="216"/>
      <c r="P69" s="62"/>
      <c r="Q69" s="214" t="s">
        <v>24</v>
      </c>
      <c r="R69" s="215"/>
      <c r="S69" s="216"/>
      <c r="T69" s="63"/>
    </row>
    <row r="70" spans="2:20" ht="6.95" customHeight="1" x14ac:dyDescent="0.25">
      <c r="B70" s="59"/>
      <c r="C70" s="62"/>
      <c r="D70" s="62"/>
      <c r="E70" s="62"/>
      <c r="F70" s="62"/>
      <c r="G70" s="62"/>
      <c r="H70" s="62"/>
      <c r="I70" s="62"/>
      <c r="J70" s="60"/>
      <c r="L70" s="59"/>
      <c r="M70" s="62"/>
      <c r="N70" s="62"/>
      <c r="O70" s="62"/>
      <c r="P70" s="62"/>
      <c r="Q70" s="62"/>
      <c r="R70" s="62"/>
      <c r="S70" s="62"/>
      <c r="T70" s="60"/>
    </row>
    <row r="71" spans="2:20" ht="18" customHeight="1" x14ac:dyDescent="0.25">
      <c r="B71" s="61"/>
      <c r="C71" s="214" t="s">
        <v>699</v>
      </c>
      <c r="D71" s="215"/>
      <c r="E71" s="216"/>
      <c r="F71" s="62"/>
      <c r="G71" s="214" t="s">
        <v>1638</v>
      </c>
      <c r="H71" s="215"/>
      <c r="I71" s="216"/>
      <c r="J71" s="63"/>
      <c r="L71" s="61"/>
      <c r="M71" s="214" t="s">
        <v>699</v>
      </c>
      <c r="N71" s="215"/>
      <c r="O71" s="216"/>
      <c r="P71" s="62"/>
      <c r="Q71" s="214" t="s">
        <v>1638</v>
      </c>
      <c r="R71" s="215"/>
      <c r="S71" s="216"/>
      <c r="T71" s="63"/>
    </row>
    <row r="72" spans="2:20" ht="6.95" customHeight="1" x14ac:dyDescent="0.25">
      <c r="B72" s="59"/>
      <c r="C72" s="62"/>
      <c r="D72" s="62"/>
      <c r="E72" s="62"/>
      <c r="F72" s="62"/>
      <c r="G72" s="62"/>
      <c r="H72" s="62"/>
      <c r="I72" s="62"/>
      <c r="J72" s="60"/>
      <c r="L72" s="59"/>
      <c r="M72" s="62"/>
      <c r="N72" s="62"/>
      <c r="O72" s="62"/>
      <c r="P72" s="62"/>
      <c r="Q72" s="62"/>
      <c r="R72" s="62"/>
      <c r="S72" s="62"/>
      <c r="T72" s="60"/>
    </row>
    <row r="73" spans="2:20" ht="18" customHeight="1" x14ac:dyDescent="0.25">
      <c r="B73" s="61"/>
      <c r="C73" s="214" t="s">
        <v>701</v>
      </c>
      <c r="D73" s="215"/>
      <c r="E73" s="216"/>
      <c r="F73" s="62"/>
      <c r="G73" s="214" t="s">
        <v>724</v>
      </c>
      <c r="H73" s="215"/>
      <c r="I73" s="216"/>
      <c r="J73" s="63"/>
      <c r="L73" s="61"/>
      <c r="M73" s="214" t="s">
        <v>701</v>
      </c>
      <c r="N73" s="215"/>
      <c r="O73" s="216"/>
      <c r="P73" s="62"/>
      <c r="Q73" s="214" t="s">
        <v>728</v>
      </c>
      <c r="R73" s="215"/>
      <c r="S73" s="216"/>
      <c r="T73" s="63"/>
    </row>
    <row r="74" spans="2:20" ht="6.95" customHeight="1" x14ac:dyDescent="0.25">
      <c r="B74" s="59"/>
      <c r="C74" s="62"/>
      <c r="D74" s="62"/>
      <c r="E74" s="62"/>
      <c r="F74" s="62"/>
      <c r="G74" s="62"/>
      <c r="H74" s="62"/>
      <c r="I74" s="62"/>
      <c r="J74" s="60"/>
      <c r="L74" s="59"/>
      <c r="M74" s="62"/>
      <c r="N74" s="62"/>
      <c r="O74" s="62"/>
      <c r="P74" s="62"/>
      <c r="Q74" s="62"/>
      <c r="R74" s="62"/>
      <c r="S74" s="62"/>
      <c r="T74" s="60"/>
    </row>
    <row r="75" spans="2:20" ht="18" customHeight="1" x14ac:dyDescent="0.25">
      <c r="B75" s="61"/>
      <c r="C75" s="214" t="s">
        <v>703</v>
      </c>
      <c r="D75" s="215"/>
      <c r="E75" s="216"/>
      <c r="F75" s="62"/>
      <c r="G75" s="214" t="s">
        <v>725</v>
      </c>
      <c r="H75" s="215"/>
      <c r="I75" s="216"/>
      <c r="J75" s="63"/>
      <c r="L75" s="61"/>
      <c r="M75" s="214" t="s">
        <v>703</v>
      </c>
      <c r="N75" s="215"/>
      <c r="O75" s="216"/>
      <c r="P75" s="62"/>
      <c r="Q75" s="214" t="s">
        <v>729</v>
      </c>
      <c r="R75" s="215"/>
      <c r="S75" s="216"/>
      <c r="T75" s="63"/>
    </row>
    <row r="76" spans="2:20" ht="6.95" customHeight="1" x14ac:dyDescent="0.25">
      <c r="B76" s="59"/>
      <c r="C76" s="62"/>
      <c r="D76" s="62"/>
      <c r="E76" s="62"/>
      <c r="F76" s="62"/>
      <c r="G76" s="62"/>
      <c r="H76" s="62"/>
      <c r="I76" s="62"/>
      <c r="J76" s="60"/>
      <c r="L76" s="59"/>
      <c r="M76" s="62"/>
      <c r="N76" s="62"/>
      <c r="O76" s="62"/>
      <c r="P76" s="62"/>
      <c r="Q76" s="62"/>
      <c r="R76" s="62"/>
      <c r="S76" s="62"/>
      <c r="T76" s="60"/>
    </row>
    <row r="77" spans="2:20" ht="18" customHeight="1" x14ac:dyDescent="0.25">
      <c r="B77" s="61"/>
      <c r="C77" s="214" t="s">
        <v>705</v>
      </c>
      <c r="D77" s="215"/>
      <c r="E77" s="216"/>
      <c r="F77" s="62"/>
      <c r="G77" s="214" t="s">
        <v>726</v>
      </c>
      <c r="H77" s="215"/>
      <c r="I77" s="216"/>
      <c r="J77" s="63"/>
      <c r="L77" s="61"/>
      <c r="M77" s="214" t="s">
        <v>705</v>
      </c>
      <c r="N77" s="215"/>
      <c r="O77" s="216"/>
      <c r="P77" s="62"/>
      <c r="Q77" s="214" t="s">
        <v>706</v>
      </c>
      <c r="R77" s="215"/>
      <c r="S77" s="216"/>
      <c r="T77" s="63"/>
    </row>
    <row r="78" spans="2:20" ht="6.95" customHeight="1" x14ac:dyDescent="0.25">
      <c r="B78" s="59"/>
      <c r="C78" s="62"/>
      <c r="D78" s="62"/>
      <c r="E78" s="62"/>
      <c r="F78" s="62"/>
      <c r="G78" s="62"/>
      <c r="H78" s="62"/>
      <c r="I78" s="62"/>
      <c r="J78" s="60"/>
      <c r="L78" s="59"/>
      <c r="M78" s="62"/>
      <c r="N78" s="62"/>
      <c r="O78" s="62"/>
      <c r="P78" s="62"/>
      <c r="Q78" s="62"/>
      <c r="R78" s="62"/>
      <c r="S78" s="62"/>
      <c r="T78" s="60"/>
    </row>
    <row r="79" spans="2:20" ht="18" customHeight="1" x14ac:dyDescent="0.25">
      <c r="B79" s="61"/>
      <c r="C79" s="214" t="s">
        <v>708</v>
      </c>
      <c r="D79" s="215"/>
      <c r="E79" s="216"/>
      <c r="F79" s="62"/>
      <c r="G79" s="214" t="s">
        <v>727</v>
      </c>
      <c r="H79" s="215"/>
      <c r="I79" s="216"/>
      <c r="J79" s="63"/>
      <c r="L79" s="61"/>
      <c r="M79" s="214" t="s">
        <v>708</v>
      </c>
      <c r="N79" s="215"/>
      <c r="O79" s="216"/>
      <c r="P79" s="62"/>
      <c r="Q79" s="214" t="s">
        <v>709</v>
      </c>
      <c r="R79" s="215"/>
      <c r="S79" s="216"/>
      <c r="T79" s="63"/>
    </row>
    <row r="80" spans="2:20" ht="6.95" customHeight="1" x14ac:dyDescent="0.25">
      <c r="B80" s="59"/>
      <c r="C80" s="62"/>
      <c r="D80" s="62"/>
      <c r="E80" s="62"/>
      <c r="F80" s="62"/>
      <c r="G80" s="62"/>
      <c r="H80" s="62"/>
      <c r="I80" s="62"/>
      <c r="J80" s="60"/>
      <c r="L80" s="59"/>
      <c r="M80" s="62"/>
      <c r="N80" s="62"/>
      <c r="O80" s="62"/>
      <c r="P80" s="62"/>
      <c r="Q80" s="62"/>
      <c r="R80" s="62"/>
      <c r="S80" s="62"/>
      <c r="T80" s="60"/>
    </row>
    <row r="81" spans="2:20" ht="18" customHeight="1" x14ac:dyDescent="0.25">
      <c r="B81" s="61"/>
      <c r="C81" s="214" t="s">
        <v>711</v>
      </c>
      <c r="D81" s="215"/>
      <c r="E81" s="216"/>
      <c r="F81" s="62"/>
      <c r="G81" s="214" t="s">
        <v>712</v>
      </c>
      <c r="H81" s="215"/>
      <c r="I81" s="216"/>
      <c r="J81" s="63"/>
      <c r="L81" s="61"/>
      <c r="M81" s="214" t="s">
        <v>711</v>
      </c>
      <c r="N81" s="215"/>
      <c r="O81" s="216"/>
      <c r="P81" s="62"/>
      <c r="Q81" s="214" t="s">
        <v>712</v>
      </c>
      <c r="R81" s="215"/>
      <c r="S81" s="216"/>
      <c r="T81" s="63"/>
    </row>
    <row r="82" spans="2:20" ht="6.6" customHeight="1" x14ac:dyDescent="0.25">
      <c r="B82" s="59"/>
      <c r="C82" s="62"/>
      <c r="D82" s="62"/>
      <c r="E82" s="62"/>
      <c r="F82" s="62"/>
      <c r="G82" s="62"/>
      <c r="H82" s="62"/>
      <c r="I82" s="62"/>
      <c r="J82" s="60"/>
      <c r="L82" s="59"/>
      <c r="M82" s="62"/>
      <c r="N82" s="62"/>
      <c r="O82" s="62"/>
      <c r="P82" s="62"/>
      <c r="Q82" s="62"/>
      <c r="R82" s="62"/>
      <c r="S82" s="62"/>
      <c r="T82" s="60"/>
    </row>
    <row r="83" spans="2:20" ht="18" customHeight="1" x14ac:dyDescent="0.25">
      <c r="B83" s="61"/>
      <c r="C83" s="214" t="s">
        <v>1273</v>
      </c>
      <c r="D83" s="215"/>
      <c r="E83" s="216"/>
      <c r="F83" s="62"/>
      <c r="G83" s="214" t="s">
        <v>1298</v>
      </c>
      <c r="H83" s="215"/>
      <c r="I83" s="216"/>
      <c r="J83" s="63"/>
      <c r="L83" s="61"/>
      <c r="M83" s="214" t="s">
        <v>1273</v>
      </c>
      <c r="N83" s="215"/>
      <c r="O83" s="216"/>
      <c r="P83" s="62"/>
      <c r="Q83" s="214" t="s">
        <v>1299</v>
      </c>
      <c r="R83" s="215"/>
      <c r="S83" s="216"/>
      <c r="T83" s="63"/>
    </row>
    <row r="84" spans="2:20" ht="6.95" customHeight="1" x14ac:dyDescent="0.25">
      <c r="B84" s="59"/>
      <c r="C84" s="62"/>
      <c r="D84" s="62"/>
      <c r="E84" s="62"/>
      <c r="F84" s="62"/>
      <c r="G84" s="62"/>
      <c r="H84" s="62"/>
      <c r="I84" s="62"/>
      <c r="J84" s="60"/>
      <c r="L84" s="59"/>
      <c r="M84" s="62"/>
      <c r="N84" s="62"/>
      <c r="O84" s="62"/>
      <c r="P84" s="62"/>
      <c r="Q84" s="62"/>
      <c r="R84" s="62"/>
      <c r="S84" s="62"/>
      <c r="T84" s="60"/>
    </row>
    <row r="85" spans="2:20" ht="18" customHeight="1" x14ac:dyDescent="0.25">
      <c r="B85" s="59"/>
      <c r="C85" s="214" t="s">
        <v>713</v>
      </c>
      <c r="D85" s="215"/>
      <c r="E85" s="216"/>
      <c r="F85" s="62"/>
      <c r="G85" s="220" t="s">
        <v>1293</v>
      </c>
      <c r="H85" s="220"/>
      <c r="I85" s="220"/>
      <c r="J85" s="63"/>
      <c r="L85" s="59"/>
      <c r="M85" s="214" t="s">
        <v>713</v>
      </c>
      <c r="N85" s="215"/>
      <c r="O85" s="216"/>
      <c r="P85" s="62"/>
      <c r="Q85" s="220" t="s">
        <v>1293</v>
      </c>
      <c r="R85" s="220"/>
      <c r="S85" s="220"/>
      <c r="T85" s="63"/>
    </row>
    <row r="86" spans="2:20" ht="6.6" customHeight="1" x14ac:dyDescent="0.25">
      <c r="B86" s="59"/>
      <c r="C86" s="128"/>
      <c r="D86" s="128"/>
      <c r="E86" s="128"/>
      <c r="F86" s="62"/>
      <c r="G86" s="128"/>
      <c r="H86" s="128"/>
      <c r="I86" s="128"/>
      <c r="J86" s="63"/>
      <c r="L86" s="59"/>
      <c r="M86" s="128"/>
      <c r="N86" s="128"/>
      <c r="O86" s="128"/>
      <c r="P86" s="62"/>
      <c r="Q86" s="128"/>
      <c r="R86" s="128"/>
      <c r="S86" s="128"/>
      <c r="T86" s="63"/>
    </row>
    <row r="87" spans="2:20" ht="18" customHeight="1" x14ac:dyDescent="0.25">
      <c r="B87" s="59"/>
      <c r="C87" s="220" t="s">
        <v>715</v>
      </c>
      <c r="D87" s="220"/>
      <c r="E87" s="220"/>
      <c r="F87" s="62"/>
      <c r="G87" s="220" t="s">
        <v>1288</v>
      </c>
      <c r="H87" s="220"/>
      <c r="I87" s="220"/>
      <c r="J87" s="63"/>
      <c r="L87" s="59"/>
      <c r="M87" s="220" t="s">
        <v>715</v>
      </c>
      <c r="N87" s="220"/>
      <c r="O87" s="220"/>
      <c r="P87" s="62"/>
      <c r="Q87" s="220" t="s">
        <v>1288</v>
      </c>
      <c r="R87" s="220"/>
      <c r="S87" s="220"/>
      <c r="T87" s="63"/>
    </row>
    <row r="88" spans="2:20" ht="6.6" customHeight="1" thickBot="1" x14ac:dyDescent="0.3">
      <c r="B88" s="64"/>
      <c r="C88" s="221"/>
      <c r="D88" s="221"/>
      <c r="E88" s="221"/>
      <c r="F88" s="130"/>
      <c r="G88" s="221"/>
      <c r="H88" s="221"/>
      <c r="I88" s="221"/>
      <c r="J88" s="66"/>
      <c r="L88" s="64"/>
      <c r="M88" s="221"/>
      <c r="N88" s="221"/>
      <c r="O88" s="221"/>
      <c r="P88" s="130"/>
      <c r="Q88" s="221"/>
      <c r="R88" s="221"/>
      <c r="S88" s="221"/>
      <c r="T88" s="66"/>
    </row>
    <row r="89" spans="2:20" ht="32.1" customHeight="1" thickTop="1" x14ac:dyDescent="0.25">
      <c r="B89" s="57"/>
      <c r="C89" s="58"/>
      <c r="D89" s="217" t="s">
        <v>697</v>
      </c>
      <c r="E89" s="218"/>
      <c r="F89" s="218"/>
      <c r="G89" s="218"/>
      <c r="H89" s="218"/>
      <c r="I89" s="218"/>
      <c r="J89" s="219"/>
      <c r="L89" s="57"/>
      <c r="M89" s="58"/>
      <c r="N89" s="217" t="s">
        <v>697</v>
      </c>
      <c r="O89" s="218"/>
      <c r="P89" s="218"/>
      <c r="Q89" s="218"/>
      <c r="R89" s="218"/>
      <c r="S89" s="218"/>
      <c r="T89" s="219"/>
    </row>
    <row r="90" spans="2:20" ht="6.95" customHeight="1" x14ac:dyDescent="0.25">
      <c r="B90" s="59"/>
      <c r="J90" s="60"/>
      <c r="L90" s="59"/>
      <c r="T90" s="60"/>
    </row>
    <row r="91" spans="2:20" ht="18" customHeight="1" x14ac:dyDescent="0.25">
      <c r="B91" s="61"/>
      <c r="C91" s="214" t="s">
        <v>698</v>
      </c>
      <c r="D91" s="215"/>
      <c r="E91" s="216"/>
      <c r="F91" s="62"/>
      <c r="G91" s="214" t="s">
        <v>26</v>
      </c>
      <c r="H91" s="215"/>
      <c r="I91" s="216"/>
      <c r="J91" s="63"/>
      <c r="L91" s="61"/>
      <c r="M91" s="214" t="s">
        <v>698</v>
      </c>
      <c r="N91" s="215"/>
      <c r="O91" s="216"/>
      <c r="P91" s="62"/>
      <c r="Q91" s="214" t="s">
        <v>29</v>
      </c>
      <c r="R91" s="215"/>
      <c r="S91" s="216"/>
      <c r="T91" s="63"/>
    </row>
    <row r="92" spans="2:20" ht="6.95" customHeight="1" x14ac:dyDescent="0.25">
      <c r="B92" s="59"/>
      <c r="C92" s="62"/>
      <c r="D92" s="62"/>
      <c r="E92" s="62"/>
      <c r="F92" s="62"/>
      <c r="G92" s="62"/>
      <c r="H92" s="62"/>
      <c r="I92" s="62"/>
      <c r="J92" s="60"/>
      <c r="L92" s="59"/>
      <c r="M92" s="62"/>
      <c r="N92" s="62"/>
      <c r="O92" s="62"/>
      <c r="P92" s="62"/>
      <c r="Q92" s="62"/>
      <c r="R92" s="62"/>
      <c r="S92" s="62"/>
      <c r="T92" s="60"/>
    </row>
    <row r="93" spans="2:20" ht="18" customHeight="1" x14ac:dyDescent="0.25">
      <c r="B93" s="61"/>
      <c r="C93" s="214" t="s">
        <v>699</v>
      </c>
      <c r="D93" s="215"/>
      <c r="E93" s="216"/>
      <c r="F93" s="62"/>
      <c r="G93" s="214" t="s">
        <v>1638</v>
      </c>
      <c r="H93" s="215"/>
      <c r="I93" s="216"/>
      <c r="J93" s="63"/>
      <c r="L93" s="61"/>
      <c r="M93" s="214" t="s">
        <v>699</v>
      </c>
      <c r="N93" s="215"/>
      <c r="O93" s="216"/>
      <c r="P93" s="62"/>
      <c r="Q93" s="214" t="s">
        <v>1638</v>
      </c>
      <c r="R93" s="215"/>
      <c r="S93" s="216"/>
      <c r="T93" s="63"/>
    </row>
    <row r="94" spans="2:20" ht="6.95" customHeight="1" x14ac:dyDescent="0.25">
      <c r="B94" s="59"/>
      <c r="C94" s="62"/>
      <c r="D94" s="62"/>
      <c r="E94" s="62"/>
      <c r="F94" s="62"/>
      <c r="G94" s="62"/>
      <c r="H94" s="62"/>
      <c r="I94" s="62"/>
      <c r="J94" s="60"/>
      <c r="L94" s="59"/>
      <c r="M94" s="62"/>
      <c r="N94" s="62"/>
      <c r="O94" s="62"/>
      <c r="P94" s="62"/>
      <c r="Q94" s="62"/>
      <c r="R94" s="62"/>
      <c r="S94" s="62"/>
      <c r="T94" s="60"/>
    </row>
    <row r="95" spans="2:20" ht="18" customHeight="1" x14ac:dyDescent="0.25">
      <c r="B95" s="61"/>
      <c r="C95" s="214" t="s">
        <v>701</v>
      </c>
      <c r="D95" s="215"/>
      <c r="E95" s="216"/>
      <c r="F95" s="62"/>
      <c r="G95" s="214" t="s">
        <v>730</v>
      </c>
      <c r="H95" s="215"/>
      <c r="I95" s="216"/>
      <c r="J95" s="63"/>
      <c r="L95" s="61"/>
      <c r="M95" s="214" t="s">
        <v>701</v>
      </c>
      <c r="N95" s="215"/>
      <c r="O95" s="216"/>
      <c r="P95" s="62"/>
      <c r="Q95" s="214" t="s">
        <v>730</v>
      </c>
      <c r="R95" s="215"/>
      <c r="S95" s="216"/>
      <c r="T95" s="63"/>
    </row>
    <row r="96" spans="2:20" ht="6.95" customHeight="1" x14ac:dyDescent="0.25">
      <c r="B96" s="59"/>
      <c r="C96" s="62"/>
      <c r="D96" s="62"/>
      <c r="E96" s="62"/>
      <c r="F96" s="62"/>
      <c r="G96" s="62"/>
      <c r="H96" s="62"/>
      <c r="I96" s="62"/>
      <c r="J96" s="60"/>
      <c r="L96" s="59"/>
      <c r="M96" s="62"/>
      <c r="N96" s="62"/>
      <c r="O96" s="62"/>
      <c r="P96" s="62"/>
      <c r="Q96" s="62"/>
      <c r="R96" s="62"/>
      <c r="S96" s="62"/>
      <c r="T96" s="60"/>
    </row>
    <row r="97" spans="2:20" ht="18" customHeight="1" x14ac:dyDescent="0.25">
      <c r="B97" s="61"/>
      <c r="C97" s="214" t="s">
        <v>705</v>
      </c>
      <c r="D97" s="215"/>
      <c r="E97" s="216"/>
      <c r="F97" s="62"/>
      <c r="G97" s="214" t="s">
        <v>721</v>
      </c>
      <c r="H97" s="215"/>
      <c r="I97" s="216"/>
      <c r="J97" s="63"/>
      <c r="L97" s="61"/>
      <c r="M97" s="214" t="s">
        <v>705</v>
      </c>
      <c r="N97" s="215"/>
      <c r="O97" s="216"/>
      <c r="P97" s="62"/>
      <c r="Q97" s="214" t="s">
        <v>731</v>
      </c>
      <c r="R97" s="215"/>
      <c r="S97" s="216"/>
      <c r="T97" s="63"/>
    </row>
    <row r="98" spans="2:20" ht="6.95" customHeight="1" x14ac:dyDescent="0.25">
      <c r="B98" s="59"/>
      <c r="C98" s="62"/>
      <c r="D98" s="62"/>
      <c r="E98" s="62"/>
      <c r="F98" s="62"/>
      <c r="G98" s="62"/>
      <c r="H98" s="62"/>
      <c r="I98" s="62"/>
      <c r="J98" s="60"/>
      <c r="L98" s="59"/>
      <c r="M98" s="62"/>
      <c r="N98" s="62"/>
      <c r="O98" s="62"/>
      <c r="P98" s="62"/>
      <c r="Q98" s="62"/>
      <c r="R98" s="62"/>
      <c r="S98" s="62"/>
      <c r="T98" s="60"/>
    </row>
    <row r="99" spans="2:20" ht="18" customHeight="1" x14ac:dyDescent="0.25">
      <c r="B99" s="61"/>
      <c r="C99" s="214" t="s">
        <v>708</v>
      </c>
      <c r="D99" s="215"/>
      <c r="E99" s="216"/>
      <c r="F99" s="62"/>
      <c r="G99" s="214" t="s">
        <v>722</v>
      </c>
      <c r="H99" s="215"/>
      <c r="I99" s="216"/>
      <c r="J99" s="63"/>
      <c r="L99" s="61"/>
      <c r="M99" s="214" t="s">
        <v>708</v>
      </c>
      <c r="N99" s="215"/>
      <c r="O99" s="216"/>
      <c r="P99" s="62"/>
      <c r="Q99" s="214" t="s">
        <v>732</v>
      </c>
      <c r="R99" s="215"/>
      <c r="S99" s="216"/>
      <c r="T99" s="63"/>
    </row>
    <row r="100" spans="2:20" ht="6.95" customHeight="1" x14ac:dyDescent="0.25">
      <c r="B100" s="59"/>
      <c r="C100" s="62"/>
      <c r="D100" s="62"/>
      <c r="E100" s="62"/>
      <c r="F100" s="62"/>
      <c r="G100" s="62"/>
      <c r="H100" s="62"/>
      <c r="I100" s="62"/>
      <c r="J100" s="60"/>
      <c r="L100" s="59"/>
      <c r="M100" s="62"/>
      <c r="N100" s="62"/>
      <c r="O100" s="62"/>
      <c r="P100" s="62"/>
      <c r="Q100" s="62"/>
      <c r="R100" s="62"/>
      <c r="S100" s="62"/>
      <c r="T100" s="60"/>
    </row>
    <row r="101" spans="2:20" ht="18" customHeight="1" x14ac:dyDescent="0.25">
      <c r="B101" s="61"/>
      <c r="C101" s="214" t="s">
        <v>711</v>
      </c>
      <c r="D101" s="215"/>
      <c r="E101" s="216"/>
      <c r="F101" s="62"/>
      <c r="G101" s="214" t="s">
        <v>712</v>
      </c>
      <c r="H101" s="215"/>
      <c r="I101" s="216"/>
      <c r="J101" s="63"/>
      <c r="L101" s="61"/>
      <c r="M101" s="214" t="s">
        <v>711</v>
      </c>
      <c r="N101" s="215"/>
      <c r="O101" s="216"/>
      <c r="P101" s="62"/>
      <c r="Q101" s="214" t="s">
        <v>712</v>
      </c>
      <c r="R101" s="215"/>
      <c r="S101" s="216"/>
      <c r="T101" s="63"/>
    </row>
    <row r="102" spans="2:20" ht="6.6" customHeight="1" x14ac:dyDescent="0.25">
      <c r="B102" s="59"/>
      <c r="C102" s="62"/>
      <c r="D102" s="62"/>
      <c r="E102" s="62"/>
      <c r="F102" s="62"/>
      <c r="G102" s="62"/>
      <c r="H102" s="62"/>
      <c r="I102" s="62"/>
      <c r="J102" s="60"/>
      <c r="L102" s="59"/>
      <c r="M102" s="62"/>
      <c r="N102" s="62"/>
      <c r="O102" s="62"/>
      <c r="P102" s="62"/>
      <c r="Q102" s="62"/>
      <c r="R102" s="62"/>
      <c r="S102" s="62"/>
      <c r="T102" s="60"/>
    </row>
    <row r="103" spans="2:20" ht="18" customHeight="1" x14ac:dyDescent="0.25">
      <c r="B103" s="61"/>
      <c r="C103" s="214" t="s">
        <v>1273</v>
      </c>
      <c r="D103" s="215"/>
      <c r="E103" s="216"/>
      <c r="F103" s="62"/>
      <c r="G103" s="214" t="s">
        <v>1300</v>
      </c>
      <c r="H103" s="215"/>
      <c r="I103" s="216"/>
      <c r="J103" s="63"/>
      <c r="L103" s="61"/>
      <c r="M103" s="214" t="s">
        <v>1273</v>
      </c>
      <c r="N103" s="215"/>
      <c r="O103" s="216"/>
      <c r="P103" s="62"/>
      <c r="Q103" s="214" t="s">
        <v>1301</v>
      </c>
      <c r="R103" s="215"/>
      <c r="S103" s="216"/>
      <c r="T103" s="63"/>
    </row>
    <row r="104" spans="2:20" ht="6.95" customHeight="1" x14ac:dyDescent="0.25">
      <c r="B104" s="59"/>
      <c r="C104" s="62"/>
      <c r="D104" s="62"/>
      <c r="E104" s="62"/>
      <c r="F104" s="62"/>
      <c r="G104" s="62"/>
      <c r="H104" s="62"/>
      <c r="I104" s="62"/>
      <c r="J104" s="60"/>
      <c r="L104" s="59"/>
      <c r="M104" s="62"/>
      <c r="N104" s="62"/>
      <c r="O104" s="62"/>
      <c r="P104" s="62"/>
      <c r="Q104" s="62"/>
      <c r="R104" s="62"/>
      <c r="S104" s="62"/>
      <c r="T104" s="60"/>
    </row>
    <row r="105" spans="2:20" ht="18" customHeight="1" x14ac:dyDescent="0.25">
      <c r="B105" s="59"/>
      <c r="C105" s="214" t="s">
        <v>713</v>
      </c>
      <c r="D105" s="215"/>
      <c r="E105" s="216"/>
      <c r="F105" s="62"/>
      <c r="G105" s="220" t="s">
        <v>1293</v>
      </c>
      <c r="H105" s="220"/>
      <c r="I105" s="220"/>
      <c r="J105" s="63"/>
      <c r="L105" s="59"/>
      <c r="M105" s="214" t="s">
        <v>713</v>
      </c>
      <c r="N105" s="215"/>
      <c r="O105" s="216"/>
      <c r="P105" s="62"/>
      <c r="Q105" s="220" t="s">
        <v>1293</v>
      </c>
      <c r="R105" s="220"/>
      <c r="S105" s="220"/>
      <c r="T105" s="63"/>
    </row>
    <row r="106" spans="2:20" ht="6.6" customHeight="1" x14ac:dyDescent="0.25">
      <c r="B106" s="59"/>
      <c r="C106" s="128"/>
      <c r="D106" s="128"/>
      <c r="E106" s="128"/>
      <c r="F106" s="62"/>
      <c r="G106" s="128"/>
      <c r="H106" s="128"/>
      <c r="I106" s="128"/>
      <c r="J106" s="63"/>
      <c r="L106" s="59"/>
      <c r="M106" s="128"/>
      <c r="N106" s="128"/>
      <c r="O106" s="128"/>
      <c r="P106" s="62"/>
      <c r="Q106" s="128"/>
      <c r="R106" s="128"/>
      <c r="S106" s="128"/>
      <c r="T106" s="63"/>
    </row>
    <row r="107" spans="2:20" ht="18" customHeight="1" x14ac:dyDescent="0.25">
      <c r="B107" s="59"/>
      <c r="C107" s="220" t="s">
        <v>715</v>
      </c>
      <c r="D107" s="220"/>
      <c r="E107" s="220"/>
      <c r="F107" s="62"/>
      <c r="G107" s="220" t="s">
        <v>1288</v>
      </c>
      <c r="H107" s="220"/>
      <c r="I107" s="220"/>
      <c r="J107" s="63"/>
      <c r="L107" s="59"/>
      <c r="M107" s="220" t="s">
        <v>715</v>
      </c>
      <c r="N107" s="220"/>
      <c r="O107" s="220"/>
      <c r="P107" s="62"/>
      <c r="Q107" s="220" t="s">
        <v>1288</v>
      </c>
      <c r="R107" s="220"/>
      <c r="S107" s="220"/>
      <c r="T107" s="63"/>
    </row>
    <row r="108" spans="2:20" ht="6.6" customHeight="1" thickBot="1" x14ac:dyDescent="0.3">
      <c r="B108" s="64"/>
      <c r="C108" s="221"/>
      <c r="D108" s="221"/>
      <c r="E108" s="221"/>
      <c r="F108" s="130"/>
      <c r="G108" s="221"/>
      <c r="H108" s="221"/>
      <c r="I108" s="221"/>
      <c r="J108" s="66"/>
      <c r="L108" s="64"/>
      <c r="M108" s="221"/>
      <c r="N108" s="221"/>
      <c r="O108" s="221"/>
      <c r="P108" s="130"/>
      <c r="Q108" s="221"/>
      <c r="R108" s="221"/>
      <c r="S108" s="221"/>
      <c r="T108" s="66"/>
    </row>
    <row r="109" spans="2:20" ht="32.1" customHeight="1" thickTop="1" x14ac:dyDescent="0.25">
      <c r="B109" s="57"/>
      <c r="C109" s="58"/>
      <c r="D109" s="217" t="s">
        <v>697</v>
      </c>
      <c r="E109" s="217"/>
      <c r="F109" s="217"/>
      <c r="G109" s="217"/>
      <c r="H109" s="217"/>
      <c r="I109" s="217"/>
      <c r="J109" s="225"/>
      <c r="L109" s="57"/>
      <c r="M109" s="58"/>
      <c r="N109" s="217" t="s">
        <v>697</v>
      </c>
      <c r="O109" s="218"/>
      <c r="P109" s="218"/>
      <c r="Q109" s="218"/>
      <c r="R109" s="218"/>
      <c r="S109" s="218"/>
      <c r="T109" s="219"/>
    </row>
    <row r="110" spans="2:20" ht="6.95" customHeight="1" x14ac:dyDescent="0.25">
      <c r="B110" s="59"/>
      <c r="J110" s="60"/>
      <c r="L110" s="59"/>
      <c r="T110" s="60"/>
    </row>
    <row r="111" spans="2:20" ht="18" customHeight="1" x14ac:dyDescent="0.25">
      <c r="B111" s="61"/>
      <c r="C111" s="214" t="s">
        <v>698</v>
      </c>
      <c r="D111" s="215"/>
      <c r="E111" s="216"/>
      <c r="F111" s="62"/>
      <c r="G111" s="214" t="s">
        <v>37</v>
      </c>
      <c r="H111" s="215"/>
      <c r="I111" s="216"/>
      <c r="J111" s="63"/>
      <c r="L111" s="61"/>
      <c r="M111" s="214" t="s">
        <v>698</v>
      </c>
      <c r="N111" s="215"/>
      <c r="O111" s="216"/>
      <c r="P111" s="62"/>
      <c r="Q111" s="214" t="s">
        <v>48</v>
      </c>
      <c r="R111" s="215"/>
      <c r="S111" s="216"/>
      <c r="T111" s="63"/>
    </row>
    <row r="112" spans="2:20" ht="6.95" customHeight="1" x14ac:dyDescent="0.25">
      <c r="B112" s="59"/>
      <c r="C112" s="62"/>
      <c r="D112" s="62"/>
      <c r="E112" s="62"/>
      <c r="F112" s="62"/>
      <c r="G112" s="62"/>
      <c r="H112" s="62"/>
      <c r="I112" s="62"/>
      <c r="J112" s="60"/>
      <c r="L112" s="59"/>
      <c r="M112" s="62"/>
      <c r="N112" s="62"/>
      <c r="O112" s="62"/>
      <c r="P112" s="62"/>
      <c r="Q112" s="62"/>
      <c r="R112" s="62"/>
      <c r="S112" s="62"/>
      <c r="T112" s="60"/>
    </row>
    <row r="113" spans="2:20" ht="18" customHeight="1" x14ac:dyDescent="0.25">
      <c r="B113" s="61"/>
      <c r="C113" s="214" t="s">
        <v>699</v>
      </c>
      <c r="D113" s="215"/>
      <c r="E113" s="216"/>
      <c r="F113" s="62"/>
      <c r="G113" s="214" t="s">
        <v>1638</v>
      </c>
      <c r="H113" s="215"/>
      <c r="I113" s="216"/>
      <c r="J113" s="63"/>
      <c r="L113" s="61"/>
      <c r="M113" s="214" t="s">
        <v>699</v>
      </c>
      <c r="N113" s="215"/>
      <c r="O113" s="216"/>
      <c r="P113" s="62"/>
      <c r="Q113" s="214" t="s">
        <v>1638</v>
      </c>
      <c r="R113" s="215"/>
      <c r="S113" s="216"/>
      <c r="T113" s="63"/>
    </row>
    <row r="114" spans="2:20" ht="6.95" customHeight="1" x14ac:dyDescent="0.25">
      <c r="B114" s="59"/>
      <c r="C114" s="62"/>
      <c r="D114" s="62"/>
      <c r="E114" s="62"/>
      <c r="F114" s="62"/>
      <c r="G114" s="62"/>
      <c r="H114" s="62"/>
      <c r="I114" s="62"/>
      <c r="J114" s="60"/>
      <c r="L114" s="59"/>
      <c r="M114" s="62"/>
      <c r="N114" s="62"/>
      <c r="O114" s="62"/>
      <c r="P114" s="62"/>
      <c r="Q114" s="62"/>
      <c r="R114" s="62"/>
      <c r="S114" s="62"/>
      <c r="T114" s="60"/>
    </row>
    <row r="115" spans="2:20" ht="18" customHeight="1" x14ac:dyDescent="0.25">
      <c r="B115" s="61"/>
      <c r="C115" s="214" t="s">
        <v>701</v>
      </c>
      <c r="D115" s="215"/>
      <c r="E115" s="216"/>
      <c r="F115" s="62"/>
      <c r="G115" s="214" t="s">
        <v>733</v>
      </c>
      <c r="H115" s="215"/>
      <c r="I115" s="216"/>
      <c r="J115" s="63"/>
      <c r="L115" s="61"/>
      <c r="M115" s="214" t="s">
        <v>701</v>
      </c>
      <c r="N115" s="215"/>
      <c r="O115" s="216"/>
      <c r="P115" s="62"/>
      <c r="Q115" s="214" t="s">
        <v>737</v>
      </c>
      <c r="R115" s="215"/>
      <c r="S115" s="216"/>
      <c r="T115" s="63"/>
    </row>
    <row r="116" spans="2:20" ht="6.95" customHeight="1" x14ac:dyDescent="0.25">
      <c r="B116" s="59"/>
      <c r="C116" s="62"/>
      <c r="D116" s="62"/>
      <c r="E116" s="62"/>
      <c r="F116" s="62"/>
      <c r="G116" s="62"/>
      <c r="H116" s="62"/>
      <c r="I116" s="62"/>
      <c r="J116" s="60"/>
      <c r="L116" s="59"/>
      <c r="M116" s="62"/>
      <c r="N116" s="62"/>
      <c r="O116" s="62"/>
      <c r="P116" s="62"/>
      <c r="Q116" s="62"/>
      <c r="R116" s="62"/>
      <c r="S116" s="62"/>
      <c r="T116" s="60"/>
    </row>
    <row r="117" spans="2:20" ht="18" customHeight="1" x14ac:dyDescent="0.25">
      <c r="B117" s="61"/>
      <c r="C117" s="214" t="s">
        <v>703</v>
      </c>
      <c r="D117" s="215"/>
      <c r="E117" s="216"/>
      <c r="F117" s="62"/>
      <c r="G117" s="214" t="s">
        <v>734</v>
      </c>
      <c r="H117" s="215"/>
      <c r="I117" s="216"/>
      <c r="J117" s="63"/>
      <c r="L117" s="61"/>
      <c r="M117" s="214" t="s">
        <v>703</v>
      </c>
      <c r="N117" s="215"/>
      <c r="O117" s="216"/>
      <c r="P117" s="62"/>
      <c r="Q117" s="214" t="s">
        <v>738</v>
      </c>
      <c r="R117" s="215"/>
      <c r="S117" s="216"/>
      <c r="T117" s="63"/>
    </row>
    <row r="118" spans="2:20" ht="6.95" customHeight="1" x14ac:dyDescent="0.25">
      <c r="B118" s="59"/>
      <c r="C118" s="62"/>
      <c r="D118" s="62"/>
      <c r="E118" s="62"/>
      <c r="F118" s="62"/>
      <c r="G118" s="62"/>
      <c r="H118" s="62"/>
      <c r="I118" s="62"/>
      <c r="J118" s="60"/>
      <c r="L118" s="59"/>
      <c r="M118" s="62"/>
      <c r="N118" s="62"/>
      <c r="O118" s="62"/>
      <c r="P118" s="62"/>
      <c r="Q118" s="62"/>
      <c r="R118" s="62"/>
      <c r="S118" s="62"/>
      <c r="T118" s="60"/>
    </row>
    <row r="119" spans="2:20" ht="18" customHeight="1" x14ac:dyDescent="0.25">
      <c r="B119" s="61"/>
      <c r="C119" s="214" t="s">
        <v>705</v>
      </c>
      <c r="D119" s="215"/>
      <c r="E119" s="216"/>
      <c r="F119" s="62"/>
      <c r="G119" s="214" t="s">
        <v>735</v>
      </c>
      <c r="H119" s="215"/>
      <c r="I119" s="216"/>
      <c r="J119" s="63"/>
      <c r="L119" s="61"/>
      <c r="M119" s="214" t="s">
        <v>705</v>
      </c>
      <c r="N119" s="215"/>
      <c r="O119" s="216"/>
      <c r="P119" s="62"/>
      <c r="Q119" s="214" t="s">
        <v>718</v>
      </c>
      <c r="R119" s="215"/>
      <c r="S119" s="216"/>
      <c r="T119" s="63"/>
    </row>
    <row r="120" spans="2:20" ht="6.95" customHeight="1" x14ac:dyDescent="0.25">
      <c r="B120" s="59"/>
      <c r="C120" s="62"/>
      <c r="D120" s="62"/>
      <c r="E120" s="62"/>
      <c r="F120" s="62"/>
      <c r="G120" s="62"/>
      <c r="H120" s="62"/>
      <c r="I120" s="62"/>
      <c r="J120" s="60"/>
      <c r="L120" s="59"/>
      <c r="M120" s="62"/>
      <c r="N120" s="62"/>
      <c r="O120" s="62"/>
      <c r="P120" s="62"/>
      <c r="Q120" s="62"/>
      <c r="R120" s="62"/>
      <c r="S120" s="62"/>
      <c r="T120" s="60"/>
    </row>
    <row r="121" spans="2:20" ht="18" customHeight="1" x14ac:dyDescent="0.25">
      <c r="B121" s="61"/>
      <c r="C121" s="214" t="s">
        <v>708</v>
      </c>
      <c r="D121" s="215"/>
      <c r="E121" s="216"/>
      <c r="F121" s="62"/>
      <c r="G121" s="214" t="s">
        <v>736</v>
      </c>
      <c r="H121" s="215"/>
      <c r="I121" s="216"/>
      <c r="J121" s="63"/>
      <c r="L121" s="61"/>
      <c r="M121" s="214" t="s">
        <v>708</v>
      </c>
      <c r="N121" s="215"/>
      <c r="O121" s="216"/>
      <c r="P121" s="62"/>
      <c r="Q121" s="214" t="s">
        <v>739</v>
      </c>
      <c r="R121" s="215"/>
      <c r="S121" s="216"/>
      <c r="T121" s="63"/>
    </row>
    <row r="122" spans="2:20" ht="6.95" customHeight="1" x14ac:dyDescent="0.25">
      <c r="B122" s="59"/>
      <c r="C122" s="62"/>
      <c r="D122" s="62"/>
      <c r="E122" s="62"/>
      <c r="F122" s="62"/>
      <c r="G122" s="62"/>
      <c r="H122" s="62"/>
      <c r="I122" s="62"/>
      <c r="J122" s="60"/>
      <c r="L122" s="59"/>
      <c r="M122" s="62"/>
      <c r="N122" s="62"/>
      <c r="O122" s="62"/>
      <c r="P122" s="62"/>
      <c r="Q122" s="62"/>
      <c r="R122" s="62"/>
      <c r="S122" s="62"/>
      <c r="T122" s="60"/>
    </row>
    <row r="123" spans="2:20" ht="18" customHeight="1" x14ac:dyDescent="0.25">
      <c r="B123" s="61"/>
      <c r="C123" s="214" t="s">
        <v>711</v>
      </c>
      <c r="D123" s="215"/>
      <c r="E123" s="216"/>
      <c r="F123" s="62"/>
      <c r="G123" s="214" t="s">
        <v>712</v>
      </c>
      <c r="H123" s="215"/>
      <c r="I123" s="216"/>
      <c r="J123" s="63"/>
      <c r="L123" s="61"/>
      <c r="M123" s="214" t="s">
        <v>711</v>
      </c>
      <c r="N123" s="215"/>
      <c r="O123" s="216"/>
      <c r="P123" s="62"/>
      <c r="Q123" s="214" t="s">
        <v>712</v>
      </c>
      <c r="R123" s="215"/>
      <c r="S123" s="216"/>
      <c r="T123" s="63"/>
    </row>
    <row r="124" spans="2:20" ht="6.6" customHeight="1" x14ac:dyDescent="0.25">
      <c r="B124" s="59"/>
      <c r="C124" s="62"/>
      <c r="D124" s="62"/>
      <c r="E124" s="62"/>
      <c r="F124" s="62"/>
      <c r="G124" s="62"/>
      <c r="H124" s="62"/>
      <c r="I124" s="62"/>
      <c r="J124" s="60"/>
      <c r="L124" s="59"/>
      <c r="M124" s="62"/>
      <c r="N124" s="62"/>
      <c r="O124" s="62"/>
      <c r="P124" s="62"/>
      <c r="Q124" s="62"/>
      <c r="R124" s="62"/>
      <c r="S124" s="62"/>
      <c r="T124" s="60"/>
    </row>
    <row r="125" spans="2:20" ht="18" customHeight="1" x14ac:dyDescent="0.25">
      <c r="B125" s="61"/>
      <c r="C125" s="214" t="s">
        <v>1273</v>
      </c>
      <c r="D125" s="215"/>
      <c r="E125" s="216"/>
      <c r="F125" s="62"/>
      <c r="G125" s="214" t="s">
        <v>1302</v>
      </c>
      <c r="H125" s="215"/>
      <c r="I125" s="216"/>
      <c r="J125" s="63"/>
      <c r="L125" s="61"/>
      <c r="M125" s="214" t="s">
        <v>1273</v>
      </c>
      <c r="N125" s="215"/>
      <c r="O125" s="216"/>
      <c r="P125" s="62"/>
      <c r="Q125" s="214" t="s">
        <v>1303</v>
      </c>
      <c r="R125" s="215"/>
      <c r="S125" s="216"/>
      <c r="T125" s="63"/>
    </row>
    <row r="126" spans="2:20" ht="6.95" customHeight="1" x14ac:dyDescent="0.25">
      <c r="B126" s="59"/>
      <c r="C126" s="62"/>
      <c r="D126" s="62"/>
      <c r="E126" s="62"/>
      <c r="F126" s="62"/>
      <c r="G126" s="62"/>
      <c r="H126" s="62"/>
      <c r="I126" s="62"/>
      <c r="J126" s="60"/>
      <c r="L126" s="59"/>
      <c r="M126" s="62"/>
      <c r="N126" s="62"/>
      <c r="O126" s="62"/>
      <c r="P126" s="62"/>
      <c r="Q126" s="62"/>
      <c r="R126" s="62"/>
      <c r="S126" s="62"/>
      <c r="T126" s="60"/>
    </row>
    <row r="127" spans="2:20" ht="18" customHeight="1" x14ac:dyDescent="0.25">
      <c r="B127" s="59"/>
      <c r="C127" s="214" t="s">
        <v>713</v>
      </c>
      <c r="D127" s="215"/>
      <c r="E127" s="216"/>
      <c r="F127" s="62"/>
      <c r="G127" s="220" t="s">
        <v>1293</v>
      </c>
      <c r="H127" s="220"/>
      <c r="I127" s="220"/>
      <c r="J127" s="63"/>
      <c r="L127" s="59"/>
      <c r="M127" s="214" t="s">
        <v>713</v>
      </c>
      <c r="N127" s="215"/>
      <c r="O127" s="216"/>
      <c r="P127" s="62"/>
      <c r="Q127" s="220" t="s">
        <v>1293</v>
      </c>
      <c r="R127" s="220"/>
      <c r="S127" s="220"/>
      <c r="T127" s="63"/>
    </row>
    <row r="128" spans="2:20" ht="6.6" customHeight="1" x14ac:dyDescent="0.25">
      <c r="B128" s="59"/>
      <c r="C128" s="128"/>
      <c r="D128" s="128"/>
      <c r="E128" s="128"/>
      <c r="F128" s="62"/>
      <c r="G128" s="128"/>
      <c r="H128" s="128"/>
      <c r="I128" s="128"/>
      <c r="J128" s="63"/>
      <c r="L128" s="59"/>
      <c r="M128" s="128"/>
      <c r="N128" s="128"/>
      <c r="O128" s="128"/>
      <c r="P128" s="62"/>
      <c r="Q128" s="128"/>
      <c r="R128" s="128"/>
      <c r="S128" s="128"/>
      <c r="T128" s="63"/>
    </row>
    <row r="129" spans="2:20" x14ac:dyDescent="0.25">
      <c r="B129" s="59"/>
      <c r="C129" s="220" t="s">
        <v>715</v>
      </c>
      <c r="D129" s="220"/>
      <c r="E129" s="220"/>
      <c r="F129" s="62"/>
      <c r="G129" s="220" t="s">
        <v>1288</v>
      </c>
      <c r="H129" s="220"/>
      <c r="I129" s="220"/>
      <c r="J129" s="63"/>
      <c r="L129" s="59"/>
      <c r="M129" s="220" t="s">
        <v>715</v>
      </c>
      <c r="N129" s="220"/>
      <c r="O129" s="220"/>
      <c r="P129" s="62"/>
      <c r="Q129" s="220" t="s">
        <v>1288</v>
      </c>
      <c r="R129" s="220"/>
      <c r="S129" s="220"/>
      <c r="T129" s="63"/>
    </row>
    <row r="130" spans="2:20" ht="0.6" customHeight="1" x14ac:dyDescent="0.25">
      <c r="B130" s="59"/>
      <c r="C130" s="128"/>
      <c r="D130" s="128"/>
      <c r="E130" s="128"/>
      <c r="F130" s="62"/>
      <c r="G130" s="128"/>
      <c r="H130" s="128"/>
      <c r="I130" s="128"/>
      <c r="J130" s="63"/>
      <c r="L130" s="59"/>
      <c r="M130" s="128"/>
      <c r="N130" s="128"/>
      <c r="O130" s="128"/>
      <c r="P130" s="62"/>
      <c r="Q130" s="128"/>
      <c r="R130" s="128"/>
      <c r="S130" s="128"/>
      <c r="T130" s="63"/>
    </row>
    <row r="131" spans="2:20" ht="5.0999999999999996" customHeight="1" thickBot="1" x14ac:dyDescent="0.3">
      <c r="B131" s="64"/>
      <c r="C131" s="221"/>
      <c r="D131" s="221"/>
      <c r="E131" s="221"/>
      <c r="F131" s="130"/>
      <c r="G131" s="221"/>
      <c r="H131" s="221"/>
      <c r="I131" s="221"/>
      <c r="J131" s="66"/>
      <c r="L131" s="64"/>
      <c r="M131" s="221"/>
      <c r="N131" s="221"/>
      <c r="O131" s="221"/>
      <c r="P131" s="130"/>
      <c r="Q131" s="221"/>
      <c r="R131" s="221"/>
      <c r="S131" s="221"/>
      <c r="T131" s="66"/>
    </row>
    <row r="132" spans="2:20" ht="31.5" customHeight="1" thickTop="1" x14ac:dyDescent="0.25">
      <c r="B132" s="57"/>
      <c r="C132" s="58"/>
      <c r="D132" s="217" t="s">
        <v>697</v>
      </c>
      <c r="E132" s="217"/>
      <c r="F132" s="217"/>
      <c r="G132" s="217"/>
      <c r="H132" s="217"/>
      <c r="I132" s="217"/>
      <c r="J132" s="225"/>
      <c r="L132" s="57"/>
      <c r="M132" s="58"/>
      <c r="N132" s="217" t="s">
        <v>697</v>
      </c>
      <c r="O132" s="217"/>
      <c r="P132" s="217"/>
      <c r="Q132" s="217"/>
      <c r="R132" s="217"/>
      <c r="S132" s="217"/>
      <c r="T132" s="225"/>
    </row>
    <row r="133" spans="2:20" ht="6.75" customHeight="1" x14ac:dyDescent="0.25">
      <c r="B133" s="59"/>
      <c r="J133" s="60"/>
      <c r="L133" s="59"/>
      <c r="T133" s="60"/>
    </row>
    <row r="134" spans="2:20" ht="18" customHeight="1" x14ac:dyDescent="0.25">
      <c r="B134" s="61"/>
      <c r="C134" s="214" t="s">
        <v>698</v>
      </c>
      <c r="D134" s="215"/>
      <c r="E134" s="216"/>
      <c r="F134" s="62"/>
      <c r="G134" s="214" t="s">
        <v>55</v>
      </c>
      <c r="H134" s="215"/>
      <c r="I134" s="216"/>
      <c r="J134" s="63"/>
      <c r="L134" s="61"/>
      <c r="M134" s="214" t="s">
        <v>698</v>
      </c>
      <c r="N134" s="215"/>
      <c r="O134" s="216"/>
      <c r="P134" s="62"/>
      <c r="Q134" s="214" t="s">
        <v>61</v>
      </c>
      <c r="R134" s="215"/>
      <c r="S134" s="216"/>
      <c r="T134" s="63"/>
    </row>
    <row r="135" spans="2:20" ht="6.95" customHeight="1" x14ac:dyDescent="0.25">
      <c r="B135" s="59"/>
      <c r="C135" s="62"/>
      <c r="D135" s="62"/>
      <c r="E135" s="62"/>
      <c r="F135" s="62"/>
      <c r="G135" s="62"/>
      <c r="H135" s="62"/>
      <c r="I135" s="62"/>
      <c r="J135" s="60"/>
      <c r="L135" s="59"/>
      <c r="M135" s="62"/>
      <c r="N135" s="62"/>
      <c r="O135" s="62"/>
      <c r="P135" s="62"/>
      <c r="Q135" s="62"/>
      <c r="R135" s="62"/>
      <c r="S135" s="62"/>
      <c r="T135" s="60"/>
    </row>
    <row r="136" spans="2:20" ht="18" customHeight="1" x14ac:dyDescent="0.25">
      <c r="B136" s="61"/>
      <c r="C136" s="214" t="s">
        <v>699</v>
      </c>
      <c r="D136" s="215"/>
      <c r="E136" s="216"/>
      <c r="F136" s="62"/>
      <c r="G136" s="214" t="s">
        <v>1638</v>
      </c>
      <c r="H136" s="215"/>
      <c r="I136" s="216"/>
      <c r="J136" s="63"/>
      <c r="L136" s="61"/>
      <c r="M136" s="214" t="s">
        <v>699</v>
      </c>
      <c r="N136" s="215"/>
      <c r="O136" s="216"/>
      <c r="P136" s="62"/>
      <c r="Q136" s="214" t="s">
        <v>1638</v>
      </c>
      <c r="R136" s="215"/>
      <c r="S136" s="216"/>
      <c r="T136" s="63"/>
    </row>
    <row r="137" spans="2:20" ht="6.95" customHeight="1" x14ac:dyDescent="0.25">
      <c r="B137" s="59"/>
      <c r="C137" s="62"/>
      <c r="D137" s="62"/>
      <c r="E137" s="62"/>
      <c r="F137" s="62"/>
      <c r="G137" s="62"/>
      <c r="H137" s="62"/>
      <c r="I137" s="62"/>
      <c r="J137" s="60"/>
      <c r="L137" s="59"/>
      <c r="M137" s="62"/>
      <c r="N137" s="62"/>
      <c r="O137" s="62"/>
      <c r="P137" s="62"/>
      <c r="Q137" s="62"/>
      <c r="R137" s="62"/>
      <c r="S137" s="62"/>
      <c r="T137" s="60"/>
    </row>
    <row r="138" spans="2:20" ht="18" customHeight="1" x14ac:dyDescent="0.25">
      <c r="B138" s="61"/>
      <c r="C138" s="214" t="s">
        <v>701</v>
      </c>
      <c r="D138" s="215"/>
      <c r="E138" s="216"/>
      <c r="F138" s="62"/>
      <c r="G138" s="214" t="s">
        <v>737</v>
      </c>
      <c r="H138" s="215"/>
      <c r="I138" s="216"/>
      <c r="J138" s="63"/>
      <c r="L138" s="61"/>
      <c r="M138" s="214" t="s">
        <v>701</v>
      </c>
      <c r="N138" s="215"/>
      <c r="O138" s="216"/>
      <c r="P138" s="62"/>
      <c r="Q138" s="214" t="s">
        <v>737</v>
      </c>
      <c r="R138" s="215"/>
      <c r="S138" s="216"/>
      <c r="T138" s="63"/>
    </row>
    <row r="139" spans="2:20" ht="6.95" customHeight="1" x14ac:dyDescent="0.25">
      <c r="B139" s="59"/>
      <c r="C139" s="62"/>
      <c r="D139" s="62"/>
      <c r="E139" s="62"/>
      <c r="F139" s="62"/>
      <c r="G139" s="62"/>
      <c r="H139" s="62"/>
      <c r="I139" s="62"/>
      <c r="J139" s="60"/>
      <c r="L139" s="59"/>
      <c r="M139" s="62"/>
      <c r="N139" s="62"/>
      <c r="O139" s="62"/>
      <c r="P139" s="62"/>
      <c r="Q139" s="62"/>
      <c r="R139" s="62"/>
      <c r="S139" s="62"/>
      <c r="T139" s="60"/>
    </row>
    <row r="140" spans="2:20" ht="18" customHeight="1" x14ac:dyDescent="0.25">
      <c r="B140" s="61"/>
      <c r="C140" s="214" t="s">
        <v>703</v>
      </c>
      <c r="D140" s="215"/>
      <c r="E140" s="216"/>
      <c r="F140" s="62"/>
      <c r="G140" s="214" t="s">
        <v>738</v>
      </c>
      <c r="H140" s="215"/>
      <c r="I140" s="216"/>
      <c r="J140" s="63"/>
      <c r="L140" s="61"/>
      <c r="M140" s="214" t="s">
        <v>703</v>
      </c>
      <c r="N140" s="215"/>
      <c r="O140" s="216"/>
      <c r="P140" s="62"/>
      <c r="Q140" s="214" t="s">
        <v>738</v>
      </c>
      <c r="R140" s="215"/>
      <c r="S140" s="216"/>
      <c r="T140" s="63"/>
    </row>
    <row r="141" spans="2:20" ht="6.95" customHeight="1" x14ac:dyDescent="0.25">
      <c r="B141" s="59"/>
      <c r="C141" s="62"/>
      <c r="D141" s="62"/>
      <c r="E141" s="62"/>
      <c r="F141" s="62"/>
      <c r="G141" s="62"/>
      <c r="H141" s="62"/>
      <c r="I141" s="62"/>
      <c r="J141" s="60"/>
      <c r="L141" s="59"/>
      <c r="M141" s="62"/>
      <c r="N141" s="62"/>
      <c r="O141" s="62"/>
      <c r="P141" s="62"/>
      <c r="Q141" s="62"/>
      <c r="R141" s="62"/>
      <c r="S141" s="62"/>
      <c r="T141" s="60"/>
    </row>
    <row r="142" spans="2:20" ht="18" customHeight="1" x14ac:dyDescent="0.25">
      <c r="B142" s="61"/>
      <c r="C142" s="214" t="s">
        <v>705</v>
      </c>
      <c r="D142" s="215"/>
      <c r="E142" s="216"/>
      <c r="F142" s="62"/>
      <c r="G142" s="214" t="s">
        <v>718</v>
      </c>
      <c r="H142" s="215"/>
      <c r="I142" s="216"/>
      <c r="J142" s="63"/>
      <c r="L142" s="61"/>
      <c r="M142" s="214" t="s">
        <v>705</v>
      </c>
      <c r="N142" s="215"/>
      <c r="O142" s="216"/>
      <c r="P142" s="62"/>
      <c r="Q142" s="214" t="s">
        <v>721</v>
      </c>
      <c r="R142" s="215"/>
      <c r="S142" s="216"/>
      <c r="T142" s="63"/>
    </row>
    <row r="143" spans="2:20" ht="6.95" customHeight="1" x14ac:dyDescent="0.25">
      <c r="B143" s="59"/>
      <c r="C143" s="62"/>
      <c r="D143" s="62"/>
      <c r="E143" s="62"/>
      <c r="F143" s="62"/>
      <c r="G143" s="62"/>
      <c r="H143" s="62"/>
      <c r="I143" s="62"/>
      <c r="J143" s="60"/>
      <c r="L143" s="59"/>
      <c r="M143" s="62"/>
      <c r="N143" s="62"/>
      <c r="O143" s="62"/>
      <c r="P143" s="62"/>
      <c r="Q143" s="62"/>
      <c r="R143" s="62"/>
      <c r="S143" s="62"/>
      <c r="T143" s="60"/>
    </row>
    <row r="144" spans="2:20" ht="18" customHeight="1" x14ac:dyDescent="0.25">
      <c r="B144" s="61"/>
      <c r="C144" s="214" t="s">
        <v>708</v>
      </c>
      <c r="D144" s="215"/>
      <c r="E144" s="216"/>
      <c r="F144" s="62"/>
      <c r="G144" s="214" t="s">
        <v>739</v>
      </c>
      <c r="H144" s="215"/>
      <c r="I144" s="216"/>
      <c r="J144" s="63"/>
      <c r="L144" s="61"/>
      <c r="M144" s="214" t="s">
        <v>708</v>
      </c>
      <c r="N144" s="215"/>
      <c r="O144" s="216"/>
      <c r="P144" s="62"/>
      <c r="Q144" s="214" t="s">
        <v>722</v>
      </c>
      <c r="R144" s="215"/>
      <c r="S144" s="216"/>
      <c r="T144" s="63"/>
    </row>
    <row r="145" spans="2:20" ht="6.95" customHeight="1" x14ac:dyDescent="0.25">
      <c r="B145" s="59"/>
      <c r="C145" s="62"/>
      <c r="D145" s="62"/>
      <c r="E145" s="62"/>
      <c r="F145" s="62"/>
      <c r="G145" s="62"/>
      <c r="H145" s="62"/>
      <c r="I145" s="62"/>
      <c r="J145" s="60"/>
      <c r="L145" s="59"/>
      <c r="M145" s="62"/>
      <c r="N145" s="62"/>
      <c r="O145" s="62"/>
      <c r="P145" s="62"/>
      <c r="Q145" s="62"/>
      <c r="R145" s="62"/>
      <c r="S145" s="62"/>
      <c r="T145" s="60"/>
    </row>
    <row r="146" spans="2:20" ht="18" customHeight="1" x14ac:dyDescent="0.25">
      <c r="B146" s="61"/>
      <c r="C146" s="214" t="s">
        <v>711</v>
      </c>
      <c r="D146" s="215"/>
      <c r="E146" s="216"/>
      <c r="F146" s="62"/>
      <c r="G146" s="214" t="s">
        <v>712</v>
      </c>
      <c r="H146" s="215"/>
      <c r="I146" s="216"/>
      <c r="J146" s="63"/>
      <c r="L146" s="61"/>
      <c r="M146" s="214" t="s">
        <v>711</v>
      </c>
      <c r="N146" s="215"/>
      <c r="O146" s="216"/>
      <c r="P146" s="62"/>
      <c r="Q146" s="214" t="s">
        <v>712</v>
      </c>
      <c r="R146" s="215"/>
      <c r="S146" s="216"/>
      <c r="T146" s="63"/>
    </row>
    <row r="147" spans="2:20" ht="6.6" customHeight="1" x14ac:dyDescent="0.25">
      <c r="B147" s="59"/>
      <c r="C147" s="62"/>
      <c r="D147" s="62"/>
      <c r="E147" s="62"/>
      <c r="F147" s="62"/>
      <c r="G147" s="62"/>
      <c r="H147" s="62"/>
      <c r="I147" s="62"/>
      <c r="J147" s="60"/>
      <c r="L147" s="59"/>
      <c r="M147" s="62"/>
      <c r="N147" s="62"/>
      <c r="O147" s="62"/>
      <c r="P147" s="62"/>
      <c r="Q147" s="62"/>
      <c r="R147" s="62"/>
      <c r="S147" s="62"/>
      <c r="T147" s="60"/>
    </row>
    <row r="148" spans="2:20" ht="18" customHeight="1" x14ac:dyDescent="0.25">
      <c r="B148" s="61"/>
      <c r="C148" s="214" t="s">
        <v>1273</v>
      </c>
      <c r="D148" s="215"/>
      <c r="E148" s="216"/>
      <c r="F148" s="62"/>
      <c r="G148" s="214" t="s">
        <v>1304</v>
      </c>
      <c r="H148" s="215"/>
      <c r="I148" s="216"/>
      <c r="J148" s="63"/>
      <c r="L148" s="61"/>
      <c r="M148" s="214" t="s">
        <v>1273</v>
      </c>
      <c r="N148" s="215"/>
      <c r="O148" s="216"/>
      <c r="P148" s="62"/>
      <c r="Q148" s="214" t="s">
        <v>1305</v>
      </c>
      <c r="R148" s="215"/>
      <c r="S148" s="216"/>
      <c r="T148" s="63"/>
    </row>
    <row r="149" spans="2:20" ht="6.95" customHeight="1" x14ac:dyDescent="0.25">
      <c r="B149" s="59"/>
      <c r="C149" s="62"/>
      <c r="D149" s="62"/>
      <c r="E149" s="62"/>
      <c r="F149" s="62"/>
      <c r="G149" s="62"/>
      <c r="H149" s="62"/>
      <c r="I149" s="62"/>
      <c r="J149" s="60"/>
      <c r="L149" s="59"/>
      <c r="M149" s="62"/>
      <c r="N149" s="62"/>
      <c r="O149" s="62"/>
      <c r="P149" s="62"/>
      <c r="Q149" s="62"/>
      <c r="R149" s="62"/>
      <c r="S149" s="62"/>
      <c r="T149" s="60"/>
    </row>
    <row r="150" spans="2:20" ht="18" customHeight="1" x14ac:dyDescent="0.25">
      <c r="B150" s="59"/>
      <c r="C150" s="214" t="s">
        <v>713</v>
      </c>
      <c r="D150" s="215"/>
      <c r="E150" s="216"/>
      <c r="F150" s="62"/>
      <c r="G150" s="220" t="s">
        <v>1293</v>
      </c>
      <c r="H150" s="220"/>
      <c r="I150" s="220"/>
      <c r="J150" s="63"/>
      <c r="L150" s="59"/>
      <c r="M150" s="214" t="s">
        <v>713</v>
      </c>
      <c r="N150" s="215"/>
      <c r="O150" s="216"/>
      <c r="P150" s="62"/>
      <c r="Q150" s="220" t="s">
        <v>1293</v>
      </c>
      <c r="R150" s="220"/>
      <c r="S150" s="220"/>
      <c r="T150" s="63"/>
    </row>
    <row r="151" spans="2:20" ht="6.6" customHeight="1" x14ac:dyDescent="0.25">
      <c r="B151" s="59"/>
      <c r="C151" s="128"/>
      <c r="D151" s="128"/>
      <c r="E151" s="128"/>
      <c r="F151" s="62"/>
      <c r="G151" s="128"/>
      <c r="H151" s="128"/>
      <c r="I151" s="128"/>
      <c r="J151" s="63"/>
      <c r="L151" s="59"/>
      <c r="M151" s="128"/>
      <c r="N151" s="128"/>
      <c r="O151" s="128"/>
      <c r="P151" s="62"/>
      <c r="Q151" s="128"/>
      <c r="R151" s="128"/>
      <c r="S151" s="128"/>
      <c r="T151" s="63"/>
    </row>
    <row r="152" spans="2:20" ht="18" customHeight="1" x14ac:dyDescent="0.25">
      <c r="B152" s="59"/>
      <c r="C152" s="220" t="s">
        <v>715</v>
      </c>
      <c r="D152" s="220"/>
      <c r="E152" s="220"/>
      <c r="F152" s="62"/>
      <c r="G152" s="220" t="s">
        <v>1288</v>
      </c>
      <c r="H152" s="220"/>
      <c r="I152" s="220"/>
      <c r="J152" s="63"/>
      <c r="L152" s="59"/>
      <c r="M152" s="220" t="s">
        <v>715</v>
      </c>
      <c r="N152" s="220"/>
      <c r="O152" s="220"/>
      <c r="P152" s="62"/>
      <c r="Q152" s="220" t="s">
        <v>1288</v>
      </c>
      <c r="R152" s="220"/>
      <c r="S152" s="220"/>
      <c r="T152" s="63"/>
    </row>
    <row r="153" spans="2:20" ht="6.6" customHeight="1" thickBot="1" x14ac:dyDescent="0.3">
      <c r="B153" s="64"/>
      <c r="C153" s="221"/>
      <c r="D153" s="221"/>
      <c r="E153" s="221"/>
      <c r="F153" s="130"/>
      <c r="G153" s="221"/>
      <c r="H153" s="221"/>
      <c r="I153" s="221"/>
      <c r="J153" s="66"/>
      <c r="L153" s="64"/>
      <c r="M153" s="221"/>
      <c r="N153" s="221"/>
      <c r="O153" s="221"/>
      <c r="P153" s="130"/>
      <c r="Q153" s="221"/>
      <c r="R153" s="221"/>
      <c r="S153" s="221"/>
      <c r="T153" s="66"/>
    </row>
    <row r="154" spans="2:20" ht="32.1" customHeight="1" thickTop="1" x14ac:dyDescent="0.25">
      <c r="B154" s="57"/>
      <c r="C154" s="58"/>
      <c r="D154" s="217" t="s">
        <v>697</v>
      </c>
      <c r="E154" s="218"/>
      <c r="F154" s="218"/>
      <c r="G154" s="218"/>
      <c r="H154" s="218"/>
      <c r="I154" s="218"/>
      <c r="J154" s="219"/>
      <c r="L154" s="57"/>
      <c r="M154" s="58"/>
      <c r="N154" s="217" t="s">
        <v>697</v>
      </c>
      <c r="O154" s="218"/>
      <c r="P154" s="218"/>
      <c r="Q154" s="218"/>
      <c r="R154" s="218"/>
      <c r="S154" s="218"/>
      <c r="T154" s="219"/>
    </row>
    <row r="155" spans="2:20" ht="6.95" customHeight="1" x14ac:dyDescent="0.25">
      <c r="B155" s="59"/>
      <c r="J155" s="60"/>
      <c r="L155" s="59"/>
      <c r="T155" s="60"/>
    </row>
    <row r="156" spans="2:20" ht="18" customHeight="1" x14ac:dyDescent="0.25">
      <c r="B156" s="61"/>
      <c r="C156" s="214" t="s">
        <v>698</v>
      </c>
      <c r="D156" s="215"/>
      <c r="E156" s="216"/>
      <c r="F156" s="62"/>
      <c r="G156" s="214" t="s">
        <v>127</v>
      </c>
      <c r="H156" s="215"/>
      <c r="I156" s="216"/>
      <c r="J156" s="63"/>
      <c r="L156" s="61"/>
      <c r="M156" s="214" t="s">
        <v>698</v>
      </c>
      <c r="N156" s="215"/>
      <c r="O156" s="216"/>
      <c r="P156" s="62"/>
      <c r="Q156" s="214" t="s">
        <v>222</v>
      </c>
      <c r="R156" s="215"/>
      <c r="S156" s="216"/>
      <c r="T156" s="63"/>
    </row>
    <row r="157" spans="2:20" ht="6.95" customHeight="1" x14ac:dyDescent="0.25">
      <c r="B157" s="59"/>
      <c r="C157" s="62"/>
      <c r="D157" s="62"/>
      <c r="E157" s="62"/>
      <c r="F157" s="62"/>
      <c r="G157" s="62"/>
      <c r="H157" s="62"/>
      <c r="I157" s="62"/>
      <c r="J157" s="60"/>
      <c r="L157" s="59"/>
      <c r="M157" s="62"/>
      <c r="N157" s="62"/>
      <c r="O157" s="62"/>
      <c r="P157" s="62"/>
      <c r="Q157" s="62"/>
      <c r="R157" s="62"/>
      <c r="S157" s="62"/>
      <c r="T157" s="60"/>
    </row>
    <row r="158" spans="2:20" ht="18" customHeight="1" x14ac:dyDescent="0.25">
      <c r="B158" s="61"/>
      <c r="C158" s="214" t="s">
        <v>699</v>
      </c>
      <c r="D158" s="215"/>
      <c r="E158" s="216"/>
      <c r="F158" s="62"/>
      <c r="G158" s="214" t="s">
        <v>1638</v>
      </c>
      <c r="H158" s="215"/>
      <c r="I158" s="216"/>
      <c r="J158" s="63"/>
      <c r="L158" s="61"/>
      <c r="M158" s="214" t="s">
        <v>699</v>
      </c>
      <c r="N158" s="215"/>
      <c r="O158" s="216"/>
      <c r="P158" s="62"/>
      <c r="Q158" s="214" t="s">
        <v>1638</v>
      </c>
      <c r="R158" s="215"/>
      <c r="S158" s="216"/>
      <c r="T158" s="63"/>
    </row>
    <row r="159" spans="2:20" ht="6.95" customHeight="1" x14ac:dyDescent="0.25">
      <c r="B159" s="59"/>
      <c r="C159" s="62"/>
      <c r="D159" s="62"/>
      <c r="E159" s="62"/>
      <c r="F159" s="62"/>
      <c r="G159" s="62"/>
      <c r="H159" s="62"/>
      <c r="I159" s="62"/>
      <c r="J159" s="60"/>
      <c r="L159" s="59"/>
      <c r="M159" s="62"/>
      <c r="N159" s="62"/>
      <c r="O159" s="62"/>
      <c r="P159" s="62"/>
      <c r="Q159" s="62"/>
      <c r="R159" s="62"/>
      <c r="S159" s="62"/>
      <c r="T159" s="60"/>
    </row>
    <row r="160" spans="2:20" ht="18" customHeight="1" x14ac:dyDescent="0.25">
      <c r="B160" s="59"/>
      <c r="C160" s="214" t="s">
        <v>701</v>
      </c>
      <c r="D160" s="215"/>
      <c r="E160" s="216"/>
      <c r="F160" s="62"/>
      <c r="G160" s="214" t="s">
        <v>740</v>
      </c>
      <c r="H160" s="215"/>
      <c r="I160" s="216"/>
      <c r="J160" s="63"/>
      <c r="L160" s="61"/>
      <c r="M160" s="214" t="s">
        <v>701</v>
      </c>
      <c r="N160" s="215"/>
      <c r="O160" s="216"/>
      <c r="P160" s="62"/>
      <c r="Q160" s="214" t="s">
        <v>1306</v>
      </c>
      <c r="R160" s="215"/>
      <c r="S160" s="216"/>
      <c r="T160" s="60"/>
    </row>
    <row r="161" spans="2:20" ht="6.95" customHeight="1" x14ac:dyDescent="0.25">
      <c r="B161" s="59"/>
      <c r="C161" s="62"/>
      <c r="D161" s="62"/>
      <c r="E161" s="62"/>
      <c r="F161" s="62"/>
      <c r="G161" s="62"/>
      <c r="H161" s="62"/>
      <c r="I161" s="62"/>
      <c r="J161" s="60"/>
      <c r="L161" s="59"/>
      <c r="M161" s="62"/>
      <c r="N161" s="62"/>
      <c r="O161" s="62"/>
      <c r="P161" s="62"/>
      <c r="Q161" s="62"/>
      <c r="R161" s="62"/>
      <c r="S161" s="62"/>
      <c r="T161" s="60"/>
    </row>
    <row r="162" spans="2:20" ht="18" customHeight="1" x14ac:dyDescent="0.25">
      <c r="B162" s="61"/>
      <c r="C162" s="214" t="s">
        <v>703</v>
      </c>
      <c r="D162" s="215"/>
      <c r="E162" s="216"/>
      <c r="F162" s="62"/>
      <c r="G162" s="214" t="s">
        <v>109</v>
      </c>
      <c r="H162" s="215"/>
      <c r="I162" s="216"/>
      <c r="J162" s="63"/>
      <c r="L162" s="61"/>
      <c r="M162" s="214" t="s">
        <v>703</v>
      </c>
      <c r="N162" s="215"/>
      <c r="O162" s="216"/>
      <c r="P162" s="62"/>
      <c r="Q162" s="214" t="s">
        <v>756</v>
      </c>
      <c r="R162" s="215"/>
      <c r="S162" s="216"/>
      <c r="T162" s="63"/>
    </row>
    <row r="163" spans="2:20" ht="6.95" customHeight="1" x14ac:dyDescent="0.25">
      <c r="B163" s="59"/>
      <c r="C163" s="62"/>
      <c r="D163" s="62"/>
      <c r="E163" s="62"/>
      <c r="F163" s="62"/>
      <c r="G163" s="62"/>
      <c r="H163" s="62"/>
      <c r="I163" s="62"/>
      <c r="J163" s="60"/>
      <c r="L163" s="59"/>
      <c r="M163" s="62"/>
      <c r="N163" s="62"/>
      <c r="O163" s="62"/>
      <c r="P163" s="62"/>
      <c r="Q163" s="62"/>
      <c r="R163" s="62"/>
      <c r="S163" s="62"/>
      <c r="T163" s="60"/>
    </row>
    <row r="164" spans="2:20" ht="18" customHeight="1" x14ac:dyDescent="0.25">
      <c r="B164" s="61"/>
      <c r="C164" s="214" t="s">
        <v>705</v>
      </c>
      <c r="D164" s="215"/>
      <c r="E164" s="216"/>
      <c r="F164" s="62"/>
      <c r="G164" s="214" t="s">
        <v>721</v>
      </c>
      <c r="H164" s="215"/>
      <c r="I164" s="216"/>
      <c r="J164" s="63"/>
      <c r="L164" s="61"/>
      <c r="M164" s="214" t="s">
        <v>705</v>
      </c>
      <c r="N164" s="215"/>
      <c r="O164" s="216"/>
      <c r="P164" s="62"/>
      <c r="Q164" s="214" t="s">
        <v>1307</v>
      </c>
      <c r="R164" s="215"/>
      <c r="S164" s="216"/>
      <c r="T164" s="63"/>
    </row>
    <row r="165" spans="2:20" ht="6.95" customHeight="1" x14ac:dyDescent="0.25">
      <c r="B165" s="59"/>
      <c r="C165" s="62"/>
      <c r="D165" s="62"/>
      <c r="E165" s="62"/>
      <c r="F165" s="62"/>
      <c r="G165" s="62"/>
      <c r="H165" s="62"/>
      <c r="I165" s="62"/>
      <c r="J165" s="60"/>
      <c r="L165" s="59"/>
      <c r="M165" s="62"/>
      <c r="N165" s="62"/>
      <c r="O165" s="62"/>
      <c r="P165" s="62"/>
      <c r="Q165" s="62"/>
      <c r="R165" s="62"/>
      <c r="S165" s="62"/>
      <c r="T165" s="60"/>
    </row>
    <row r="166" spans="2:20" ht="18" customHeight="1" x14ac:dyDescent="0.25">
      <c r="B166" s="61"/>
      <c r="C166" s="214" t="s">
        <v>708</v>
      </c>
      <c r="D166" s="215"/>
      <c r="E166" s="216"/>
      <c r="F166" s="62"/>
      <c r="G166" s="214" t="s">
        <v>722</v>
      </c>
      <c r="H166" s="215"/>
      <c r="I166" s="216"/>
      <c r="J166" s="63"/>
      <c r="L166" s="61"/>
      <c r="M166" s="214" t="s">
        <v>708</v>
      </c>
      <c r="N166" s="215"/>
      <c r="O166" s="216"/>
      <c r="P166" s="62"/>
      <c r="Q166" s="214" t="s">
        <v>739</v>
      </c>
      <c r="R166" s="215"/>
      <c r="S166" s="216"/>
      <c r="T166" s="63"/>
    </row>
    <row r="167" spans="2:20" ht="6.95" customHeight="1" x14ac:dyDescent="0.25">
      <c r="B167" s="59"/>
      <c r="C167" s="62"/>
      <c r="D167" s="62"/>
      <c r="E167" s="62"/>
      <c r="F167" s="62"/>
      <c r="G167" s="62"/>
      <c r="H167" s="62"/>
      <c r="I167" s="62"/>
      <c r="J167" s="60"/>
      <c r="L167" s="59"/>
      <c r="M167" s="62"/>
      <c r="N167" s="62"/>
      <c r="O167" s="62"/>
      <c r="P167" s="62"/>
      <c r="Q167" s="62"/>
      <c r="R167" s="62"/>
      <c r="S167" s="62"/>
      <c r="T167" s="60"/>
    </row>
    <row r="168" spans="2:20" ht="18" customHeight="1" x14ac:dyDescent="0.25">
      <c r="B168" s="61"/>
      <c r="C168" s="214" t="s">
        <v>711</v>
      </c>
      <c r="D168" s="215"/>
      <c r="E168" s="216"/>
      <c r="F168" s="62"/>
      <c r="G168" s="214" t="s">
        <v>712</v>
      </c>
      <c r="H168" s="215"/>
      <c r="I168" s="216"/>
      <c r="J168" s="63"/>
      <c r="L168" s="61"/>
      <c r="M168" s="214" t="s">
        <v>711</v>
      </c>
      <c r="N168" s="215"/>
      <c r="O168" s="216"/>
      <c r="P168" s="62"/>
      <c r="Q168" s="214" t="s">
        <v>712</v>
      </c>
      <c r="R168" s="215"/>
      <c r="S168" s="216"/>
      <c r="T168" s="63"/>
    </row>
    <row r="169" spans="2:20" ht="6.6" customHeight="1" x14ac:dyDescent="0.25">
      <c r="B169" s="59"/>
      <c r="C169" s="62"/>
      <c r="D169" s="62"/>
      <c r="E169" s="62"/>
      <c r="F169" s="62"/>
      <c r="G169" s="62"/>
      <c r="H169" s="62"/>
      <c r="I169" s="62"/>
      <c r="J169" s="60"/>
      <c r="L169" s="59"/>
      <c r="M169" s="62"/>
      <c r="N169" s="62"/>
      <c r="O169" s="62"/>
      <c r="P169" s="62"/>
      <c r="Q169" s="62"/>
      <c r="R169" s="62"/>
      <c r="S169" s="62"/>
      <c r="T169" s="60"/>
    </row>
    <row r="170" spans="2:20" ht="18" customHeight="1" x14ac:dyDescent="0.25">
      <c r="B170" s="61"/>
      <c r="C170" s="214" t="s">
        <v>1273</v>
      </c>
      <c r="D170" s="215"/>
      <c r="E170" s="216"/>
      <c r="F170" s="62"/>
      <c r="G170" s="214" t="s">
        <v>1308</v>
      </c>
      <c r="H170" s="215"/>
      <c r="I170" s="216"/>
      <c r="J170" s="63"/>
      <c r="L170" s="61"/>
      <c r="M170" s="214" t="s">
        <v>1273</v>
      </c>
      <c r="N170" s="215"/>
      <c r="O170" s="216"/>
      <c r="P170" s="62"/>
      <c r="Q170" s="214" t="s">
        <v>1309</v>
      </c>
      <c r="R170" s="215"/>
      <c r="S170" s="216"/>
      <c r="T170" s="63"/>
    </row>
    <row r="171" spans="2:20" ht="6.95" customHeight="1" x14ac:dyDescent="0.25">
      <c r="B171" s="59"/>
      <c r="C171" s="62"/>
      <c r="D171" s="62"/>
      <c r="E171" s="62"/>
      <c r="F171" s="62"/>
      <c r="G171" s="62"/>
      <c r="H171" s="62"/>
      <c r="I171" s="62"/>
      <c r="J171" s="60"/>
      <c r="L171" s="59"/>
      <c r="M171" s="62"/>
      <c r="N171" s="62"/>
      <c r="O171" s="62"/>
      <c r="P171" s="62"/>
      <c r="Q171" s="62"/>
      <c r="R171" s="62"/>
      <c r="S171" s="62"/>
      <c r="T171" s="60"/>
    </row>
    <row r="172" spans="2:20" ht="18" customHeight="1" x14ac:dyDescent="0.25">
      <c r="B172" s="59"/>
      <c r="C172" s="214" t="s">
        <v>713</v>
      </c>
      <c r="D172" s="215"/>
      <c r="E172" s="216"/>
      <c r="F172" s="62"/>
      <c r="G172" s="220" t="s">
        <v>1293</v>
      </c>
      <c r="H172" s="220"/>
      <c r="I172" s="220"/>
      <c r="J172" s="63"/>
      <c r="L172" s="59"/>
      <c r="M172" s="214" t="s">
        <v>713</v>
      </c>
      <c r="N172" s="215"/>
      <c r="O172" s="216"/>
      <c r="P172" s="62"/>
      <c r="Q172" s="220" t="s">
        <v>1293</v>
      </c>
      <c r="R172" s="220"/>
      <c r="S172" s="220"/>
      <c r="T172" s="63"/>
    </row>
    <row r="173" spans="2:20" ht="6.6" customHeight="1" x14ac:dyDescent="0.25">
      <c r="B173" s="59"/>
      <c r="C173" s="128"/>
      <c r="D173" s="128"/>
      <c r="E173" s="128"/>
      <c r="F173" s="62"/>
      <c r="G173" s="128"/>
      <c r="H173" s="128"/>
      <c r="I173" s="128"/>
      <c r="J173" s="63"/>
      <c r="L173" s="59"/>
      <c r="M173" s="128"/>
      <c r="N173" s="128"/>
      <c r="O173" s="128"/>
      <c r="P173" s="62"/>
      <c r="Q173" s="128"/>
      <c r="R173" s="128"/>
      <c r="S173" s="128"/>
      <c r="T173" s="63"/>
    </row>
    <row r="174" spans="2:20" ht="18" customHeight="1" x14ac:dyDescent="0.25">
      <c r="B174" s="59"/>
      <c r="C174" s="220" t="s">
        <v>715</v>
      </c>
      <c r="D174" s="220"/>
      <c r="E174" s="220"/>
      <c r="F174" s="62"/>
      <c r="G174" s="220" t="s">
        <v>1288</v>
      </c>
      <c r="H174" s="220"/>
      <c r="I174" s="220"/>
      <c r="J174" s="63"/>
      <c r="L174" s="59"/>
      <c r="M174" s="220" t="s">
        <v>715</v>
      </c>
      <c r="N174" s="220"/>
      <c r="O174" s="220"/>
      <c r="P174" s="62"/>
      <c r="Q174" s="220" t="s">
        <v>1288</v>
      </c>
      <c r="R174" s="220"/>
      <c r="S174" s="220"/>
      <c r="T174" s="63"/>
    </row>
    <row r="175" spans="2:20" ht="5.0999999999999996" customHeight="1" thickBot="1" x14ac:dyDescent="0.3">
      <c r="B175" s="64"/>
      <c r="C175" s="221"/>
      <c r="D175" s="221"/>
      <c r="E175" s="221"/>
      <c r="F175" s="130"/>
      <c r="G175" s="221"/>
      <c r="H175" s="221"/>
      <c r="I175" s="221"/>
      <c r="J175" s="66"/>
      <c r="L175" s="64"/>
      <c r="M175" s="221"/>
      <c r="N175" s="221"/>
      <c r="O175" s="221"/>
      <c r="P175" s="130"/>
      <c r="Q175" s="221"/>
      <c r="R175" s="221"/>
      <c r="S175" s="221"/>
      <c r="T175" s="66"/>
    </row>
    <row r="176" spans="2:20" ht="32.1" customHeight="1" thickTop="1" x14ac:dyDescent="0.25">
      <c r="B176" s="57"/>
      <c r="C176" s="58"/>
      <c r="D176" s="217" t="s">
        <v>697</v>
      </c>
      <c r="E176" s="218"/>
      <c r="F176" s="218"/>
      <c r="G176" s="218"/>
      <c r="H176" s="218"/>
      <c r="I176" s="218"/>
      <c r="J176" s="219"/>
      <c r="L176" s="57"/>
      <c r="M176" s="58"/>
      <c r="N176" s="217" t="s">
        <v>697</v>
      </c>
      <c r="O176" s="218"/>
      <c r="P176" s="218"/>
      <c r="Q176" s="218"/>
      <c r="R176" s="218"/>
      <c r="S176" s="218"/>
      <c r="T176" s="219"/>
    </row>
    <row r="177" spans="2:20" ht="6.95" customHeight="1" x14ac:dyDescent="0.25">
      <c r="B177" s="59"/>
      <c r="J177" s="60"/>
      <c r="L177" s="59"/>
      <c r="T177" s="60"/>
    </row>
    <row r="178" spans="2:20" ht="18" customHeight="1" x14ac:dyDescent="0.25">
      <c r="B178" s="61"/>
      <c r="C178" s="214" t="s">
        <v>698</v>
      </c>
      <c r="D178" s="215"/>
      <c r="E178" s="216"/>
      <c r="F178" s="62"/>
      <c r="G178" s="214" t="s">
        <v>72</v>
      </c>
      <c r="H178" s="215"/>
      <c r="I178" s="216"/>
      <c r="J178" s="63"/>
      <c r="L178" s="61"/>
      <c r="M178" s="214" t="s">
        <v>698</v>
      </c>
      <c r="N178" s="215"/>
      <c r="O178" s="216"/>
      <c r="P178" s="62"/>
      <c r="Q178" s="214" t="s">
        <v>74</v>
      </c>
      <c r="R178" s="215"/>
      <c r="S178" s="216"/>
      <c r="T178" s="63"/>
    </row>
    <row r="179" spans="2:20" ht="6.95" customHeight="1" x14ac:dyDescent="0.25">
      <c r="B179" s="59"/>
      <c r="C179" s="62"/>
      <c r="D179" s="62"/>
      <c r="E179" s="62"/>
      <c r="F179" s="62"/>
      <c r="G179" s="62"/>
      <c r="H179" s="62"/>
      <c r="I179" s="62"/>
      <c r="J179" s="60"/>
      <c r="L179" s="59"/>
      <c r="M179" s="62"/>
      <c r="N179" s="62"/>
      <c r="O179" s="62"/>
      <c r="P179" s="62"/>
      <c r="Q179" s="62"/>
      <c r="R179" s="62"/>
      <c r="S179" s="62"/>
      <c r="T179" s="60"/>
    </row>
    <row r="180" spans="2:20" ht="18" customHeight="1" x14ac:dyDescent="0.25">
      <c r="B180" s="61"/>
      <c r="C180" s="214" t="s">
        <v>699</v>
      </c>
      <c r="D180" s="215"/>
      <c r="E180" s="216"/>
      <c r="F180" s="62"/>
      <c r="G180" s="214" t="s">
        <v>1638</v>
      </c>
      <c r="H180" s="215"/>
      <c r="I180" s="216"/>
      <c r="J180" s="63"/>
      <c r="L180" s="61"/>
      <c r="M180" s="214" t="s">
        <v>699</v>
      </c>
      <c r="N180" s="215"/>
      <c r="O180" s="216"/>
      <c r="P180" s="62"/>
      <c r="Q180" s="214" t="s">
        <v>1638</v>
      </c>
      <c r="R180" s="215"/>
      <c r="S180" s="216"/>
      <c r="T180" s="63"/>
    </row>
    <row r="181" spans="2:20" ht="6.95" customHeight="1" x14ac:dyDescent="0.25">
      <c r="B181" s="59"/>
      <c r="C181" s="62"/>
      <c r="D181" s="62"/>
      <c r="E181" s="62"/>
      <c r="F181" s="62"/>
      <c r="G181" s="62"/>
      <c r="H181" s="62"/>
      <c r="I181" s="62"/>
      <c r="J181" s="60"/>
      <c r="L181" s="59"/>
      <c r="M181" s="62"/>
      <c r="N181" s="62"/>
      <c r="O181" s="62"/>
      <c r="P181" s="62"/>
      <c r="Q181" s="62"/>
      <c r="R181" s="62"/>
      <c r="S181" s="62"/>
      <c r="T181" s="60"/>
    </row>
    <row r="182" spans="2:20" ht="18" customHeight="1" x14ac:dyDescent="0.25">
      <c r="B182" s="61"/>
      <c r="C182" s="214" t="s">
        <v>701</v>
      </c>
      <c r="D182" s="215"/>
      <c r="E182" s="216"/>
      <c r="F182" s="62"/>
      <c r="G182" s="214" t="s">
        <v>723</v>
      </c>
      <c r="H182" s="215"/>
      <c r="I182" s="216"/>
      <c r="J182" s="63"/>
      <c r="L182" s="61"/>
      <c r="M182" s="214" t="s">
        <v>701</v>
      </c>
      <c r="N182" s="215"/>
      <c r="O182" s="216"/>
      <c r="P182" s="62"/>
      <c r="Q182" s="214" t="s">
        <v>737</v>
      </c>
      <c r="R182" s="215"/>
      <c r="S182" s="216"/>
      <c r="T182" s="63"/>
    </row>
    <row r="183" spans="2:20" ht="6.95" customHeight="1" x14ac:dyDescent="0.25">
      <c r="B183" s="59"/>
      <c r="C183" s="62"/>
      <c r="D183" s="62"/>
      <c r="E183" s="62"/>
      <c r="F183" s="62"/>
      <c r="G183" s="62"/>
      <c r="H183" s="62"/>
      <c r="I183" s="62"/>
      <c r="J183" s="60"/>
      <c r="L183" s="59"/>
      <c r="M183" s="62"/>
      <c r="N183" s="62"/>
      <c r="O183" s="62"/>
      <c r="P183" s="62"/>
      <c r="Q183" s="62"/>
      <c r="R183" s="62"/>
      <c r="S183" s="62"/>
      <c r="T183" s="60"/>
    </row>
    <row r="184" spans="2:20" ht="18" customHeight="1" x14ac:dyDescent="0.25">
      <c r="B184" s="61"/>
      <c r="C184" s="214" t="s">
        <v>703</v>
      </c>
      <c r="D184" s="215"/>
      <c r="E184" s="216"/>
      <c r="F184" s="62"/>
      <c r="G184" s="214" t="s">
        <v>741</v>
      </c>
      <c r="H184" s="215"/>
      <c r="I184" s="216"/>
      <c r="J184" s="63"/>
      <c r="L184" s="61"/>
      <c r="M184" s="214" t="s">
        <v>703</v>
      </c>
      <c r="N184" s="215"/>
      <c r="O184" s="216"/>
      <c r="P184" s="62"/>
      <c r="Q184" s="214" t="s">
        <v>741</v>
      </c>
      <c r="R184" s="215"/>
      <c r="S184" s="216"/>
      <c r="T184" s="63"/>
    </row>
    <row r="185" spans="2:20" ht="6.95" customHeight="1" x14ac:dyDescent="0.25">
      <c r="B185" s="59"/>
      <c r="C185" s="62"/>
      <c r="D185" s="62"/>
      <c r="E185" s="62"/>
      <c r="F185" s="62"/>
      <c r="G185" s="62"/>
      <c r="H185" s="62"/>
      <c r="I185" s="62"/>
      <c r="J185" s="60"/>
      <c r="L185" s="59"/>
      <c r="M185" s="62"/>
      <c r="N185" s="62"/>
      <c r="O185" s="62"/>
      <c r="P185" s="62"/>
      <c r="Q185" s="62"/>
      <c r="R185" s="62"/>
      <c r="S185" s="62"/>
      <c r="T185" s="60"/>
    </row>
    <row r="186" spans="2:20" ht="18" customHeight="1" x14ac:dyDescent="0.25">
      <c r="B186" s="61"/>
      <c r="C186" s="214" t="s">
        <v>705</v>
      </c>
      <c r="D186" s="215"/>
      <c r="E186" s="216"/>
      <c r="F186" s="62"/>
      <c r="G186" s="214" t="s">
        <v>721</v>
      </c>
      <c r="H186" s="215"/>
      <c r="I186" s="216"/>
      <c r="J186" s="63"/>
      <c r="L186" s="61"/>
      <c r="M186" s="214" t="s">
        <v>705</v>
      </c>
      <c r="N186" s="215"/>
      <c r="O186" s="216"/>
      <c r="P186" s="62"/>
      <c r="Q186" s="214" t="s">
        <v>707</v>
      </c>
      <c r="R186" s="215"/>
      <c r="S186" s="216"/>
      <c r="T186" s="63"/>
    </row>
    <row r="187" spans="2:20" ht="6.95" customHeight="1" x14ac:dyDescent="0.25">
      <c r="B187" s="59"/>
      <c r="C187" s="62"/>
      <c r="D187" s="62"/>
      <c r="E187" s="62"/>
      <c r="F187" s="62"/>
      <c r="G187" s="62"/>
      <c r="H187" s="62"/>
      <c r="I187" s="62"/>
      <c r="J187" s="60"/>
      <c r="L187" s="59"/>
      <c r="M187" s="62"/>
      <c r="N187" s="62"/>
      <c r="O187" s="62"/>
      <c r="P187" s="62"/>
      <c r="Q187" s="62"/>
      <c r="R187" s="62"/>
      <c r="S187" s="62"/>
      <c r="T187" s="60"/>
    </row>
    <row r="188" spans="2:20" ht="18" customHeight="1" x14ac:dyDescent="0.25">
      <c r="B188" s="61"/>
      <c r="C188" s="214" t="s">
        <v>708</v>
      </c>
      <c r="D188" s="215"/>
      <c r="E188" s="216"/>
      <c r="F188" s="62"/>
      <c r="G188" s="214" t="s">
        <v>722</v>
      </c>
      <c r="H188" s="215"/>
      <c r="I188" s="216"/>
      <c r="J188" s="63"/>
      <c r="L188" s="61"/>
      <c r="M188" s="214" t="s">
        <v>708</v>
      </c>
      <c r="N188" s="215"/>
      <c r="O188" s="216"/>
      <c r="P188" s="62"/>
      <c r="Q188" s="214" t="s">
        <v>710</v>
      </c>
      <c r="R188" s="215"/>
      <c r="S188" s="216"/>
      <c r="T188" s="63"/>
    </row>
    <row r="189" spans="2:20" ht="6.95" customHeight="1" x14ac:dyDescent="0.25">
      <c r="B189" s="59"/>
      <c r="C189" s="62"/>
      <c r="D189" s="62"/>
      <c r="E189" s="62"/>
      <c r="F189" s="62"/>
      <c r="G189" s="62"/>
      <c r="H189" s="62"/>
      <c r="I189" s="62"/>
      <c r="J189" s="60"/>
      <c r="L189" s="59"/>
      <c r="M189" s="62"/>
      <c r="N189" s="62"/>
      <c r="O189" s="62"/>
      <c r="P189" s="62"/>
      <c r="Q189" s="62"/>
      <c r="R189" s="62"/>
      <c r="S189" s="62"/>
      <c r="T189" s="60"/>
    </row>
    <row r="190" spans="2:20" ht="18" customHeight="1" x14ac:dyDescent="0.25">
      <c r="B190" s="61"/>
      <c r="C190" s="214" t="s">
        <v>711</v>
      </c>
      <c r="D190" s="215"/>
      <c r="E190" s="216"/>
      <c r="F190" s="62"/>
      <c r="G190" s="214" t="s">
        <v>712</v>
      </c>
      <c r="H190" s="215"/>
      <c r="I190" s="216"/>
      <c r="J190" s="63"/>
      <c r="L190" s="61"/>
      <c r="M190" s="214" t="s">
        <v>711</v>
      </c>
      <c r="N190" s="215"/>
      <c r="O190" s="216"/>
      <c r="P190" s="62"/>
      <c r="Q190" s="214" t="s">
        <v>712</v>
      </c>
      <c r="R190" s="215"/>
      <c r="S190" s="216"/>
      <c r="T190" s="63"/>
    </row>
    <row r="191" spans="2:20" ht="6.6" customHeight="1" x14ac:dyDescent="0.25">
      <c r="B191" s="59"/>
      <c r="C191" s="62"/>
      <c r="D191" s="62"/>
      <c r="E191" s="62"/>
      <c r="F191" s="62"/>
      <c r="G191" s="62"/>
      <c r="H191" s="62"/>
      <c r="I191" s="62"/>
      <c r="J191" s="60"/>
      <c r="L191" s="59"/>
      <c r="M191" s="62"/>
      <c r="N191" s="62"/>
      <c r="O191" s="62"/>
      <c r="P191" s="62"/>
      <c r="Q191" s="62"/>
      <c r="R191" s="62"/>
      <c r="S191" s="62"/>
      <c r="T191" s="60"/>
    </row>
    <row r="192" spans="2:20" ht="18" customHeight="1" x14ac:dyDescent="0.25">
      <c r="B192" s="61"/>
      <c r="C192" s="214" t="s">
        <v>1273</v>
      </c>
      <c r="D192" s="215"/>
      <c r="E192" s="216"/>
      <c r="F192" s="62"/>
      <c r="G192" s="214" t="s">
        <v>1310</v>
      </c>
      <c r="H192" s="215"/>
      <c r="I192" s="216"/>
      <c r="J192" s="63"/>
      <c r="L192" s="61"/>
      <c r="M192" s="214" t="s">
        <v>1273</v>
      </c>
      <c r="N192" s="215"/>
      <c r="O192" s="216"/>
      <c r="P192" s="62"/>
      <c r="Q192" s="214" t="s">
        <v>1311</v>
      </c>
      <c r="R192" s="215"/>
      <c r="S192" s="216"/>
      <c r="T192" s="63"/>
    </row>
    <row r="193" spans="2:20" ht="6.95" customHeight="1" x14ac:dyDescent="0.25">
      <c r="B193" s="59"/>
      <c r="C193" s="62"/>
      <c r="D193" s="62"/>
      <c r="E193" s="62"/>
      <c r="F193" s="62"/>
      <c r="G193" s="62"/>
      <c r="H193" s="62"/>
      <c r="I193" s="62"/>
      <c r="J193" s="60"/>
      <c r="L193" s="59"/>
      <c r="M193" s="62"/>
      <c r="N193" s="62"/>
      <c r="O193" s="62"/>
      <c r="P193" s="62"/>
      <c r="Q193" s="62"/>
      <c r="R193" s="62"/>
      <c r="S193" s="62"/>
      <c r="T193" s="60"/>
    </row>
    <row r="194" spans="2:20" ht="18" customHeight="1" x14ac:dyDescent="0.25">
      <c r="B194" s="59"/>
      <c r="C194" s="214" t="s">
        <v>713</v>
      </c>
      <c r="D194" s="215"/>
      <c r="E194" s="216"/>
      <c r="F194" s="62"/>
      <c r="G194" s="220" t="s">
        <v>1293</v>
      </c>
      <c r="H194" s="220"/>
      <c r="I194" s="220"/>
      <c r="J194" s="63"/>
      <c r="L194" s="59"/>
      <c r="M194" s="214" t="s">
        <v>713</v>
      </c>
      <c r="N194" s="215"/>
      <c r="O194" s="216"/>
      <c r="P194" s="62"/>
      <c r="Q194" s="220" t="s">
        <v>1293</v>
      </c>
      <c r="R194" s="220"/>
      <c r="S194" s="220"/>
      <c r="T194" s="63"/>
    </row>
    <row r="195" spans="2:20" ht="6.6" customHeight="1" x14ac:dyDescent="0.25">
      <c r="B195" s="59"/>
      <c r="C195" s="128"/>
      <c r="D195" s="128"/>
      <c r="E195" s="128"/>
      <c r="F195" s="62"/>
      <c r="G195" s="128"/>
      <c r="H195" s="128"/>
      <c r="I195" s="128"/>
      <c r="J195" s="63"/>
      <c r="L195" s="59"/>
      <c r="M195" s="128"/>
      <c r="N195" s="128"/>
      <c r="O195" s="128"/>
      <c r="P195" s="62"/>
      <c r="Q195" s="128"/>
      <c r="R195" s="128"/>
      <c r="S195" s="128"/>
      <c r="T195" s="63"/>
    </row>
    <row r="196" spans="2:20" ht="18" customHeight="1" x14ac:dyDescent="0.25">
      <c r="B196" s="59"/>
      <c r="C196" s="220" t="s">
        <v>715</v>
      </c>
      <c r="D196" s="220"/>
      <c r="E196" s="220"/>
      <c r="F196" s="62"/>
      <c r="G196" s="220" t="s">
        <v>1288</v>
      </c>
      <c r="H196" s="220"/>
      <c r="I196" s="220"/>
      <c r="J196" s="63"/>
      <c r="L196" s="59"/>
      <c r="M196" s="220" t="s">
        <v>715</v>
      </c>
      <c r="N196" s="220"/>
      <c r="O196" s="220"/>
      <c r="P196" s="62"/>
      <c r="Q196" s="220" t="s">
        <v>1288</v>
      </c>
      <c r="R196" s="220"/>
      <c r="S196" s="220"/>
      <c r="T196" s="63"/>
    </row>
    <row r="197" spans="2:20" ht="6.6" customHeight="1" thickBot="1" x14ac:dyDescent="0.3">
      <c r="B197" s="64"/>
      <c r="C197" s="221"/>
      <c r="D197" s="221"/>
      <c r="E197" s="221"/>
      <c r="F197" s="130"/>
      <c r="G197" s="221"/>
      <c r="H197" s="221"/>
      <c r="I197" s="221"/>
      <c r="J197" s="66"/>
      <c r="L197" s="64"/>
      <c r="M197" s="221"/>
      <c r="N197" s="221"/>
      <c r="O197" s="221"/>
      <c r="P197" s="130"/>
      <c r="Q197" s="221"/>
      <c r="R197" s="221"/>
      <c r="S197" s="221"/>
      <c r="T197" s="66"/>
    </row>
    <row r="198" spans="2:20" ht="32.1" customHeight="1" thickTop="1" x14ac:dyDescent="0.25">
      <c r="B198" s="57"/>
      <c r="C198" s="58"/>
      <c r="D198" s="217" t="s">
        <v>697</v>
      </c>
      <c r="E198" s="217"/>
      <c r="F198" s="217"/>
      <c r="G198" s="217"/>
      <c r="H198" s="217"/>
      <c r="I198" s="217"/>
      <c r="J198" s="225"/>
      <c r="L198" s="57"/>
      <c r="M198" s="58"/>
      <c r="N198" s="217" t="s">
        <v>697</v>
      </c>
      <c r="O198" s="218"/>
      <c r="P198" s="218"/>
      <c r="Q198" s="218"/>
      <c r="R198" s="218"/>
      <c r="S198" s="218"/>
      <c r="T198" s="219"/>
    </row>
    <row r="199" spans="2:20" ht="6.95" customHeight="1" x14ac:dyDescent="0.25">
      <c r="B199" s="59"/>
      <c r="J199" s="60"/>
      <c r="L199" s="59"/>
      <c r="T199" s="60"/>
    </row>
    <row r="200" spans="2:20" ht="18" customHeight="1" x14ac:dyDescent="0.25">
      <c r="B200" s="61"/>
      <c r="C200" s="214" t="s">
        <v>698</v>
      </c>
      <c r="D200" s="215"/>
      <c r="E200" s="216"/>
      <c r="F200" s="62"/>
      <c r="G200" s="214" t="s">
        <v>77</v>
      </c>
      <c r="H200" s="215"/>
      <c r="I200" s="216"/>
      <c r="J200" s="63"/>
      <c r="L200" s="61"/>
      <c r="M200" s="214" t="s">
        <v>698</v>
      </c>
      <c r="N200" s="215"/>
      <c r="O200" s="216"/>
      <c r="P200" s="62"/>
      <c r="Q200" s="214" t="s">
        <v>80</v>
      </c>
      <c r="R200" s="215"/>
      <c r="S200" s="216"/>
      <c r="T200" s="63"/>
    </row>
    <row r="201" spans="2:20" ht="6.95" customHeight="1" x14ac:dyDescent="0.25">
      <c r="B201" s="59"/>
      <c r="C201" s="62"/>
      <c r="D201" s="62"/>
      <c r="E201" s="62"/>
      <c r="F201" s="62"/>
      <c r="G201" s="62"/>
      <c r="H201" s="62"/>
      <c r="I201" s="62"/>
      <c r="J201" s="60"/>
      <c r="L201" s="59"/>
      <c r="M201" s="62"/>
      <c r="N201" s="62"/>
      <c r="O201" s="62"/>
      <c r="P201" s="62"/>
      <c r="Q201" s="62"/>
      <c r="R201" s="62"/>
      <c r="S201" s="62"/>
      <c r="T201" s="60"/>
    </row>
    <row r="202" spans="2:20" ht="18" customHeight="1" x14ac:dyDescent="0.25">
      <c r="B202" s="61"/>
      <c r="C202" s="214" t="s">
        <v>699</v>
      </c>
      <c r="D202" s="215"/>
      <c r="E202" s="216"/>
      <c r="F202" s="62"/>
      <c r="G202" s="214" t="s">
        <v>1638</v>
      </c>
      <c r="H202" s="215"/>
      <c r="I202" s="216"/>
      <c r="J202" s="63"/>
      <c r="L202" s="61"/>
      <c r="M202" s="214" t="s">
        <v>699</v>
      </c>
      <c r="N202" s="215"/>
      <c r="O202" s="216"/>
      <c r="P202" s="62"/>
      <c r="Q202" s="214" t="s">
        <v>1638</v>
      </c>
      <c r="R202" s="215"/>
      <c r="S202" s="216"/>
      <c r="T202" s="63"/>
    </row>
    <row r="203" spans="2:20" ht="6.95" customHeight="1" x14ac:dyDescent="0.25">
      <c r="B203" s="59"/>
      <c r="C203" s="62"/>
      <c r="D203" s="62"/>
      <c r="E203" s="62"/>
      <c r="F203" s="62"/>
      <c r="G203" s="62"/>
      <c r="H203" s="62"/>
      <c r="I203" s="62"/>
      <c r="J203" s="60"/>
      <c r="L203" s="59"/>
      <c r="M203" s="62"/>
      <c r="N203" s="62"/>
      <c r="O203" s="62"/>
      <c r="P203" s="62"/>
      <c r="Q203" s="62"/>
      <c r="R203" s="62"/>
      <c r="S203" s="62"/>
      <c r="T203" s="60"/>
    </row>
    <row r="204" spans="2:20" ht="18" customHeight="1" x14ac:dyDescent="0.25">
      <c r="B204" s="61"/>
      <c r="C204" s="214" t="s">
        <v>701</v>
      </c>
      <c r="D204" s="215"/>
      <c r="E204" s="216"/>
      <c r="F204" s="62"/>
      <c r="G204" s="214" t="s">
        <v>737</v>
      </c>
      <c r="H204" s="215"/>
      <c r="I204" s="216"/>
      <c r="J204" s="63"/>
      <c r="L204" s="61"/>
      <c r="M204" s="214" t="s">
        <v>701</v>
      </c>
      <c r="N204" s="215"/>
      <c r="O204" s="216"/>
      <c r="P204" s="62"/>
      <c r="Q204" s="214" t="s">
        <v>737</v>
      </c>
      <c r="R204" s="215"/>
      <c r="S204" s="216"/>
      <c r="T204" s="63"/>
    </row>
    <row r="205" spans="2:20" ht="6.95" customHeight="1" x14ac:dyDescent="0.25">
      <c r="B205" s="59"/>
      <c r="C205" s="62"/>
      <c r="D205" s="62"/>
      <c r="E205" s="62"/>
      <c r="F205" s="62"/>
      <c r="G205" s="62"/>
      <c r="H205" s="62"/>
      <c r="I205" s="62"/>
      <c r="J205" s="60"/>
      <c r="L205" s="59"/>
      <c r="M205" s="62"/>
      <c r="N205" s="62"/>
      <c r="O205" s="62"/>
      <c r="P205" s="62"/>
      <c r="Q205" s="62"/>
      <c r="R205" s="62"/>
      <c r="S205" s="62"/>
      <c r="T205" s="60"/>
    </row>
    <row r="206" spans="2:20" ht="18" customHeight="1" x14ac:dyDescent="0.25">
      <c r="B206" s="61"/>
      <c r="C206" s="214" t="s">
        <v>703</v>
      </c>
      <c r="D206" s="215"/>
      <c r="E206" s="216"/>
      <c r="F206" s="62"/>
      <c r="G206" s="214" t="s">
        <v>742</v>
      </c>
      <c r="H206" s="215"/>
      <c r="I206" s="216"/>
      <c r="J206" s="63"/>
      <c r="L206" s="61"/>
      <c r="M206" s="214" t="s">
        <v>703</v>
      </c>
      <c r="N206" s="215"/>
      <c r="O206" s="216"/>
      <c r="P206" s="62"/>
      <c r="Q206" s="214" t="s">
        <v>742</v>
      </c>
      <c r="R206" s="215"/>
      <c r="S206" s="216"/>
      <c r="T206" s="63"/>
    </row>
    <row r="207" spans="2:20" ht="6.95" customHeight="1" x14ac:dyDescent="0.25">
      <c r="B207" s="59"/>
      <c r="C207" s="62"/>
      <c r="D207" s="62"/>
      <c r="E207" s="62"/>
      <c r="F207" s="62"/>
      <c r="G207" s="62"/>
      <c r="H207" s="62"/>
      <c r="I207" s="62"/>
      <c r="J207" s="60"/>
      <c r="L207" s="59"/>
      <c r="M207" s="62"/>
      <c r="N207" s="62"/>
      <c r="O207" s="62"/>
      <c r="P207" s="62"/>
      <c r="Q207" s="62"/>
      <c r="R207" s="62"/>
      <c r="S207" s="62"/>
      <c r="T207" s="60"/>
    </row>
    <row r="208" spans="2:20" ht="18" customHeight="1" x14ac:dyDescent="0.25">
      <c r="B208" s="61"/>
      <c r="C208" s="214" t="s">
        <v>705</v>
      </c>
      <c r="D208" s="215"/>
      <c r="E208" s="216"/>
      <c r="F208" s="62"/>
      <c r="G208" s="214" t="s">
        <v>731</v>
      </c>
      <c r="H208" s="215"/>
      <c r="I208" s="216"/>
      <c r="J208" s="63"/>
      <c r="L208" s="61"/>
      <c r="M208" s="214" t="s">
        <v>705</v>
      </c>
      <c r="N208" s="215"/>
      <c r="O208" s="216"/>
      <c r="P208" s="62"/>
      <c r="Q208" s="214" t="s">
        <v>743</v>
      </c>
      <c r="R208" s="215"/>
      <c r="S208" s="216"/>
      <c r="T208" s="63"/>
    </row>
    <row r="209" spans="2:20" ht="6.95" customHeight="1" x14ac:dyDescent="0.25">
      <c r="B209" s="59"/>
      <c r="C209" s="62"/>
      <c r="D209" s="62"/>
      <c r="E209" s="62"/>
      <c r="F209" s="62"/>
      <c r="G209" s="62"/>
      <c r="H209" s="62"/>
      <c r="I209" s="62"/>
      <c r="J209" s="60"/>
      <c r="L209" s="59"/>
      <c r="M209" s="62"/>
      <c r="N209" s="62"/>
      <c r="O209" s="62"/>
      <c r="P209" s="62"/>
      <c r="Q209" s="62"/>
      <c r="R209" s="62"/>
      <c r="S209" s="62"/>
      <c r="T209" s="60"/>
    </row>
    <row r="210" spans="2:20" ht="18" customHeight="1" x14ac:dyDescent="0.25">
      <c r="B210" s="61"/>
      <c r="C210" s="214" t="s">
        <v>708</v>
      </c>
      <c r="D210" s="215"/>
      <c r="E210" s="216"/>
      <c r="F210" s="62"/>
      <c r="G210" s="214" t="s">
        <v>732</v>
      </c>
      <c r="H210" s="215"/>
      <c r="I210" s="216"/>
      <c r="J210" s="63"/>
      <c r="L210" s="61"/>
      <c r="M210" s="214" t="s">
        <v>708</v>
      </c>
      <c r="N210" s="215"/>
      <c r="O210" s="216"/>
      <c r="P210" s="62"/>
      <c r="Q210" s="214" t="s">
        <v>744</v>
      </c>
      <c r="R210" s="215"/>
      <c r="S210" s="216"/>
      <c r="T210" s="63"/>
    </row>
    <row r="211" spans="2:20" ht="6.95" customHeight="1" x14ac:dyDescent="0.25">
      <c r="B211" s="59"/>
      <c r="C211" s="62"/>
      <c r="D211" s="62"/>
      <c r="E211" s="62"/>
      <c r="F211" s="62"/>
      <c r="G211" s="62"/>
      <c r="H211" s="62"/>
      <c r="I211" s="62"/>
      <c r="J211" s="60"/>
      <c r="L211" s="59"/>
      <c r="M211" s="62"/>
      <c r="N211" s="62"/>
      <c r="O211" s="62"/>
      <c r="P211" s="62"/>
      <c r="Q211" s="62"/>
      <c r="R211" s="62"/>
      <c r="S211" s="62"/>
      <c r="T211" s="60"/>
    </row>
    <row r="212" spans="2:20" ht="18" customHeight="1" x14ac:dyDescent="0.25">
      <c r="B212" s="61"/>
      <c r="C212" s="214" t="s">
        <v>711</v>
      </c>
      <c r="D212" s="215"/>
      <c r="E212" s="216"/>
      <c r="F212" s="62"/>
      <c r="G212" s="214" t="s">
        <v>712</v>
      </c>
      <c r="H212" s="215"/>
      <c r="I212" s="216"/>
      <c r="J212" s="63"/>
      <c r="L212" s="61"/>
      <c r="M212" s="214" t="s">
        <v>711</v>
      </c>
      <c r="N212" s="215"/>
      <c r="O212" s="216"/>
      <c r="P212" s="62"/>
      <c r="Q212" s="214" t="s">
        <v>712</v>
      </c>
      <c r="R212" s="215"/>
      <c r="S212" s="216"/>
      <c r="T212" s="63"/>
    </row>
    <row r="213" spans="2:20" ht="6.6" customHeight="1" x14ac:dyDescent="0.25">
      <c r="B213" s="59"/>
      <c r="C213" s="62"/>
      <c r="D213" s="62"/>
      <c r="E213" s="62"/>
      <c r="F213" s="62"/>
      <c r="G213" s="62"/>
      <c r="H213" s="62"/>
      <c r="I213" s="62"/>
      <c r="J213" s="60"/>
      <c r="L213" s="59"/>
      <c r="M213" s="62"/>
      <c r="N213" s="62"/>
      <c r="O213" s="62"/>
      <c r="P213" s="62"/>
      <c r="Q213" s="62"/>
      <c r="R213" s="62"/>
      <c r="S213" s="62"/>
      <c r="T213" s="60"/>
    </row>
    <row r="214" spans="2:20" ht="18" customHeight="1" x14ac:dyDescent="0.25">
      <c r="B214" s="61"/>
      <c r="C214" s="214" t="s">
        <v>1273</v>
      </c>
      <c r="D214" s="215"/>
      <c r="E214" s="216"/>
      <c r="F214" s="62"/>
      <c r="G214" s="214" t="s">
        <v>1312</v>
      </c>
      <c r="H214" s="215"/>
      <c r="I214" s="216"/>
      <c r="J214" s="63"/>
      <c r="L214" s="61"/>
      <c r="M214" s="214" t="s">
        <v>1273</v>
      </c>
      <c r="N214" s="215"/>
      <c r="O214" s="216"/>
      <c r="P214" s="62"/>
      <c r="Q214" s="214" t="s">
        <v>1313</v>
      </c>
      <c r="R214" s="215"/>
      <c r="S214" s="216"/>
      <c r="T214" s="63"/>
    </row>
    <row r="215" spans="2:20" ht="6.95" customHeight="1" x14ac:dyDescent="0.25">
      <c r="B215" s="59"/>
      <c r="C215" s="62"/>
      <c r="D215" s="62"/>
      <c r="E215" s="62"/>
      <c r="F215" s="62"/>
      <c r="G215" s="62"/>
      <c r="H215" s="62"/>
      <c r="I215" s="62"/>
      <c r="J215" s="60"/>
      <c r="L215" s="59"/>
      <c r="M215" s="62"/>
      <c r="N215" s="62"/>
      <c r="O215" s="62"/>
      <c r="P215" s="62"/>
      <c r="Q215" s="62"/>
      <c r="R215" s="62"/>
      <c r="S215" s="62"/>
      <c r="T215" s="60"/>
    </row>
    <row r="216" spans="2:20" ht="18" customHeight="1" x14ac:dyDescent="0.25">
      <c r="B216" s="59"/>
      <c r="C216" s="214" t="s">
        <v>713</v>
      </c>
      <c r="D216" s="215"/>
      <c r="E216" s="216"/>
      <c r="F216" s="62"/>
      <c r="G216" s="220" t="s">
        <v>1293</v>
      </c>
      <c r="H216" s="220"/>
      <c r="I216" s="220"/>
      <c r="J216" s="63"/>
      <c r="L216" s="59"/>
      <c r="M216" s="214" t="s">
        <v>713</v>
      </c>
      <c r="N216" s="215"/>
      <c r="O216" s="216"/>
      <c r="P216" s="62"/>
      <c r="Q216" s="220" t="s">
        <v>1293</v>
      </c>
      <c r="R216" s="220"/>
      <c r="S216" s="220"/>
      <c r="T216" s="63"/>
    </row>
    <row r="217" spans="2:20" ht="6.6" customHeight="1" x14ac:dyDescent="0.25">
      <c r="B217" s="59"/>
      <c r="C217" s="128"/>
      <c r="D217" s="128"/>
      <c r="E217" s="128"/>
      <c r="F217" s="62"/>
      <c r="G217" s="128"/>
      <c r="H217" s="128"/>
      <c r="I217" s="128"/>
      <c r="J217" s="63"/>
      <c r="L217" s="59"/>
      <c r="M217" s="128"/>
      <c r="N217" s="128"/>
      <c r="O217" s="128"/>
      <c r="P217" s="62"/>
      <c r="Q217" s="128"/>
      <c r="R217" s="128"/>
      <c r="S217" s="128"/>
      <c r="T217" s="63"/>
    </row>
    <row r="218" spans="2:20" ht="18" customHeight="1" x14ac:dyDescent="0.25">
      <c r="B218" s="59"/>
      <c r="C218" s="220" t="s">
        <v>715</v>
      </c>
      <c r="D218" s="220"/>
      <c r="E218" s="220"/>
      <c r="F218" s="62"/>
      <c r="G218" s="220" t="s">
        <v>1288</v>
      </c>
      <c r="H218" s="220"/>
      <c r="I218" s="220"/>
      <c r="J218" s="63"/>
      <c r="L218" s="59"/>
      <c r="M218" s="220" t="s">
        <v>715</v>
      </c>
      <c r="N218" s="220"/>
      <c r="O218" s="220"/>
      <c r="P218" s="62"/>
      <c r="Q218" s="220" t="s">
        <v>1288</v>
      </c>
      <c r="R218" s="220"/>
      <c r="S218" s="220"/>
      <c r="T218" s="63"/>
    </row>
    <row r="219" spans="2:20" ht="5.0999999999999996" customHeight="1" thickBot="1" x14ac:dyDescent="0.3">
      <c r="B219" s="64"/>
      <c r="C219" s="221"/>
      <c r="D219" s="221"/>
      <c r="E219" s="221"/>
      <c r="F219" s="130"/>
      <c r="G219" s="221"/>
      <c r="H219" s="221"/>
      <c r="I219" s="221"/>
      <c r="J219" s="66"/>
      <c r="L219" s="64"/>
      <c r="M219" s="221"/>
      <c r="N219" s="221"/>
      <c r="O219" s="221"/>
      <c r="P219" s="130"/>
      <c r="Q219" s="221"/>
      <c r="R219" s="221"/>
      <c r="S219" s="221"/>
      <c r="T219" s="66"/>
    </row>
    <row r="220" spans="2:20" ht="30.75" customHeight="1" thickTop="1" x14ac:dyDescent="0.25">
      <c r="B220" s="57"/>
      <c r="C220" s="58"/>
      <c r="D220" s="217" t="s">
        <v>697</v>
      </c>
      <c r="E220" s="218"/>
      <c r="F220" s="218"/>
      <c r="G220" s="218"/>
      <c r="H220" s="218"/>
      <c r="I220" s="218"/>
      <c r="J220" s="219"/>
      <c r="L220" s="57"/>
      <c r="M220" s="58"/>
      <c r="N220" s="217" t="s">
        <v>697</v>
      </c>
      <c r="O220" s="218"/>
      <c r="P220" s="218"/>
      <c r="Q220" s="218"/>
      <c r="R220" s="218"/>
      <c r="S220" s="218"/>
      <c r="T220" s="219"/>
    </row>
    <row r="221" spans="2:20" ht="6.95" customHeight="1" x14ac:dyDescent="0.25">
      <c r="B221" s="59"/>
      <c r="J221" s="60"/>
      <c r="L221" s="59"/>
      <c r="T221" s="60"/>
    </row>
    <row r="222" spans="2:20" ht="18" customHeight="1" x14ac:dyDescent="0.25">
      <c r="B222" s="61"/>
      <c r="C222" s="214" t="s">
        <v>698</v>
      </c>
      <c r="D222" s="215"/>
      <c r="E222" s="216"/>
      <c r="F222" s="62"/>
      <c r="G222" s="214" t="s">
        <v>83</v>
      </c>
      <c r="H222" s="215"/>
      <c r="I222" s="216"/>
      <c r="J222" s="63"/>
      <c r="L222" s="61"/>
      <c r="M222" s="214" t="s">
        <v>698</v>
      </c>
      <c r="N222" s="215"/>
      <c r="O222" s="216"/>
      <c r="P222" s="62"/>
      <c r="Q222" s="214" t="s">
        <v>86</v>
      </c>
      <c r="R222" s="215"/>
      <c r="S222" s="216"/>
      <c r="T222" s="63"/>
    </row>
    <row r="223" spans="2:20" ht="6.95" customHeight="1" x14ac:dyDescent="0.25">
      <c r="B223" s="59"/>
      <c r="C223" s="62"/>
      <c r="D223" s="62"/>
      <c r="E223" s="62"/>
      <c r="F223" s="62"/>
      <c r="G223" s="62"/>
      <c r="H223" s="62"/>
      <c r="I223" s="62"/>
      <c r="J223" s="60"/>
      <c r="L223" s="59"/>
      <c r="M223" s="62"/>
      <c r="N223" s="62"/>
      <c r="O223" s="62"/>
      <c r="P223" s="62"/>
      <c r="Q223" s="62"/>
      <c r="R223" s="62"/>
      <c r="S223" s="62"/>
      <c r="T223" s="60"/>
    </row>
    <row r="224" spans="2:20" ht="18" customHeight="1" x14ac:dyDescent="0.25">
      <c r="B224" s="61"/>
      <c r="C224" s="214" t="s">
        <v>699</v>
      </c>
      <c r="D224" s="215"/>
      <c r="E224" s="216"/>
      <c r="F224" s="62"/>
      <c r="G224" s="214" t="s">
        <v>1638</v>
      </c>
      <c r="H224" s="215"/>
      <c r="I224" s="216"/>
      <c r="J224" s="63"/>
      <c r="L224" s="61"/>
      <c r="M224" s="214" t="s">
        <v>699</v>
      </c>
      <c r="N224" s="215"/>
      <c r="O224" s="216"/>
      <c r="P224" s="62"/>
      <c r="Q224" s="214" t="s">
        <v>1638</v>
      </c>
      <c r="R224" s="215"/>
      <c r="S224" s="216"/>
      <c r="T224" s="63"/>
    </row>
    <row r="225" spans="2:20" ht="6.95" customHeight="1" x14ac:dyDescent="0.25">
      <c r="B225" s="59"/>
      <c r="C225" s="62"/>
      <c r="D225" s="62"/>
      <c r="E225" s="62"/>
      <c r="F225" s="62"/>
      <c r="G225" s="62"/>
      <c r="H225" s="62"/>
      <c r="I225" s="62"/>
      <c r="J225" s="60"/>
      <c r="L225" s="59"/>
      <c r="M225" s="62"/>
      <c r="N225" s="62"/>
      <c r="O225" s="62"/>
      <c r="P225" s="62"/>
      <c r="Q225" s="62"/>
      <c r="R225" s="62"/>
      <c r="S225" s="62"/>
      <c r="T225" s="60"/>
    </row>
    <row r="226" spans="2:20" ht="18" customHeight="1" x14ac:dyDescent="0.25">
      <c r="B226" s="61"/>
      <c r="C226" s="214" t="s">
        <v>701</v>
      </c>
      <c r="D226" s="215"/>
      <c r="E226" s="216"/>
      <c r="F226" s="62"/>
      <c r="G226" s="214" t="s">
        <v>737</v>
      </c>
      <c r="H226" s="215"/>
      <c r="I226" s="216"/>
      <c r="J226" s="63"/>
      <c r="L226" s="61"/>
      <c r="M226" s="214" t="s">
        <v>701</v>
      </c>
      <c r="N226" s="215"/>
      <c r="O226" s="216"/>
      <c r="P226" s="62"/>
      <c r="Q226" s="214" t="s">
        <v>737</v>
      </c>
      <c r="R226" s="215"/>
      <c r="S226" s="216"/>
      <c r="T226" s="63"/>
    </row>
    <row r="227" spans="2:20" ht="6.95" customHeight="1" x14ac:dyDescent="0.25">
      <c r="B227" s="59"/>
      <c r="C227" s="62"/>
      <c r="D227" s="62"/>
      <c r="E227" s="62"/>
      <c r="F227" s="62"/>
      <c r="G227" s="62"/>
      <c r="H227" s="62"/>
      <c r="I227" s="62"/>
      <c r="J227" s="60"/>
      <c r="L227" s="59"/>
      <c r="M227" s="62"/>
      <c r="N227" s="62"/>
      <c r="O227" s="62"/>
      <c r="P227" s="62"/>
      <c r="Q227" s="62"/>
      <c r="R227" s="62"/>
      <c r="S227" s="62"/>
      <c r="T227" s="60"/>
    </row>
    <row r="228" spans="2:20" ht="18" customHeight="1" x14ac:dyDescent="0.25">
      <c r="B228" s="61"/>
      <c r="C228" s="214" t="s">
        <v>703</v>
      </c>
      <c r="D228" s="215"/>
      <c r="E228" s="216"/>
      <c r="F228" s="62"/>
      <c r="G228" s="214" t="s">
        <v>742</v>
      </c>
      <c r="H228" s="215"/>
      <c r="I228" s="216"/>
      <c r="J228" s="63"/>
      <c r="L228" s="61"/>
      <c r="M228" s="214" t="s">
        <v>703</v>
      </c>
      <c r="N228" s="215"/>
      <c r="O228" s="216"/>
      <c r="P228" s="62"/>
      <c r="Q228" s="214" t="s">
        <v>742</v>
      </c>
      <c r="R228" s="215"/>
      <c r="S228" s="216"/>
      <c r="T228" s="63"/>
    </row>
    <row r="229" spans="2:20" ht="6.95" customHeight="1" x14ac:dyDescent="0.25">
      <c r="B229" s="59"/>
      <c r="C229" s="62"/>
      <c r="D229" s="62"/>
      <c r="E229" s="62"/>
      <c r="F229" s="62"/>
      <c r="G229" s="62"/>
      <c r="H229" s="62"/>
      <c r="I229" s="62"/>
      <c r="J229" s="60"/>
      <c r="L229" s="59"/>
      <c r="M229" s="62"/>
      <c r="N229" s="62"/>
      <c r="O229" s="62"/>
      <c r="P229" s="62"/>
      <c r="Q229" s="62"/>
      <c r="R229" s="62"/>
      <c r="S229" s="62"/>
      <c r="T229" s="60"/>
    </row>
    <row r="230" spans="2:20" ht="18" customHeight="1" x14ac:dyDescent="0.25">
      <c r="B230" s="61"/>
      <c r="C230" s="214" t="s">
        <v>705</v>
      </c>
      <c r="D230" s="215"/>
      <c r="E230" s="216"/>
      <c r="F230" s="62"/>
      <c r="G230" s="214" t="s">
        <v>745</v>
      </c>
      <c r="H230" s="215"/>
      <c r="I230" s="216"/>
      <c r="J230" s="63"/>
      <c r="L230" s="61"/>
      <c r="M230" s="214" t="s">
        <v>705</v>
      </c>
      <c r="N230" s="215"/>
      <c r="O230" s="216"/>
      <c r="P230" s="62"/>
      <c r="Q230" s="214" t="s">
        <v>747</v>
      </c>
      <c r="R230" s="215"/>
      <c r="S230" s="216"/>
      <c r="T230" s="63"/>
    </row>
    <row r="231" spans="2:20" ht="6.95" customHeight="1" x14ac:dyDescent="0.25">
      <c r="B231" s="59"/>
      <c r="C231" s="62"/>
      <c r="D231" s="62"/>
      <c r="E231" s="62"/>
      <c r="F231" s="62"/>
      <c r="G231" s="62"/>
      <c r="H231" s="62"/>
      <c r="I231" s="62"/>
      <c r="J231" s="60"/>
      <c r="L231" s="59"/>
      <c r="M231" s="62"/>
      <c r="N231" s="62"/>
      <c r="O231" s="62"/>
      <c r="P231" s="62"/>
      <c r="Q231" s="62"/>
      <c r="R231" s="62"/>
      <c r="S231" s="62"/>
      <c r="T231" s="60"/>
    </row>
    <row r="232" spans="2:20" ht="18" customHeight="1" x14ac:dyDescent="0.25">
      <c r="B232" s="61"/>
      <c r="C232" s="214" t="s">
        <v>708</v>
      </c>
      <c r="D232" s="215"/>
      <c r="E232" s="216"/>
      <c r="F232" s="62"/>
      <c r="G232" s="214" t="s">
        <v>746</v>
      </c>
      <c r="H232" s="215"/>
      <c r="I232" s="216"/>
      <c r="J232" s="63"/>
      <c r="L232" s="61"/>
      <c r="M232" s="214" t="s">
        <v>708</v>
      </c>
      <c r="N232" s="215"/>
      <c r="O232" s="216"/>
      <c r="P232" s="62"/>
      <c r="Q232" s="214" t="s">
        <v>748</v>
      </c>
      <c r="R232" s="215"/>
      <c r="S232" s="216"/>
      <c r="T232" s="63"/>
    </row>
    <row r="233" spans="2:20" ht="6.95" customHeight="1" x14ac:dyDescent="0.25">
      <c r="B233" s="59"/>
      <c r="C233" s="62"/>
      <c r="D233" s="62"/>
      <c r="E233" s="62"/>
      <c r="F233" s="62"/>
      <c r="G233" s="62"/>
      <c r="H233" s="62"/>
      <c r="I233" s="62"/>
      <c r="J233" s="60"/>
      <c r="L233" s="59"/>
      <c r="M233" s="62"/>
      <c r="N233" s="62"/>
      <c r="O233" s="62"/>
      <c r="P233" s="62"/>
      <c r="Q233" s="62"/>
      <c r="R233" s="62"/>
      <c r="S233" s="62"/>
      <c r="T233" s="60"/>
    </row>
    <row r="234" spans="2:20" ht="18" customHeight="1" x14ac:dyDescent="0.25">
      <c r="B234" s="61"/>
      <c r="C234" s="214" t="s">
        <v>711</v>
      </c>
      <c r="D234" s="215"/>
      <c r="E234" s="216"/>
      <c r="F234" s="62"/>
      <c r="G234" s="214" t="s">
        <v>712</v>
      </c>
      <c r="H234" s="215"/>
      <c r="I234" s="216"/>
      <c r="J234" s="63"/>
      <c r="L234" s="61"/>
      <c r="M234" s="214" t="s">
        <v>711</v>
      </c>
      <c r="N234" s="215"/>
      <c r="O234" s="216"/>
      <c r="P234" s="62"/>
      <c r="Q234" s="214" t="s">
        <v>712</v>
      </c>
      <c r="R234" s="215"/>
      <c r="S234" s="216"/>
      <c r="T234" s="63"/>
    </row>
    <row r="235" spans="2:20" ht="6.6" customHeight="1" x14ac:dyDescent="0.25">
      <c r="B235" s="59"/>
      <c r="C235" s="62"/>
      <c r="D235" s="62"/>
      <c r="E235" s="62"/>
      <c r="F235" s="62"/>
      <c r="G235" s="62"/>
      <c r="H235" s="62"/>
      <c r="I235" s="62"/>
      <c r="J235" s="60"/>
      <c r="L235" s="59"/>
      <c r="M235" s="62"/>
      <c r="N235" s="62"/>
      <c r="O235" s="62"/>
      <c r="P235" s="62"/>
      <c r="Q235" s="62"/>
      <c r="R235" s="62"/>
      <c r="S235" s="62"/>
      <c r="T235" s="60"/>
    </row>
    <row r="236" spans="2:20" ht="18" customHeight="1" x14ac:dyDescent="0.25">
      <c r="B236" s="61"/>
      <c r="C236" s="214" t="s">
        <v>1273</v>
      </c>
      <c r="D236" s="215"/>
      <c r="E236" s="216"/>
      <c r="F236" s="62"/>
      <c r="G236" s="214" t="s">
        <v>1314</v>
      </c>
      <c r="H236" s="215"/>
      <c r="I236" s="216"/>
      <c r="J236" s="63"/>
      <c r="L236" s="61"/>
      <c r="M236" s="214" t="s">
        <v>1273</v>
      </c>
      <c r="N236" s="215"/>
      <c r="O236" s="216"/>
      <c r="P236" s="62"/>
      <c r="Q236" s="214" t="s">
        <v>1315</v>
      </c>
      <c r="R236" s="215"/>
      <c r="S236" s="216"/>
      <c r="T236" s="63"/>
    </row>
    <row r="237" spans="2:20" ht="6.95" customHeight="1" x14ac:dyDescent="0.25">
      <c r="B237" s="59"/>
      <c r="C237" s="62"/>
      <c r="D237" s="62"/>
      <c r="E237" s="62"/>
      <c r="F237" s="62"/>
      <c r="G237" s="62"/>
      <c r="H237" s="62"/>
      <c r="I237" s="62"/>
      <c r="J237" s="60"/>
      <c r="L237" s="59"/>
      <c r="M237" s="62"/>
      <c r="N237" s="62"/>
      <c r="O237" s="62"/>
      <c r="P237" s="62"/>
      <c r="Q237" s="62"/>
      <c r="R237" s="62"/>
      <c r="S237" s="62"/>
      <c r="T237" s="60"/>
    </row>
    <row r="238" spans="2:20" ht="18" customHeight="1" x14ac:dyDescent="0.25">
      <c r="B238" s="59"/>
      <c r="C238" s="214" t="s">
        <v>713</v>
      </c>
      <c r="D238" s="215"/>
      <c r="E238" s="216"/>
      <c r="F238" s="62"/>
      <c r="G238" s="220" t="s">
        <v>1293</v>
      </c>
      <c r="H238" s="220"/>
      <c r="I238" s="220"/>
      <c r="J238" s="63"/>
      <c r="L238" s="59"/>
      <c r="M238" s="214" t="s">
        <v>713</v>
      </c>
      <c r="N238" s="215"/>
      <c r="O238" s="216"/>
      <c r="P238" s="62"/>
      <c r="Q238" s="220" t="s">
        <v>1293</v>
      </c>
      <c r="R238" s="220"/>
      <c r="S238" s="220"/>
      <c r="T238" s="63"/>
    </row>
    <row r="239" spans="2:20" ht="6.6" customHeight="1" x14ac:dyDescent="0.25">
      <c r="B239" s="59"/>
      <c r="C239" s="128"/>
      <c r="D239" s="128"/>
      <c r="E239" s="128"/>
      <c r="F239" s="62"/>
      <c r="G239" s="128"/>
      <c r="H239" s="128"/>
      <c r="I239" s="128"/>
      <c r="J239" s="63"/>
      <c r="L239" s="59"/>
      <c r="M239" s="128"/>
      <c r="N239" s="128"/>
      <c r="O239" s="128"/>
      <c r="P239" s="62"/>
      <c r="Q239" s="128"/>
      <c r="R239" s="128"/>
      <c r="S239" s="128"/>
      <c r="T239" s="63"/>
    </row>
    <row r="240" spans="2:20" ht="18" customHeight="1" x14ac:dyDescent="0.25">
      <c r="B240" s="59"/>
      <c r="C240" s="220" t="s">
        <v>715</v>
      </c>
      <c r="D240" s="220"/>
      <c r="E240" s="220"/>
      <c r="F240" s="62"/>
      <c r="G240" s="220" t="s">
        <v>1288</v>
      </c>
      <c r="H240" s="220"/>
      <c r="I240" s="220"/>
      <c r="J240" s="63"/>
      <c r="L240" s="59"/>
      <c r="M240" s="220" t="s">
        <v>715</v>
      </c>
      <c r="N240" s="220"/>
      <c r="O240" s="220"/>
      <c r="P240" s="62"/>
      <c r="Q240" s="220" t="s">
        <v>1288</v>
      </c>
      <c r="R240" s="220"/>
      <c r="S240" s="220"/>
      <c r="T240" s="63"/>
    </row>
    <row r="241" spans="2:20" ht="5.0999999999999996" customHeight="1" thickBot="1" x14ac:dyDescent="0.3">
      <c r="B241" s="64"/>
      <c r="C241" s="221"/>
      <c r="D241" s="221"/>
      <c r="E241" s="221"/>
      <c r="F241" s="130"/>
      <c r="G241" s="221"/>
      <c r="H241" s="221"/>
      <c r="I241" s="221"/>
      <c r="J241" s="66"/>
      <c r="L241" s="64"/>
      <c r="M241" s="221"/>
      <c r="N241" s="221"/>
      <c r="O241" s="221"/>
      <c r="P241" s="130"/>
      <c r="Q241" s="221"/>
      <c r="R241" s="221"/>
      <c r="S241" s="221"/>
      <c r="T241" s="66"/>
    </row>
    <row r="242" spans="2:20" ht="32.1" customHeight="1" thickTop="1" x14ac:dyDescent="0.25">
      <c r="B242" s="57"/>
      <c r="C242" s="58"/>
      <c r="D242" s="217" t="s">
        <v>697</v>
      </c>
      <c r="E242" s="218"/>
      <c r="F242" s="218"/>
      <c r="G242" s="218"/>
      <c r="H242" s="218"/>
      <c r="I242" s="218"/>
      <c r="J242" s="219"/>
      <c r="L242" s="57"/>
      <c r="M242" s="58"/>
      <c r="N242" s="217" t="s">
        <v>697</v>
      </c>
      <c r="O242" s="218"/>
      <c r="P242" s="218"/>
      <c r="Q242" s="218"/>
      <c r="R242" s="218"/>
      <c r="S242" s="218"/>
      <c r="T242" s="219"/>
    </row>
    <row r="243" spans="2:20" ht="6.95" customHeight="1" x14ac:dyDescent="0.25">
      <c r="B243" s="59"/>
      <c r="J243" s="60"/>
      <c r="L243" s="59"/>
      <c r="T243" s="60"/>
    </row>
    <row r="244" spans="2:20" ht="18" customHeight="1" x14ac:dyDescent="0.25">
      <c r="B244" s="61"/>
      <c r="C244" s="214" t="s">
        <v>698</v>
      </c>
      <c r="D244" s="215"/>
      <c r="E244" s="216"/>
      <c r="F244" s="62"/>
      <c r="G244" s="214" t="s">
        <v>89</v>
      </c>
      <c r="H244" s="215"/>
      <c r="I244" s="216"/>
      <c r="J244" s="63"/>
      <c r="L244" s="61"/>
      <c r="M244" s="214" t="s">
        <v>698</v>
      </c>
      <c r="N244" s="215"/>
      <c r="O244" s="216"/>
      <c r="P244" s="62"/>
      <c r="Q244" s="214" t="s">
        <v>92</v>
      </c>
      <c r="R244" s="215"/>
      <c r="S244" s="216"/>
      <c r="T244" s="63"/>
    </row>
    <row r="245" spans="2:20" ht="6.95" customHeight="1" x14ac:dyDescent="0.25">
      <c r="B245" s="59"/>
      <c r="C245" s="62"/>
      <c r="D245" s="62"/>
      <c r="E245" s="62"/>
      <c r="F245" s="62"/>
      <c r="G245" s="62"/>
      <c r="H245" s="62"/>
      <c r="I245" s="62"/>
      <c r="J245" s="60"/>
      <c r="L245" s="59"/>
      <c r="M245" s="62"/>
      <c r="N245" s="62"/>
      <c r="O245" s="62"/>
      <c r="P245" s="62"/>
      <c r="Q245" s="62"/>
      <c r="R245" s="62"/>
      <c r="S245" s="62"/>
      <c r="T245" s="60"/>
    </row>
    <row r="246" spans="2:20" ht="18" customHeight="1" x14ac:dyDescent="0.25">
      <c r="B246" s="61"/>
      <c r="C246" s="214" t="s">
        <v>699</v>
      </c>
      <c r="D246" s="215"/>
      <c r="E246" s="216"/>
      <c r="F246" s="62"/>
      <c r="G246" s="214" t="s">
        <v>1638</v>
      </c>
      <c r="H246" s="215"/>
      <c r="I246" s="216"/>
      <c r="J246" s="63"/>
      <c r="L246" s="61"/>
      <c r="M246" s="214" t="s">
        <v>699</v>
      </c>
      <c r="N246" s="215"/>
      <c r="O246" s="216"/>
      <c r="P246" s="62"/>
      <c r="Q246" s="214" t="s">
        <v>1638</v>
      </c>
      <c r="R246" s="215"/>
      <c r="S246" s="216"/>
      <c r="T246" s="63"/>
    </row>
    <row r="247" spans="2:20" ht="6.95" customHeight="1" x14ac:dyDescent="0.25">
      <c r="B247" s="59"/>
      <c r="C247" s="62"/>
      <c r="D247" s="62"/>
      <c r="E247" s="62"/>
      <c r="F247" s="62"/>
      <c r="G247" s="62"/>
      <c r="H247" s="62"/>
      <c r="I247" s="62"/>
      <c r="J247" s="60"/>
      <c r="L247" s="59"/>
      <c r="M247" s="62"/>
      <c r="N247" s="62"/>
      <c r="O247" s="62"/>
      <c r="P247" s="62"/>
      <c r="Q247" s="62"/>
      <c r="R247" s="62"/>
      <c r="S247" s="62"/>
      <c r="T247" s="60"/>
    </row>
    <row r="248" spans="2:20" ht="18" customHeight="1" x14ac:dyDescent="0.25">
      <c r="B248" s="61"/>
      <c r="C248" s="214" t="s">
        <v>701</v>
      </c>
      <c r="D248" s="215"/>
      <c r="E248" s="216"/>
      <c r="F248" s="62"/>
      <c r="G248" s="214" t="s">
        <v>737</v>
      </c>
      <c r="H248" s="215"/>
      <c r="I248" s="216"/>
      <c r="J248" s="63"/>
      <c r="L248" s="61"/>
      <c r="M248" s="214" t="s">
        <v>701</v>
      </c>
      <c r="N248" s="215"/>
      <c r="O248" s="216"/>
      <c r="P248" s="62"/>
      <c r="Q248" s="214" t="s">
        <v>737</v>
      </c>
      <c r="R248" s="215"/>
      <c r="S248" s="216"/>
      <c r="T248" s="63"/>
    </row>
    <row r="249" spans="2:20" ht="6.95" customHeight="1" x14ac:dyDescent="0.25">
      <c r="B249" s="59"/>
      <c r="C249" s="62"/>
      <c r="D249" s="62"/>
      <c r="E249" s="62"/>
      <c r="F249" s="62"/>
      <c r="G249" s="62"/>
      <c r="H249" s="62"/>
      <c r="I249" s="62"/>
      <c r="J249" s="60"/>
      <c r="L249" s="59"/>
      <c r="M249" s="62"/>
      <c r="N249" s="62"/>
      <c r="O249" s="62"/>
      <c r="P249" s="62"/>
      <c r="Q249" s="62"/>
      <c r="R249" s="62"/>
      <c r="S249" s="62"/>
      <c r="T249" s="60"/>
    </row>
    <row r="250" spans="2:20" ht="18" customHeight="1" x14ac:dyDescent="0.25">
      <c r="B250" s="61"/>
      <c r="C250" s="214" t="s">
        <v>703</v>
      </c>
      <c r="D250" s="215"/>
      <c r="E250" s="216"/>
      <c r="F250" s="62"/>
      <c r="G250" s="214" t="s">
        <v>749</v>
      </c>
      <c r="H250" s="215"/>
      <c r="I250" s="216"/>
      <c r="J250" s="63"/>
      <c r="L250" s="61"/>
      <c r="M250" s="214" t="s">
        <v>703</v>
      </c>
      <c r="N250" s="215"/>
      <c r="O250" s="216"/>
      <c r="P250" s="62"/>
      <c r="Q250" s="214" t="s">
        <v>749</v>
      </c>
      <c r="R250" s="215"/>
      <c r="S250" s="216"/>
      <c r="T250" s="63"/>
    </row>
    <row r="251" spans="2:20" ht="6.95" customHeight="1" x14ac:dyDescent="0.25">
      <c r="B251" s="59"/>
      <c r="C251" s="62"/>
      <c r="D251" s="62"/>
      <c r="E251" s="62"/>
      <c r="F251" s="62"/>
      <c r="G251" s="62"/>
      <c r="H251" s="62"/>
      <c r="I251" s="62"/>
      <c r="J251" s="60"/>
      <c r="L251" s="59"/>
      <c r="M251" s="62"/>
      <c r="N251" s="62"/>
      <c r="O251" s="62"/>
      <c r="P251" s="62"/>
      <c r="Q251" s="62"/>
      <c r="R251" s="62"/>
      <c r="S251" s="62"/>
      <c r="T251" s="60"/>
    </row>
    <row r="252" spans="2:20" ht="18" customHeight="1" x14ac:dyDescent="0.25">
      <c r="B252" s="61"/>
      <c r="C252" s="214" t="s">
        <v>705</v>
      </c>
      <c r="D252" s="215"/>
      <c r="E252" s="216"/>
      <c r="F252" s="62"/>
      <c r="G252" s="214" t="s">
        <v>721</v>
      </c>
      <c r="H252" s="215"/>
      <c r="I252" s="216"/>
      <c r="J252" s="63"/>
      <c r="L252" s="61"/>
      <c r="M252" s="214" t="s">
        <v>705</v>
      </c>
      <c r="N252" s="215"/>
      <c r="O252" s="216"/>
      <c r="P252" s="62"/>
      <c r="Q252" s="214" t="s">
        <v>707</v>
      </c>
      <c r="R252" s="215"/>
      <c r="S252" s="216"/>
      <c r="T252" s="63"/>
    </row>
    <row r="253" spans="2:20" ht="6.95" customHeight="1" x14ac:dyDescent="0.25">
      <c r="B253" s="59"/>
      <c r="C253" s="62"/>
      <c r="D253" s="62"/>
      <c r="E253" s="62"/>
      <c r="F253" s="62"/>
      <c r="G253" s="62"/>
      <c r="H253" s="62"/>
      <c r="I253" s="62"/>
      <c r="J253" s="60"/>
      <c r="L253" s="59"/>
      <c r="M253" s="62"/>
      <c r="N253" s="62"/>
      <c r="O253" s="62"/>
      <c r="P253" s="62"/>
      <c r="Q253" s="62"/>
      <c r="R253" s="62"/>
      <c r="S253" s="62"/>
      <c r="T253" s="60"/>
    </row>
    <row r="254" spans="2:20" ht="18" customHeight="1" x14ac:dyDescent="0.25">
      <c r="B254" s="61"/>
      <c r="C254" s="214" t="s">
        <v>708</v>
      </c>
      <c r="D254" s="215"/>
      <c r="E254" s="216"/>
      <c r="F254" s="62"/>
      <c r="G254" s="214" t="s">
        <v>722</v>
      </c>
      <c r="H254" s="215"/>
      <c r="I254" s="216"/>
      <c r="J254" s="63"/>
      <c r="L254" s="61"/>
      <c r="M254" s="214" t="s">
        <v>708</v>
      </c>
      <c r="N254" s="215"/>
      <c r="O254" s="216"/>
      <c r="P254" s="62"/>
      <c r="Q254" s="214" t="s">
        <v>710</v>
      </c>
      <c r="R254" s="215"/>
      <c r="S254" s="216"/>
      <c r="T254" s="63"/>
    </row>
    <row r="255" spans="2:20" ht="6.95" customHeight="1" x14ac:dyDescent="0.25">
      <c r="B255" s="59"/>
      <c r="C255" s="62"/>
      <c r="D255" s="62"/>
      <c r="E255" s="62"/>
      <c r="F255" s="62"/>
      <c r="G255" s="62"/>
      <c r="H255" s="62"/>
      <c r="I255" s="62"/>
      <c r="J255" s="60"/>
      <c r="L255" s="59"/>
      <c r="M255" s="62"/>
      <c r="N255" s="62"/>
      <c r="O255" s="62"/>
      <c r="P255" s="62"/>
      <c r="Q255" s="62"/>
      <c r="R255" s="62"/>
      <c r="S255" s="62"/>
      <c r="T255" s="60"/>
    </row>
    <row r="256" spans="2:20" ht="18" customHeight="1" x14ac:dyDescent="0.25">
      <c r="B256" s="61"/>
      <c r="C256" s="214" t="s">
        <v>711</v>
      </c>
      <c r="D256" s="215"/>
      <c r="E256" s="216"/>
      <c r="F256" s="62"/>
      <c r="G256" s="214" t="s">
        <v>712</v>
      </c>
      <c r="H256" s="215"/>
      <c r="I256" s="216"/>
      <c r="J256" s="63"/>
      <c r="L256" s="61"/>
      <c r="M256" s="214" t="s">
        <v>711</v>
      </c>
      <c r="N256" s="215"/>
      <c r="O256" s="216"/>
      <c r="P256" s="62"/>
      <c r="Q256" s="214" t="s">
        <v>712</v>
      </c>
      <c r="R256" s="215"/>
      <c r="S256" s="216"/>
      <c r="T256" s="63"/>
    </row>
    <row r="257" spans="2:20" ht="6.6" customHeight="1" x14ac:dyDescent="0.25">
      <c r="B257" s="59"/>
      <c r="C257" s="62"/>
      <c r="D257" s="62"/>
      <c r="E257" s="62"/>
      <c r="F257" s="62"/>
      <c r="G257" s="62"/>
      <c r="H257" s="62"/>
      <c r="I257" s="62"/>
      <c r="J257" s="60"/>
      <c r="L257" s="59"/>
      <c r="M257" s="62"/>
      <c r="N257" s="62"/>
      <c r="O257" s="62"/>
      <c r="P257" s="62"/>
      <c r="Q257" s="62"/>
      <c r="R257" s="62"/>
      <c r="S257" s="62"/>
      <c r="T257" s="60"/>
    </row>
    <row r="258" spans="2:20" ht="18" customHeight="1" x14ac:dyDescent="0.25">
      <c r="B258" s="61"/>
      <c r="C258" s="214" t="s">
        <v>1273</v>
      </c>
      <c r="D258" s="215"/>
      <c r="E258" s="216"/>
      <c r="F258" s="62"/>
      <c r="G258" s="214" t="s">
        <v>1316</v>
      </c>
      <c r="H258" s="215"/>
      <c r="I258" s="216"/>
      <c r="J258" s="63"/>
      <c r="L258" s="61"/>
      <c r="M258" s="214" t="s">
        <v>1273</v>
      </c>
      <c r="N258" s="215"/>
      <c r="O258" s="216"/>
      <c r="P258" s="62"/>
      <c r="Q258" s="214" t="s">
        <v>1317</v>
      </c>
      <c r="R258" s="215"/>
      <c r="S258" s="216"/>
      <c r="T258" s="63"/>
    </row>
    <row r="259" spans="2:20" ht="6.95" customHeight="1" x14ac:dyDescent="0.25">
      <c r="B259" s="59"/>
      <c r="C259" s="62"/>
      <c r="D259" s="62"/>
      <c r="E259" s="62"/>
      <c r="F259" s="62"/>
      <c r="G259" s="62"/>
      <c r="H259" s="62"/>
      <c r="I259" s="62"/>
      <c r="J259" s="60"/>
      <c r="L259" s="59"/>
      <c r="M259" s="62"/>
      <c r="N259" s="62"/>
      <c r="O259" s="62"/>
      <c r="P259" s="62"/>
      <c r="Q259" s="62"/>
      <c r="R259" s="62"/>
      <c r="S259" s="62"/>
      <c r="T259" s="60"/>
    </row>
    <row r="260" spans="2:20" ht="18" customHeight="1" x14ac:dyDescent="0.25">
      <c r="B260" s="61"/>
      <c r="C260" s="214" t="s">
        <v>713</v>
      </c>
      <c r="D260" s="215"/>
      <c r="E260" s="216"/>
      <c r="F260" s="62"/>
      <c r="G260" s="220" t="s">
        <v>1293</v>
      </c>
      <c r="H260" s="220"/>
      <c r="I260" s="220"/>
      <c r="J260" s="63"/>
      <c r="L260" s="61"/>
      <c r="M260" s="214" t="s">
        <v>713</v>
      </c>
      <c r="N260" s="215"/>
      <c r="O260" s="216"/>
      <c r="P260" s="62"/>
      <c r="Q260" s="220" t="s">
        <v>1293</v>
      </c>
      <c r="R260" s="220"/>
      <c r="S260" s="220"/>
      <c r="T260" s="63"/>
    </row>
    <row r="261" spans="2:20" ht="6.6" customHeight="1" x14ac:dyDescent="0.25">
      <c r="B261" s="59"/>
      <c r="C261" s="128"/>
      <c r="D261" s="128"/>
      <c r="E261" s="128"/>
      <c r="F261" s="62"/>
      <c r="G261" s="128"/>
      <c r="H261" s="128"/>
      <c r="I261" s="128"/>
      <c r="J261" s="63"/>
      <c r="L261" s="59"/>
      <c r="M261" s="128"/>
      <c r="N261" s="128"/>
      <c r="O261" s="128"/>
      <c r="P261" s="62"/>
      <c r="Q261" s="128"/>
      <c r="R261" s="128"/>
      <c r="S261" s="128"/>
      <c r="T261" s="63"/>
    </row>
    <row r="262" spans="2:20" ht="18" customHeight="1" x14ac:dyDescent="0.25">
      <c r="B262" s="59"/>
      <c r="C262" s="220" t="s">
        <v>715</v>
      </c>
      <c r="D262" s="220"/>
      <c r="E262" s="220"/>
      <c r="F262" s="62"/>
      <c r="G262" s="220" t="s">
        <v>1288</v>
      </c>
      <c r="H262" s="220"/>
      <c r="I262" s="220"/>
      <c r="J262" s="63"/>
      <c r="L262" s="59"/>
      <c r="M262" s="220" t="s">
        <v>715</v>
      </c>
      <c r="N262" s="220"/>
      <c r="O262" s="220"/>
      <c r="P262" s="62"/>
      <c r="Q262" s="220" t="s">
        <v>1288</v>
      </c>
      <c r="R262" s="220"/>
      <c r="S262" s="220"/>
      <c r="T262" s="63"/>
    </row>
    <row r="263" spans="2:20" ht="6.6" customHeight="1" thickBot="1" x14ac:dyDescent="0.3">
      <c r="B263" s="64"/>
      <c r="C263" s="65"/>
      <c r="D263" s="65"/>
      <c r="E263" s="65"/>
      <c r="F263" s="65"/>
      <c r="G263" s="65"/>
      <c r="H263" s="65"/>
      <c r="I263" s="65"/>
      <c r="J263" s="66"/>
      <c r="L263" s="64"/>
      <c r="M263" s="65"/>
      <c r="N263" s="65"/>
      <c r="O263" s="65"/>
      <c r="P263" s="65"/>
      <c r="Q263" s="65"/>
      <c r="R263" s="65"/>
      <c r="S263" s="65"/>
      <c r="T263" s="66"/>
    </row>
    <row r="264" spans="2:20" ht="32.1" customHeight="1" thickTop="1" x14ac:dyDescent="0.25">
      <c r="B264" s="57"/>
      <c r="C264" s="58"/>
      <c r="D264" s="217" t="s">
        <v>697</v>
      </c>
      <c r="E264" s="217"/>
      <c r="F264" s="217"/>
      <c r="G264" s="217"/>
      <c r="H264" s="217"/>
      <c r="I264" s="217"/>
      <c r="J264" s="225"/>
      <c r="L264" s="57"/>
      <c r="M264" s="58"/>
      <c r="N264" s="217" t="s">
        <v>697</v>
      </c>
      <c r="O264" s="218"/>
      <c r="P264" s="218"/>
      <c r="Q264" s="218"/>
      <c r="R264" s="218"/>
      <c r="S264" s="218"/>
      <c r="T264" s="219"/>
    </row>
    <row r="265" spans="2:20" ht="6.95" customHeight="1" x14ac:dyDescent="0.25">
      <c r="B265" s="59"/>
      <c r="J265" s="60"/>
      <c r="L265" s="59"/>
      <c r="T265" s="60"/>
    </row>
    <row r="266" spans="2:20" ht="18" customHeight="1" x14ac:dyDescent="0.25">
      <c r="B266" s="61"/>
      <c r="C266" s="214" t="s">
        <v>698</v>
      </c>
      <c r="D266" s="215"/>
      <c r="E266" s="216"/>
      <c r="F266" s="62"/>
      <c r="G266" s="214" t="s">
        <v>95</v>
      </c>
      <c r="H266" s="215"/>
      <c r="I266" s="216"/>
      <c r="J266" s="63"/>
      <c r="L266" s="61"/>
      <c r="M266" s="214" t="s">
        <v>698</v>
      </c>
      <c r="N266" s="215"/>
      <c r="O266" s="216"/>
      <c r="P266" s="62"/>
      <c r="Q266" s="214" t="s">
        <v>98</v>
      </c>
      <c r="R266" s="215"/>
      <c r="S266" s="216"/>
      <c r="T266" s="63"/>
    </row>
    <row r="267" spans="2:20" ht="6.95" customHeight="1" x14ac:dyDescent="0.25">
      <c r="B267" s="59"/>
      <c r="C267" s="62"/>
      <c r="D267" s="62"/>
      <c r="E267" s="62"/>
      <c r="F267" s="62"/>
      <c r="G267" s="62"/>
      <c r="H267" s="62"/>
      <c r="I267" s="62"/>
      <c r="J267" s="60"/>
      <c r="L267" s="59"/>
      <c r="M267" s="62"/>
      <c r="N267" s="62"/>
      <c r="O267" s="62"/>
      <c r="P267" s="62"/>
      <c r="Q267" s="62"/>
      <c r="R267" s="62"/>
      <c r="S267" s="62"/>
      <c r="T267" s="60"/>
    </row>
    <row r="268" spans="2:20" ht="18" customHeight="1" x14ac:dyDescent="0.25">
      <c r="B268" s="61"/>
      <c r="C268" s="214" t="s">
        <v>699</v>
      </c>
      <c r="D268" s="215"/>
      <c r="E268" s="216"/>
      <c r="F268" s="62"/>
      <c r="G268" s="214" t="s">
        <v>1639</v>
      </c>
      <c r="H268" s="215"/>
      <c r="I268" s="216"/>
      <c r="J268" s="63"/>
      <c r="L268" s="61"/>
      <c r="M268" s="214" t="s">
        <v>699</v>
      </c>
      <c r="N268" s="215"/>
      <c r="O268" s="216"/>
      <c r="P268" s="62"/>
      <c r="Q268" s="214" t="s">
        <v>1638</v>
      </c>
      <c r="R268" s="215"/>
      <c r="S268" s="216"/>
      <c r="T268" s="63"/>
    </row>
    <row r="269" spans="2:20" ht="6.95" customHeight="1" x14ac:dyDescent="0.25">
      <c r="B269" s="59"/>
      <c r="C269" s="62"/>
      <c r="D269" s="62"/>
      <c r="E269" s="62"/>
      <c r="F269" s="62"/>
      <c r="G269" s="62"/>
      <c r="H269" s="62"/>
      <c r="I269" s="62"/>
      <c r="J269" s="60"/>
      <c r="L269" s="59"/>
      <c r="M269" s="62"/>
      <c r="N269" s="62"/>
      <c r="O269" s="62"/>
      <c r="P269" s="62"/>
      <c r="Q269" s="62"/>
      <c r="R269" s="62"/>
      <c r="S269" s="62"/>
      <c r="T269" s="60"/>
    </row>
    <row r="270" spans="2:20" ht="18" customHeight="1" x14ac:dyDescent="0.25">
      <c r="B270" s="61"/>
      <c r="C270" s="214" t="s">
        <v>701</v>
      </c>
      <c r="D270" s="215"/>
      <c r="E270" s="216"/>
      <c r="F270" s="62"/>
      <c r="G270" s="214" t="s">
        <v>750</v>
      </c>
      <c r="H270" s="215"/>
      <c r="I270" s="216"/>
      <c r="J270" s="63"/>
      <c r="L270" s="61"/>
      <c r="M270" s="214" t="s">
        <v>701</v>
      </c>
      <c r="N270" s="215"/>
      <c r="O270" s="216"/>
      <c r="P270" s="62"/>
      <c r="Q270" s="214" t="s">
        <v>754</v>
      </c>
      <c r="R270" s="215"/>
      <c r="S270" s="216"/>
      <c r="T270" s="63"/>
    </row>
    <row r="271" spans="2:20" ht="6.95" customHeight="1" x14ac:dyDescent="0.25">
      <c r="B271" s="59"/>
      <c r="C271" s="62"/>
      <c r="D271" s="62"/>
      <c r="E271" s="62"/>
      <c r="F271" s="62"/>
      <c r="G271" s="62"/>
      <c r="H271" s="62"/>
      <c r="I271" s="62"/>
      <c r="J271" s="60"/>
      <c r="L271" s="59"/>
      <c r="M271" s="62"/>
      <c r="N271" s="62"/>
      <c r="O271" s="62"/>
      <c r="P271" s="62"/>
      <c r="Q271" s="62"/>
      <c r="R271" s="62"/>
      <c r="S271" s="62"/>
      <c r="T271" s="60"/>
    </row>
    <row r="272" spans="2:20" ht="18" customHeight="1" x14ac:dyDescent="0.25">
      <c r="B272" s="61"/>
      <c r="C272" s="214" t="s">
        <v>703</v>
      </c>
      <c r="D272" s="215"/>
      <c r="E272" s="216"/>
      <c r="F272" s="62"/>
      <c r="G272" s="214" t="s">
        <v>751</v>
      </c>
      <c r="H272" s="215"/>
      <c r="I272" s="216"/>
      <c r="J272" s="63"/>
      <c r="L272" s="61"/>
      <c r="M272" s="214" t="s">
        <v>703</v>
      </c>
      <c r="N272" s="215"/>
      <c r="O272" s="216"/>
      <c r="P272" s="62"/>
      <c r="Q272" s="214" t="s">
        <v>754</v>
      </c>
      <c r="R272" s="215"/>
      <c r="S272" s="216"/>
      <c r="T272" s="63"/>
    </row>
    <row r="273" spans="2:20" ht="6.95" customHeight="1" x14ac:dyDescent="0.25">
      <c r="B273" s="59"/>
      <c r="C273" s="62"/>
      <c r="D273" s="62"/>
      <c r="E273" s="62"/>
      <c r="F273" s="62"/>
      <c r="G273" s="62"/>
      <c r="H273" s="62"/>
      <c r="I273" s="62"/>
      <c r="J273" s="60"/>
      <c r="L273" s="59"/>
      <c r="M273" s="62"/>
      <c r="N273" s="62"/>
      <c r="O273" s="62"/>
      <c r="P273" s="62"/>
      <c r="Q273" s="62"/>
      <c r="R273" s="62"/>
      <c r="S273" s="62"/>
      <c r="T273" s="60"/>
    </row>
    <row r="274" spans="2:20" ht="18" customHeight="1" x14ac:dyDescent="0.25">
      <c r="B274" s="61"/>
      <c r="C274" s="214" t="s">
        <v>705</v>
      </c>
      <c r="D274" s="215"/>
      <c r="E274" s="216"/>
      <c r="F274" s="62"/>
      <c r="G274" s="214" t="s">
        <v>752</v>
      </c>
      <c r="H274" s="215"/>
      <c r="I274" s="216"/>
      <c r="J274" s="63"/>
      <c r="L274" s="61"/>
      <c r="M274" s="214" t="s">
        <v>705</v>
      </c>
      <c r="N274" s="215"/>
      <c r="O274" s="216"/>
      <c r="P274" s="62"/>
      <c r="Q274" s="214" t="s">
        <v>718</v>
      </c>
      <c r="R274" s="215"/>
      <c r="S274" s="216"/>
      <c r="T274" s="63"/>
    </row>
    <row r="275" spans="2:20" ht="6.95" customHeight="1" x14ac:dyDescent="0.25">
      <c r="B275" s="59"/>
      <c r="C275" s="62"/>
      <c r="D275" s="62"/>
      <c r="E275" s="62"/>
      <c r="F275" s="62"/>
      <c r="G275" s="62"/>
      <c r="H275" s="62"/>
      <c r="I275" s="62"/>
      <c r="J275" s="60"/>
      <c r="L275" s="59"/>
      <c r="M275" s="62"/>
      <c r="N275" s="62"/>
      <c r="O275" s="62"/>
      <c r="P275" s="62"/>
      <c r="Q275" s="62"/>
      <c r="R275" s="62"/>
      <c r="S275" s="62"/>
      <c r="T275" s="60"/>
    </row>
    <row r="276" spans="2:20" ht="18" customHeight="1" x14ac:dyDescent="0.25">
      <c r="B276" s="61"/>
      <c r="C276" s="214" t="s">
        <v>708</v>
      </c>
      <c r="D276" s="215"/>
      <c r="E276" s="216"/>
      <c r="F276" s="62"/>
      <c r="G276" s="214" t="s">
        <v>753</v>
      </c>
      <c r="H276" s="215"/>
      <c r="I276" s="216"/>
      <c r="J276" s="63"/>
      <c r="L276" s="61"/>
      <c r="M276" s="214" t="s">
        <v>708</v>
      </c>
      <c r="N276" s="215"/>
      <c r="O276" s="216"/>
      <c r="P276" s="62"/>
      <c r="Q276" s="214" t="s">
        <v>739</v>
      </c>
      <c r="R276" s="215"/>
      <c r="S276" s="216"/>
      <c r="T276" s="63"/>
    </row>
    <row r="277" spans="2:20" ht="6.95" customHeight="1" x14ac:dyDescent="0.25">
      <c r="B277" s="59"/>
      <c r="C277" s="62"/>
      <c r="D277" s="62"/>
      <c r="E277" s="62"/>
      <c r="F277" s="62"/>
      <c r="G277" s="62"/>
      <c r="H277" s="62"/>
      <c r="I277" s="62"/>
      <c r="J277" s="60"/>
      <c r="L277" s="59"/>
      <c r="M277" s="62"/>
      <c r="N277" s="62"/>
      <c r="O277" s="62"/>
      <c r="P277" s="62"/>
      <c r="Q277" s="62"/>
      <c r="R277" s="62"/>
      <c r="S277" s="62"/>
      <c r="T277" s="60"/>
    </row>
    <row r="278" spans="2:20" ht="18" customHeight="1" x14ac:dyDescent="0.25">
      <c r="B278" s="61"/>
      <c r="C278" s="214" t="s">
        <v>711</v>
      </c>
      <c r="D278" s="215"/>
      <c r="E278" s="216"/>
      <c r="F278" s="62"/>
      <c r="G278" s="214" t="s">
        <v>712</v>
      </c>
      <c r="H278" s="215"/>
      <c r="I278" s="216"/>
      <c r="J278" s="63"/>
      <c r="L278" s="61"/>
      <c r="M278" s="214" t="s">
        <v>711</v>
      </c>
      <c r="N278" s="215"/>
      <c r="O278" s="216"/>
      <c r="P278" s="62"/>
      <c r="Q278" s="214" t="s">
        <v>712</v>
      </c>
      <c r="R278" s="215"/>
      <c r="S278" s="216"/>
      <c r="T278" s="63"/>
    </row>
    <row r="279" spans="2:20" ht="6.6" customHeight="1" x14ac:dyDescent="0.25">
      <c r="B279" s="59"/>
      <c r="C279" s="62"/>
      <c r="D279" s="62"/>
      <c r="E279" s="62"/>
      <c r="F279" s="62"/>
      <c r="G279" s="62"/>
      <c r="H279" s="62"/>
      <c r="I279" s="62"/>
      <c r="J279" s="60"/>
      <c r="L279" s="59"/>
      <c r="M279" s="62"/>
      <c r="N279" s="62"/>
      <c r="O279" s="62"/>
      <c r="P279" s="62"/>
      <c r="Q279" s="62"/>
      <c r="R279" s="62"/>
      <c r="S279" s="62"/>
      <c r="T279" s="60"/>
    </row>
    <row r="280" spans="2:20" ht="18" customHeight="1" x14ac:dyDescent="0.25">
      <c r="B280" s="61"/>
      <c r="C280" s="214" t="s">
        <v>1273</v>
      </c>
      <c r="D280" s="215"/>
      <c r="E280" s="216"/>
      <c r="F280" s="62"/>
      <c r="G280" s="214" t="s">
        <v>1318</v>
      </c>
      <c r="H280" s="215"/>
      <c r="I280" s="216"/>
      <c r="J280" s="63"/>
      <c r="L280" s="61"/>
      <c r="M280" s="214" t="s">
        <v>1273</v>
      </c>
      <c r="N280" s="215"/>
      <c r="O280" s="216"/>
      <c r="P280" s="62"/>
      <c r="Q280" s="214" t="s">
        <v>1319</v>
      </c>
      <c r="R280" s="215"/>
      <c r="S280" s="216"/>
      <c r="T280" s="63"/>
    </row>
    <row r="281" spans="2:20" ht="6.95" customHeight="1" x14ac:dyDescent="0.25">
      <c r="B281" s="59"/>
      <c r="C281" s="62"/>
      <c r="D281" s="62"/>
      <c r="E281" s="62"/>
      <c r="F281" s="62"/>
      <c r="G281" s="62"/>
      <c r="H281" s="62"/>
      <c r="I281" s="62"/>
      <c r="J281" s="60"/>
      <c r="L281" s="59"/>
      <c r="M281" s="62"/>
      <c r="N281" s="62"/>
      <c r="O281" s="62"/>
      <c r="P281" s="62"/>
      <c r="Q281" s="62"/>
      <c r="R281" s="62"/>
      <c r="S281" s="62"/>
      <c r="T281" s="60"/>
    </row>
    <row r="282" spans="2:20" ht="18" customHeight="1" x14ac:dyDescent="0.25">
      <c r="B282" s="61"/>
      <c r="C282" s="214" t="s">
        <v>713</v>
      </c>
      <c r="D282" s="215"/>
      <c r="E282" s="216"/>
      <c r="F282" s="62"/>
      <c r="G282" s="220" t="s">
        <v>1293</v>
      </c>
      <c r="H282" s="220"/>
      <c r="I282" s="220"/>
      <c r="J282" s="63"/>
      <c r="L282" s="61"/>
      <c r="M282" s="214" t="s">
        <v>713</v>
      </c>
      <c r="N282" s="215"/>
      <c r="O282" s="216"/>
      <c r="P282" s="62"/>
      <c r="Q282" s="220" t="s">
        <v>1293</v>
      </c>
      <c r="R282" s="220"/>
      <c r="S282" s="220"/>
      <c r="T282" s="63"/>
    </row>
    <row r="283" spans="2:20" ht="6.6" customHeight="1" x14ac:dyDescent="0.25">
      <c r="B283" s="59"/>
      <c r="C283" s="128"/>
      <c r="D283" s="128"/>
      <c r="E283" s="128"/>
      <c r="F283" s="62"/>
      <c r="G283" s="128"/>
      <c r="H283" s="128"/>
      <c r="I283" s="128"/>
      <c r="J283" s="63"/>
      <c r="L283" s="59"/>
      <c r="M283" s="128"/>
      <c r="N283" s="128"/>
      <c r="O283" s="128"/>
      <c r="P283" s="62"/>
      <c r="Q283" s="128"/>
      <c r="R283" s="128"/>
      <c r="S283" s="128"/>
      <c r="T283" s="63"/>
    </row>
    <row r="284" spans="2:20" ht="18" customHeight="1" x14ac:dyDescent="0.25">
      <c r="B284" s="59"/>
      <c r="C284" s="220" t="s">
        <v>715</v>
      </c>
      <c r="D284" s="220"/>
      <c r="E284" s="220"/>
      <c r="F284" s="62"/>
      <c r="G284" s="220" t="s">
        <v>1288</v>
      </c>
      <c r="H284" s="220"/>
      <c r="I284" s="220"/>
      <c r="J284" s="63"/>
      <c r="L284" s="59"/>
      <c r="M284" s="220" t="s">
        <v>715</v>
      </c>
      <c r="N284" s="220"/>
      <c r="O284" s="220"/>
      <c r="P284" s="62"/>
      <c r="Q284" s="220" t="s">
        <v>1288</v>
      </c>
      <c r="R284" s="220"/>
      <c r="S284" s="220"/>
      <c r="T284" s="63"/>
    </row>
    <row r="285" spans="2:20" ht="6.6" customHeight="1" thickBot="1" x14ac:dyDescent="0.3">
      <c r="B285" s="64"/>
      <c r="C285" s="65"/>
      <c r="D285" s="65"/>
      <c r="E285" s="65"/>
      <c r="F285" s="65"/>
      <c r="G285" s="65"/>
      <c r="H285" s="65"/>
      <c r="I285" s="65"/>
      <c r="J285" s="66"/>
      <c r="L285" s="64"/>
      <c r="M285" s="65"/>
      <c r="N285" s="65"/>
      <c r="O285" s="65"/>
      <c r="P285" s="65"/>
      <c r="Q285" s="65"/>
      <c r="R285" s="65"/>
      <c r="S285" s="65"/>
      <c r="T285" s="66"/>
    </row>
    <row r="286" spans="2:20" ht="32.1" customHeight="1" thickTop="1" x14ac:dyDescent="0.25">
      <c r="B286" s="57"/>
      <c r="C286" s="58"/>
      <c r="D286" s="217" t="s">
        <v>697</v>
      </c>
      <c r="E286" s="218"/>
      <c r="F286" s="218"/>
      <c r="G286" s="218"/>
      <c r="H286" s="218"/>
      <c r="I286" s="218"/>
      <c r="J286" s="219"/>
      <c r="L286" s="57"/>
      <c r="M286" s="58"/>
      <c r="N286" s="217" t="s">
        <v>697</v>
      </c>
      <c r="O286" s="218"/>
      <c r="P286" s="218"/>
      <c r="Q286" s="218"/>
      <c r="R286" s="218"/>
      <c r="S286" s="218"/>
      <c r="T286" s="219"/>
    </row>
    <row r="287" spans="2:20" ht="6.95" customHeight="1" x14ac:dyDescent="0.25">
      <c r="B287" s="59"/>
      <c r="J287" s="60"/>
      <c r="L287" s="59"/>
      <c r="T287" s="60"/>
    </row>
    <row r="288" spans="2:20" ht="18" customHeight="1" x14ac:dyDescent="0.25">
      <c r="B288" s="61"/>
      <c r="C288" s="214" t="s">
        <v>698</v>
      </c>
      <c r="D288" s="215"/>
      <c r="E288" s="216"/>
      <c r="F288" s="62"/>
      <c r="G288" s="214" t="s">
        <v>1320</v>
      </c>
      <c r="H288" s="215"/>
      <c r="I288" s="216"/>
      <c r="J288" s="63"/>
      <c r="L288" s="61"/>
      <c r="M288" s="214" t="s">
        <v>698</v>
      </c>
      <c r="N288" s="215"/>
      <c r="O288" s="216"/>
      <c r="P288" s="62"/>
      <c r="Q288" s="214" t="s">
        <v>1321</v>
      </c>
      <c r="R288" s="215"/>
      <c r="S288" s="216"/>
      <c r="T288" s="63"/>
    </row>
    <row r="289" spans="2:20" ht="6.95" customHeight="1" x14ac:dyDescent="0.25">
      <c r="B289" s="59"/>
      <c r="C289" s="62"/>
      <c r="D289" s="62"/>
      <c r="E289" s="62"/>
      <c r="F289" s="62"/>
      <c r="G289" s="62"/>
      <c r="H289" s="62"/>
      <c r="I289" s="62"/>
      <c r="J289" s="60"/>
      <c r="L289" s="59"/>
      <c r="M289" s="62"/>
      <c r="N289" s="62"/>
      <c r="O289" s="62"/>
      <c r="P289" s="62"/>
      <c r="Q289" s="62"/>
      <c r="R289" s="62"/>
      <c r="S289" s="62"/>
      <c r="T289" s="60"/>
    </row>
    <row r="290" spans="2:20" ht="18" customHeight="1" x14ac:dyDescent="0.25">
      <c r="B290" s="61"/>
      <c r="C290" s="214" t="s">
        <v>699</v>
      </c>
      <c r="D290" s="215"/>
      <c r="E290" s="216"/>
      <c r="F290" s="62"/>
      <c r="G290" s="214" t="s">
        <v>1638</v>
      </c>
      <c r="H290" s="215"/>
      <c r="I290" s="216"/>
      <c r="J290" s="63"/>
      <c r="L290" s="61"/>
      <c r="M290" s="214" t="s">
        <v>699</v>
      </c>
      <c r="N290" s="215"/>
      <c r="O290" s="216"/>
      <c r="P290" s="62"/>
      <c r="Q290" s="214" t="s">
        <v>1638</v>
      </c>
      <c r="R290" s="215"/>
      <c r="S290" s="216"/>
      <c r="T290" s="63"/>
    </row>
    <row r="291" spans="2:20" ht="6.95" customHeight="1" x14ac:dyDescent="0.25">
      <c r="B291" s="59"/>
      <c r="C291" s="62"/>
      <c r="D291" s="62"/>
      <c r="E291" s="62"/>
      <c r="F291" s="62"/>
      <c r="G291" s="62"/>
      <c r="H291" s="62"/>
      <c r="I291" s="62"/>
      <c r="J291" s="60"/>
      <c r="L291" s="59"/>
      <c r="M291" s="62"/>
      <c r="N291" s="62"/>
      <c r="O291" s="62"/>
      <c r="P291" s="62"/>
      <c r="Q291" s="62"/>
      <c r="R291" s="62"/>
      <c r="S291" s="62"/>
      <c r="T291" s="60"/>
    </row>
    <row r="292" spans="2:20" ht="18" customHeight="1" x14ac:dyDescent="0.25">
      <c r="B292" s="61"/>
      <c r="C292" s="214" t="s">
        <v>701</v>
      </c>
      <c r="D292" s="215"/>
      <c r="E292" s="216"/>
      <c r="F292" s="62"/>
      <c r="G292" s="214" t="s">
        <v>755</v>
      </c>
      <c r="H292" s="215"/>
      <c r="I292" s="216"/>
      <c r="J292" s="63"/>
      <c r="L292" s="61"/>
      <c r="M292" s="214" t="s">
        <v>701</v>
      </c>
      <c r="N292" s="215"/>
      <c r="O292" s="216"/>
      <c r="P292" s="62"/>
      <c r="Q292" s="214" t="s">
        <v>755</v>
      </c>
      <c r="R292" s="215"/>
      <c r="S292" s="216"/>
      <c r="T292" s="63"/>
    </row>
    <row r="293" spans="2:20" ht="6.95" customHeight="1" x14ac:dyDescent="0.25">
      <c r="B293" s="59"/>
      <c r="C293" s="62"/>
      <c r="D293" s="62"/>
      <c r="E293" s="62"/>
      <c r="F293" s="62"/>
      <c r="G293" s="62"/>
      <c r="H293" s="62"/>
      <c r="I293" s="62"/>
      <c r="J293" s="60"/>
      <c r="L293" s="59"/>
      <c r="M293" s="62"/>
      <c r="N293" s="62"/>
      <c r="O293" s="62"/>
      <c r="P293" s="62"/>
      <c r="Q293" s="62"/>
      <c r="R293" s="62"/>
      <c r="S293" s="62"/>
      <c r="T293" s="60"/>
    </row>
    <row r="294" spans="2:20" ht="18" customHeight="1" x14ac:dyDescent="0.25">
      <c r="B294" s="61"/>
      <c r="C294" s="214" t="s">
        <v>703</v>
      </c>
      <c r="D294" s="215"/>
      <c r="E294" s="216"/>
      <c r="F294" s="62"/>
      <c r="G294" s="214" t="s">
        <v>756</v>
      </c>
      <c r="H294" s="215"/>
      <c r="I294" s="216"/>
      <c r="J294" s="63"/>
      <c r="L294" s="61"/>
      <c r="M294" s="214" t="s">
        <v>703</v>
      </c>
      <c r="N294" s="215"/>
      <c r="O294" s="216"/>
      <c r="P294" s="62"/>
      <c r="Q294" s="214" t="s">
        <v>970</v>
      </c>
      <c r="R294" s="215"/>
      <c r="S294" s="216"/>
      <c r="T294" s="63"/>
    </row>
    <row r="295" spans="2:20" ht="6.95" customHeight="1" x14ac:dyDescent="0.25">
      <c r="B295" s="59"/>
      <c r="C295" s="62"/>
      <c r="D295" s="62"/>
      <c r="E295" s="62"/>
      <c r="F295" s="62"/>
      <c r="G295" s="62"/>
      <c r="H295" s="62"/>
      <c r="I295" s="62"/>
      <c r="J295" s="60"/>
      <c r="L295" s="59"/>
      <c r="M295" s="62"/>
      <c r="N295" s="62"/>
      <c r="O295" s="62"/>
      <c r="P295" s="62"/>
      <c r="Q295" s="62"/>
      <c r="R295" s="62"/>
      <c r="S295" s="62"/>
      <c r="T295" s="60"/>
    </row>
    <row r="296" spans="2:20" ht="18" customHeight="1" x14ac:dyDescent="0.25">
      <c r="B296" s="61"/>
      <c r="C296" s="214" t="s">
        <v>705</v>
      </c>
      <c r="D296" s="215"/>
      <c r="E296" s="216"/>
      <c r="F296" s="62"/>
      <c r="G296" s="214" t="s">
        <v>731</v>
      </c>
      <c r="H296" s="215"/>
      <c r="I296" s="216"/>
      <c r="J296" s="63"/>
      <c r="L296" s="61"/>
      <c r="M296" s="214" t="s">
        <v>705</v>
      </c>
      <c r="N296" s="215"/>
      <c r="O296" s="216"/>
      <c r="P296" s="62"/>
      <c r="Q296" s="214" t="s">
        <v>718</v>
      </c>
      <c r="R296" s="215"/>
      <c r="S296" s="216"/>
      <c r="T296" s="63"/>
    </row>
    <row r="297" spans="2:20" ht="6.95" customHeight="1" x14ac:dyDescent="0.25">
      <c r="B297" s="59"/>
      <c r="C297" s="62"/>
      <c r="D297" s="62"/>
      <c r="E297" s="62"/>
      <c r="F297" s="62"/>
      <c r="G297" s="62"/>
      <c r="H297" s="62"/>
      <c r="I297" s="62"/>
      <c r="J297" s="60"/>
      <c r="L297" s="59"/>
      <c r="M297" s="62"/>
      <c r="N297" s="62"/>
      <c r="O297" s="62"/>
      <c r="P297" s="62"/>
      <c r="Q297" s="62"/>
      <c r="R297" s="62"/>
      <c r="S297" s="62"/>
      <c r="T297" s="60"/>
    </row>
    <row r="298" spans="2:20" ht="18" customHeight="1" x14ac:dyDescent="0.25">
      <c r="B298" s="61"/>
      <c r="C298" s="214" t="s">
        <v>708</v>
      </c>
      <c r="D298" s="215"/>
      <c r="E298" s="216"/>
      <c r="F298" s="62"/>
      <c r="G298" s="214" t="s">
        <v>732</v>
      </c>
      <c r="H298" s="215"/>
      <c r="I298" s="216"/>
      <c r="J298" s="63"/>
      <c r="L298" s="61"/>
      <c r="M298" s="214" t="s">
        <v>708</v>
      </c>
      <c r="N298" s="215"/>
      <c r="O298" s="216"/>
      <c r="P298" s="62"/>
      <c r="Q298" s="214" t="s">
        <v>739</v>
      </c>
      <c r="R298" s="215"/>
      <c r="S298" s="216"/>
      <c r="T298" s="63"/>
    </row>
    <row r="299" spans="2:20" ht="6.95" customHeight="1" x14ac:dyDescent="0.25">
      <c r="B299" s="59"/>
      <c r="C299" s="62"/>
      <c r="D299" s="62"/>
      <c r="E299" s="62"/>
      <c r="F299" s="62"/>
      <c r="G299" s="62"/>
      <c r="H299" s="62"/>
      <c r="I299" s="62"/>
      <c r="J299" s="60"/>
      <c r="L299" s="59"/>
      <c r="M299" s="62"/>
      <c r="N299" s="62"/>
      <c r="O299" s="62"/>
      <c r="P299" s="62"/>
      <c r="Q299" s="62"/>
      <c r="R299" s="62"/>
      <c r="S299" s="62"/>
      <c r="T299" s="60"/>
    </row>
    <row r="300" spans="2:20" ht="18" customHeight="1" x14ac:dyDescent="0.25">
      <c r="B300" s="61"/>
      <c r="C300" s="214" t="s">
        <v>711</v>
      </c>
      <c r="D300" s="215"/>
      <c r="E300" s="216"/>
      <c r="F300" s="62"/>
      <c r="G300" s="214" t="s">
        <v>712</v>
      </c>
      <c r="H300" s="215"/>
      <c r="I300" s="216"/>
      <c r="J300" s="63"/>
      <c r="L300" s="61"/>
      <c r="M300" s="214" t="s">
        <v>711</v>
      </c>
      <c r="N300" s="215"/>
      <c r="O300" s="216"/>
      <c r="P300" s="62"/>
      <c r="Q300" s="214" t="s">
        <v>712</v>
      </c>
      <c r="R300" s="215"/>
      <c r="S300" s="216"/>
      <c r="T300" s="63"/>
    </row>
    <row r="301" spans="2:20" ht="6.6" customHeight="1" x14ac:dyDescent="0.25">
      <c r="B301" s="59"/>
      <c r="C301" s="62"/>
      <c r="D301" s="62"/>
      <c r="E301" s="62"/>
      <c r="F301" s="62"/>
      <c r="G301" s="62"/>
      <c r="H301" s="62"/>
      <c r="I301" s="62"/>
      <c r="J301" s="60"/>
      <c r="L301" s="59"/>
      <c r="M301" s="62"/>
      <c r="N301" s="62"/>
      <c r="O301" s="62"/>
      <c r="P301" s="62"/>
      <c r="Q301" s="62"/>
      <c r="R301" s="62"/>
      <c r="S301" s="62"/>
      <c r="T301" s="60"/>
    </row>
    <row r="302" spans="2:20" ht="18" customHeight="1" x14ac:dyDescent="0.25">
      <c r="B302" s="61"/>
      <c r="C302" s="214" t="s">
        <v>1273</v>
      </c>
      <c r="D302" s="215"/>
      <c r="E302" s="216"/>
      <c r="F302" s="62"/>
      <c r="G302" s="214" t="s">
        <v>1322</v>
      </c>
      <c r="H302" s="215"/>
      <c r="I302" s="216"/>
      <c r="J302" s="63"/>
      <c r="L302" s="61"/>
      <c r="M302" s="214" t="s">
        <v>1273</v>
      </c>
      <c r="N302" s="215"/>
      <c r="O302" s="216"/>
      <c r="P302" s="62"/>
      <c r="Q302" s="214" t="s">
        <v>1323</v>
      </c>
      <c r="R302" s="215"/>
      <c r="S302" s="216"/>
      <c r="T302" s="63"/>
    </row>
    <row r="303" spans="2:20" ht="6.95" customHeight="1" x14ac:dyDescent="0.25">
      <c r="B303" s="59"/>
      <c r="C303" s="62"/>
      <c r="D303" s="62"/>
      <c r="E303" s="62"/>
      <c r="F303" s="62"/>
      <c r="G303" s="62"/>
      <c r="H303" s="62"/>
      <c r="I303" s="62"/>
      <c r="J303" s="60"/>
      <c r="L303" s="59"/>
      <c r="M303" s="62"/>
      <c r="N303" s="62"/>
      <c r="O303" s="62"/>
      <c r="P303" s="62"/>
      <c r="Q303" s="62"/>
      <c r="R303" s="62"/>
      <c r="S303" s="62"/>
      <c r="T303" s="60"/>
    </row>
    <row r="304" spans="2:20" ht="18" customHeight="1" x14ac:dyDescent="0.25">
      <c r="B304" s="61"/>
      <c r="C304" s="214" t="s">
        <v>713</v>
      </c>
      <c r="D304" s="215"/>
      <c r="E304" s="216"/>
      <c r="F304" s="62"/>
      <c r="G304" s="220" t="s">
        <v>1293</v>
      </c>
      <c r="H304" s="220"/>
      <c r="I304" s="220"/>
      <c r="J304" s="63"/>
      <c r="L304" s="61"/>
      <c r="M304" s="214" t="s">
        <v>713</v>
      </c>
      <c r="N304" s="215"/>
      <c r="O304" s="216"/>
      <c r="P304" s="62"/>
      <c r="Q304" s="220" t="s">
        <v>1293</v>
      </c>
      <c r="R304" s="220"/>
      <c r="S304" s="220"/>
      <c r="T304" s="63"/>
    </row>
    <row r="305" spans="2:20" ht="6.95" customHeight="1" x14ac:dyDescent="0.25">
      <c r="B305" s="59"/>
      <c r="C305" s="128"/>
      <c r="D305" s="128"/>
      <c r="E305" s="128"/>
      <c r="F305" s="62"/>
      <c r="G305" s="128"/>
      <c r="H305" s="128"/>
      <c r="I305" s="128"/>
      <c r="J305" s="63"/>
      <c r="L305" s="59"/>
      <c r="M305" s="128"/>
      <c r="N305" s="128"/>
      <c r="O305" s="128"/>
      <c r="P305" s="62"/>
      <c r="Q305" s="128"/>
      <c r="R305" s="128"/>
      <c r="S305" s="128"/>
      <c r="T305" s="63"/>
    </row>
    <row r="306" spans="2:20" ht="18" customHeight="1" x14ac:dyDescent="0.25">
      <c r="B306" s="59"/>
      <c r="C306" s="220" t="s">
        <v>715</v>
      </c>
      <c r="D306" s="220"/>
      <c r="E306" s="220"/>
      <c r="F306" s="62"/>
      <c r="G306" s="220" t="s">
        <v>1288</v>
      </c>
      <c r="H306" s="220"/>
      <c r="I306" s="220"/>
      <c r="J306" s="63"/>
      <c r="L306" s="59"/>
      <c r="M306" s="220" t="s">
        <v>715</v>
      </c>
      <c r="N306" s="220"/>
      <c r="O306" s="220"/>
      <c r="P306" s="62"/>
      <c r="Q306" s="220" t="s">
        <v>1288</v>
      </c>
      <c r="R306" s="220"/>
      <c r="S306" s="220"/>
      <c r="T306" s="63"/>
    </row>
    <row r="307" spans="2:20" ht="6.95" customHeight="1" thickBot="1" x14ac:dyDescent="0.3">
      <c r="B307" s="64"/>
      <c r="C307" s="65"/>
      <c r="D307" s="65"/>
      <c r="E307" s="65"/>
      <c r="F307" s="65"/>
      <c r="G307" s="65"/>
      <c r="H307" s="65"/>
      <c r="I307" s="65"/>
      <c r="J307" s="66"/>
      <c r="L307" s="64"/>
      <c r="M307" s="65"/>
      <c r="N307" s="65"/>
      <c r="O307" s="65"/>
      <c r="P307" s="65"/>
      <c r="Q307" s="65"/>
      <c r="R307" s="65"/>
      <c r="S307" s="65"/>
      <c r="T307" s="66"/>
    </row>
    <row r="308" spans="2:20" ht="32.1" customHeight="1" thickTop="1" x14ac:dyDescent="0.25">
      <c r="B308" s="57"/>
      <c r="C308" s="58"/>
      <c r="D308" s="217" t="s">
        <v>697</v>
      </c>
      <c r="E308" s="218"/>
      <c r="F308" s="218"/>
      <c r="G308" s="218"/>
      <c r="H308" s="218"/>
      <c r="I308" s="218"/>
      <c r="J308" s="219"/>
      <c r="L308" s="57"/>
      <c r="M308" s="58"/>
      <c r="N308" s="217" t="s">
        <v>697</v>
      </c>
      <c r="O308" s="218"/>
      <c r="P308" s="218"/>
      <c r="Q308" s="218"/>
      <c r="R308" s="218"/>
      <c r="S308" s="218"/>
      <c r="T308" s="219"/>
    </row>
    <row r="309" spans="2:20" ht="6.95" customHeight="1" x14ac:dyDescent="0.25">
      <c r="B309" s="59"/>
      <c r="J309" s="60"/>
      <c r="L309" s="59"/>
      <c r="T309" s="60"/>
    </row>
    <row r="310" spans="2:20" ht="18" customHeight="1" x14ac:dyDescent="0.25">
      <c r="B310" s="61"/>
      <c r="C310" s="214" t="s">
        <v>698</v>
      </c>
      <c r="D310" s="215"/>
      <c r="E310" s="216"/>
      <c r="F310" s="62"/>
      <c r="G310" s="214" t="s">
        <v>1324</v>
      </c>
      <c r="H310" s="215"/>
      <c r="I310" s="216"/>
      <c r="J310" s="63"/>
      <c r="L310" s="61"/>
      <c r="M310" s="214" t="s">
        <v>698</v>
      </c>
      <c r="N310" s="215"/>
      <c r="O310" s="216"/>
      <c r="P310" s="62"/>
      <c r="Q310" s="214" t="s">
        <v>1325</v>
      </c>
      <c r="R310" s="215"/>
      <c r="S310" s="216"/>
      <c r="T310" s="63"/>
    </row>
    <row r="311" spans="2:20" ht="6.95" customHeight="1" x14ac:dyDescent="0.25">
      <c r="B311" s="59"/>
      <c r="C311" s="62"/>
      <c r="D311" s="62"/>
      <c r="E311" s="62"/>
      <c r="F311" s="62"/>
      <c r="G311" s="62"/>
      <c r="H311" s="62"/>
      <c r="I311" s="62"/>
      <c r="J311" s="60"/>
      <c r="L311" s="59"/>
      <c r="M311" s="62"/>
      <c r="N311" s="62"/>
      <c r="O311" s="62"/>
      <c r="P311" s="62"/>
      <c r="Q311" s="62"/>
      <c r="R311" s="62"/>
      <c r="S311" s="62"/>
      <c r="T311" s="60"/>
    </row>
    <row r="312" spans="2:20" ht="18" customHeight="1" x14ac:dyDescent="0.25">
      <c r="B312" s="61"/>
      <c r="C312" s="214" t="s">
        <v>699</v>
      </c>
      <c r="D312" s="215"/>
      <c r="E312" s="216"/>
      <c r="F312" s="62"/>
      <c r="G312" s="214" t="s">
        <v>1638</v>
      </c>
      <c r="H312" s="215"/>
      <c r="I312" s="216"/>
      <c r="J312" s="63"/>
      <c r="L312" s="61"/>
      <c r="M312" s="214" t="s">
        <v>699</v>
      </c>
      <c r="N312" s="215"/>
      <c r="O312" s="216"/>
      <c r="P312" s="62"/>
      <c r="Q312" s="214" t="s">
        <v>1638</v>
      </c>
      <c r="R312" s="215"/>
      <c r="S312" s="216"/>
      <c r="T312" s="63"/>
    </row>
    <row r="313" spans="2:20" ht="6.95" customHeight="1" x14ac:dyDescent="0.25">
      <c r="B313" s="59"/>
      <c r="C313" s="62"/>
      <c r="D313" s="62"/>
      <c r="E313" s="62"/>
      <c r="F313" s="62"/>
      <c r="G313" s="62"/>
      <c r="H313" s="62"/>
      <c r="I313" s="62"/>
      <c r="J313" s="60"/>
      <c r="L313" s="59"/>
      <c r="M313" s="62"/>
      <c r="N313" s="62"/>
      <c r="O313" s="62"/>
      <c r="P313" s="62"/>
      <c r="Q313" s="62"/>
      <c r="R313" s="62"/>
      <c r="S313" s="62"/>
      <c r="T313" s="60"/>
    </row>
    <row r="314" spans="2:20" ht="18" customHeight="1" x14ac:dyDescent="0.25">
      <c r="B314" s="61"/>
      <c r="C314" s="214" t="s">
        <v>701</v>
      </c>
      <c r="D314" s="215"/>
      <c r="E314" s="216"/>
      <c r="F314" s="62"/>
      <c r="G314" s="214" t="s">
        <v>755</v>
      </c>
      <c r="H314" s="215"/>
      <c r="I314" s="216"/>
      <c r="J314" s="63"/>
      <c r="L314" s="61"/>
      <c r="M314" s="214" t="s">
        <v>701</v>
      </c>
      <c r="N314" s="215"/>
      <c r="O314" s="216"/>
      <c r="P314" s="62"/>
      <c r="Q314" s="214" t="s">
        <v>755</v>
      </c>
      <c r="R314" s="215"/>
      <c r="S314" s="216"/>
      <c r="T314" s="63"/>
    </row>
    <row r="315" spans="2:20" ht="6.95" customHeight="1" x14ac:dyDescent="0.25">
      <c r="B315" s="59"/>
      <c r="C315" s="62"/>
      <c r="D315" s="62"/>
      <c r="E315" s="62"/>
      <c r="F315" s="62"/>
      <c r="G315" s="62"/>
      <c r="H315" s="62"/>
      <c r="I315" s="62"/>
      <c r="J315" s="60"/>
      <c r="L315" s="59"/>
      <c r="M315" s="62"/>
      <c r="N315" s="62"/>
      <c r="O315" s="62"/>
      <c r="P315" s="62"/>
      <c r="Q315" s="62"/>
      <c r="R315" s="62"/>
      <c r="S315" s="62"/>
      <c r="T315" s="60"/>
    </row>
    <row r="316" spans="2:20" ht="18" customHeight="1" x14ac:dyDescent="0.25">
      <c r="B316" s="61"/>
      <c r="C316" s="214" t="s">
        <v>703</v>
      </c>
      <c r="D316" s="215"/>
      <c r="E316" s="216"/>
      <c r="F316" s="62"/>
      <c r="G316" s="214" t="s">
        <v>970</v>
      </c>
      <c r="H316" s="215"/>
      <c r="I316" s="216"/>
      <c r="J316" s="63"/>
      <c r="L316" s="61"/>
      <c r="M316" s="214" t="s">
        <v>703</v>
      </c>
      <c r="N316" s="215"/>
      <c r="O316" s="216"/>
      <c r="P316" s="62"/>
      <c r="Q316" s="214" t="s">
        <v>970</v>
      </c>
      <c r="R316" s="215"/>
      <c r="S316" s="216"/>
      <c r="T316" s="63"/>
    </row>
    <row r="317" spans="2:20" ht="6.95" customHeight="1" x14ac:dyDescent="0.25">
      <c r="B317" s="59"/>
      <c r="C317" s="62"/>
      <c r="D317" s="62"/>
      <c r="E317" s="62"/>
      <c r="F317" s="62"/>
      <c r="G317" s="62"/>
      <c r="H317" s="62"/>
      <c r="I317" s="62"/>
      <c r="J317" s="60"/>
      <c r="L317" s="59"/>
      <c r="M317" s="62"/>
      <c r="N317" s="62"/>
      <c r="O317" s="62"/>
      <c r="P317" s="62"/>
      <c r="Q317" s="62"/>
      <c r="R317" s="62"/>
      <c r="S317" s="62"/>
      <c r="T317" s="60"/>
    </row>
    <row r="318" spans="2:20" ht="18" customHeight="1" x14ac:dyDescent="0.25">
      <c r="B318" s="61"/>
      <c r="C318" s="214" t="s">
        <v>705</v>
      </c>
      <c r="D318" s="215"/>
      <c r="E318" s="216"/>
      <c r="F318" s="62"/>
      <c r="G318" s="214" t="s">
        <v>721</v>
      </c>
      <c r="H318" s="215"/>
      <c r="I318" s="216"/>
      <c r="J318" s="63"/>
      <c r="L318" s="61"/>
      <c r="M318" s="214" t="s">
        <v>705</v>
      </c>
      <c r="N318" s="215"/>
      <c r="O318" s="216"/>
      <c r="P318" s="62"/>
      <c r="Q318" s="214" t="s">
        <v>718</v>
      </c>
      <c r="R318" s="215"/>
      <c r="S318" s="216"/>
      <c r="T318" s="63"/>
    </row>
    <row r="319" spans="2:20" ht="6.95" customHeight="1" x14ac:dyDescent="0.25">
      <c r="B319" s="59"/>
      <c r="C319" s="62"/>
      <c r="D319" s="62"/>
      <c r="E319" s="62"/>
      <c r="F319" s="62"/>
      <c r="G319" s="62"/>
      <c r="H319" s="62"/>
      <c r="I319" s="62"/>
      <c r="J319" s="60"/>
      <c r="L319" s="59"/>
      <c r="M319" s="62"/>
      <c r="N319" s="62"/>
      <c r="O319" s="62"/>
      <c r="P319" s="62"/>
      <c r="Q319" s="62"/>
      <c r="R319" s="62"/>
      <c r="S319" s="62"/>
      <c r="T319" s="60"/>
    </row>
    <row r="320" spans="2:20" ht="18" customHeight="1" x14ac:dyDescent="0.25">
      <c r="B320" s="61"/>
      <c r="C320" s="214" t="s">
        <v>708</v>
      </c>
      <c r="D320" s="215"/>
      <c r="E320" s="216"/>
      <c r="F320" s="62"/>
      <c r="G320" s="214" t="s">
        <v>722</v>
      </c>
      <c r="H320" s="215"/>
      <c r="I320" s="216"/>
      <c r="J320" s="63"/>
      <c r="L320" s="61"/>
      <c r="M320" s="214" t="s">
        <v>708</v>
      </c>
      <c r="N320" s="215"/>
      <c r="O320" s="216"/>
      <c r="P320" s="62"/>
      <c r="Q320" s="214" t="s">
        <v>739</v>
      </c>
      <c r="R320" s="215"/>
      <c r="S320" s="216"/>
      <c r="T320" s="63"/>
    </row>
    <row r="321" spans="2:20" ht="6.95" customHeight="1" x14ac:dyDescent="0.25">
      <c r="B321" s="59"/>
      <c r="C321" s="62"/>
      <c r="D321" s="62"/>
      <c r="E321" s="62"/>
      <c r="F321" s="62"/>
      <c r="G321" s="62"/>
      <c r="H321" s="62"/>
      <c r="I321" s="62"/>
      <c r="J321" s="60"/>
      <c r="L321" s="59"/>
      <c r="M321" s="62"/>
      <c r="N321" s="62"/>
      <c r="O321" s="62"/>
      <c r="P321" s="62"/>
      <c r="Q321" s="62"/>
      <c r="R321" s="62"/>
      <c r="S321" s="62"/>
      <c r="T321" s="60"/>
    </row>
    <row r="322" spans="2:20" ht="18" customHeight="1" x14ac:dyDescent="0.25">
      <c r="B322" s="61"/>
      <c r="C322" s="214" t="s">
        <v>711</v>
      </c>
      <c r="D322" s="215"/>
      <c r="E322" s="216"/>
      <c r="F322" s="62"/>
      <c r="G322" s="214" t="s">
        <v>712</v>
      </c>
      <c r="H322" s="215"/>
      <c r="I322" s="216"/>
      <c r="J322" s="63"/>
      <c r="L322" s="61"/>
      <c r="M322" s="214" t="s">
        <v>711</v>
      </c>
      <c r="N322" s="215"/>
      <c r="O322" s="216"/>
      <c r="P322" s="62"/>
      <c r="Q322" s="214" t="s">
        <v>712</v>
      </c>
      <c r="R322" s="215"/>
      <c r="S322" s="216"/>
      <c r="T322" s="63"/>
    </row>
    <row r="323" spans="2:20" ht="6.6" customHeight="1" x14ac:dyDescent="0.25">
      <c r="B323" s="59"/>
      <c r="C323" s="62"/>
      <c r="D323" s="62"/>
      <c r="E323" s="62"/>
      <c r="F323" s="62"/>
      <c r="G323" s="62"/>
      <c r="H323" s="62"/>
      <c r="I323" s="62"/>
      <c r="J323" s="60"/>
      <c r="L323" s="59"/>
      <c r="M323" s="62"/>
      <c r="N323" s="62"/>
      <c r="O323" s="62"/>
      <c r="P323" s="62"/>
      <c r="Q323" s="62"/>
      <c r="R323" s="62"/>
      <c r="S323" s="62"/>
      <c r="T323" s="60"/>
    </row>
    <row r="324" spans="2:20" ht="18" customHeight="1" x14ac:dyDescent="0.25">
      <c r="B324" s="61"/>
      <c r="C324" s="214" t="s">
        <v>1273</v>
      </c>
      <c r="D324" s="215"/>
      <c r="E324" s="216"/>
      <c r="F324" s="62"/>
      <c r="G324" s="214" t="s">
        <v>1326</v>
      </c>
      <c r="H324" s="215"/>
      <c r="I324" s="216"/>
      <c r="J324" s="63"/>
      <c r="L324" s="61"/>
      <c r="M324" s="214" t="s">
        <v>1273</v>
      </c>
      <c r="N324" s="215"/>
      <c r="O324" s="216"/>
      <c r="P324" s="62"/>
      <c r="Q324" s="214" t="s">
        <v>1327</v>
      </c>
      <c r="R324" s="215"/>
      <c r="S324" s="216"/>
      <c r="T324" s="63"/>
    </row>
    <row r="325" spans="2:20" ht="6.95" customHeight="1" x14ac:dyDescent="0.25">
      <c r="B325" s="59"/>
      <c r="C325" s="62"/>
      <c r="D325" s="62"/>
      <c r="E325" s="62"/>
      <c r="F325" s="62"/>
      <c r="G325" s="62"/>
      <c r="H325" s="62"/>
      <c r="I325" s="62"/>
      <c r="J325" s="60"/>
      <c r="L325" s="59"/>
      <c r="M325" s="62"/>
      <c r="N325" s="62"/>
      <c r="O325" s="62"/>
      <c r="P325" s="62"/>
      <c r="Q325" s="62"/>
      <c r="R325" s="62"/>
      <c r="S325" s="62"/>
      <c r="T325" s="60"/>
    </row>
    <row r="326" spans="2:20" ht="18" customHeight="1" x14ac:dyDescent="0.25">
      <c r="B326" s="61"/>
      <c r="C326" s="214" t="s">
        <v>713</v>
      </c>
      <c r="D326" s="215"/>
      <c r="E326" s="216"/>
      <c r="F326" s="62"/>
      <c r="G326" s="220" t="s">
        <v>1293</v>
      </c>
      <c r="H326" s="220"/>
      <c r="I326" s="220"/>
      <c r="J326" s="63"/>
      <c r="L326" s="61"/>
      <c r="M326" s="214" t="s">
        <v>713</v>
      </c>
      <c r="N326" s="215"/>
      <c r="O326" s="216"/>
      <c r="P326" s="62"/>
      <c r="Q326" s="220" t="s">
        <v>1293</v>
      </c>
      <c r="R326" s="220"/>
      <c r="S326" s="220"/>
      <c r="T326" s="63"/>
    </row>
    <row r="327" spans="2:20" ht="7.5" customHeight="1" x14ac:dyDescent="0.25">
      <c r="B327" s="59"/>
      <c r="C327" s="128"/>
      <c r="D327" s="128"/>
      <c r="E327" s="128"/>
      <c r="F327" s="62"/>
      <c r="G327" s="128"/>
      <c r="H327" s="128"/>
      <c r="I327" s="128"/>
      <c r="J327" s="63"/>
      <c r="L327" s="59"/>
      <c r="M327" s="128"/>
      <c r="N327" s="128"/>
      <c r="O327" s="128"/>
      <c r="P327" s="62"/>
      <c r="Q327" s="128"/>
      <c r="R327" s="128"/>
      <c r="S327" s="128"/>
      <c r="T327" s="63"/>
    </row>
    <row r="328" spans="2:20" ht="18" customHeight="1" x14ac:dyDescent="0.25">
      <c r="B328" s="59"/>
      <c r="C328" s="220" t="s">
        <v>715</v>
      </c>
      <c r="D328" s="220"/>
      <c r="E328" s="220"/>
      <c r="F328" s="62"/>
      <c r="G328" s="220" t="s">
        <v>1288</v>
      </c>
      <c r="H328" s="220"/>
      <c r="I328" s="220"/>
      <c r="J328" s="63"/>
      <c r="L328" s="59"/>
      <c r="M328" s="220" t="s">
        <v>715</v>
      </c>
      <c r="N328" s="220"/>
      <c r="O328" s="220"/>
      <c r="P328" s="62"/>
      <c r="Q328" s="220" t="s">
        <v>1288</v>
      </c>
      <c r="R328" s="220"/>
      <c r="S328" s="220"/>
      <c r="T328" s="63"/>
    </row>
    <row r="329" spans="2:20" ht="7.5" customHeight="1" thickBot="1" x14ac:dyDescent="0.3">
      <c r="B329" s="64"/>
      <c r="C329" s="65"/>
      <c r="D329" s="65"/>
      <c r="E329" s="65"/>
      <c r="F329" s="65"/>
      <c r="G329" s="65"/>
      <c r="H329" s="65"/>
      <c r="I329" s="65"/>
      <c r="J329" s="66"/>
      <c r="L329" s="64"/>
      <c r="M329" s="65"/>
      <c r="N329" s="65"/>
      <c r="O329" s="65"/>
      <c r="P329" s="65"/>
      <c r="Q329" s="65"/>
      <c r="R329" s="65"/>
      <c r="S329" s="65"/>
      <c r="T329" s="66"/>
    </row>
    <row r="330" spans="2:20" ht="32.1" customHeight="1" thickTop="1" x14ac:dyDescent="0.25">
      <c r="B330" s="57"/>
      <c r="C330" s="58"/>
      <c r="D330" s="217" t="s">
        <v>697</v>
      </c>
      <c r="E330" s="218"/>
      <c r="F330" s="218"/>
      <c r="G330" s="218"/>
      <c r="H330" s="218"/>
      <c r="I330" s="218"/>
      <c r="J330" s="219"/>
      <c r="L330" s="57"/>
      <c r="M330" s="58"/>
      <c r="N330" s="217" t="s">
        <v>697</v>
      </c>
      <c r="O330" s="218"/>
      <c r="P330" s="218"/>
      <c r="Q330" s="218"/>
      <c r="R330" s="218"/>
      <c r="S330" s="218"/>
      <c r="T330" s="219"/>
    </row>
    <row r="331" spans="2:20" ht="6.95" customHeight="1" x14ac:dyDescent="0.25">
      <c r="B331" s="59"/>
      <c r="J331" s="60"/>
      <c r="L331" s="59"/>
      <c r="T331" s="60"/>
    </row>
    <row r="332" spans="2:20" ht="18" customHeight="1" x14ac:dyDescent="0.25">
      <c r="B332" s="61"/>
      <c r="C332" s="214" t="s">
        <v>698</v>
      </c>
      <c r="D332" s="215"/>
      <c r="E332" s="216"/>
      <c r="F332" s="62"/>
      <c r="G332" s="214" t="s">
        <v>178</v>
      </c>
      <c r="H332" s="215"/>
      <c r="I332" s="216"/>
      <c r="J332" s="63"/>
      <c r="L332" s="61"/>
      <c r="M332" s="214" t="s">
        <v>698</v>
      </c>
      <c r="N332" s="215"/>
      <c r="O332" s="216"/>
      <c r="P332" s="62"/>
      <c r="Q332" s="214" t="s">
        <v>179</v>
      </c>
      <c r="R332" s="215"/>
      <c r="S332" s="216"/>
      <c r="T332" s="63"/>
    </row>
    <row r="333" spans="2:20" ht="6.95" customHeight="1" x14ac:dyDescent="0.25">
      <c r="B333" s="59"/>
      <c r="C333" s="62"/>
      <c r="D333" s="62"/>
      <c r="E333" s="62"/>
      <c r="F333" s="62"/>
      <c r="G333" s="62"/>
      <c r="H333" s="62"/>
      <c r="I333" s="62"/>
      <c r="J333" s="60"/>
      <c r="L333" s="59"/>
      <c r="M333" s="62"/>
      <c r="N333" s="62"/>
      <c r="O333" s="62"/>
      <c r="P333" s="62"/>
      <c r="Q333" s="62"/>
      <c r="R333" s="62"/>
      <c r="S333" s="62"/>
      <c r="T333" s="60"/>
    </row>
    <row r="334" spans="2:20" ht="18" customHeight="1" x14ac:dyDescent="0.25">
      <c r="B334" s="61"/>
      <c r="C334" s="214" t="s">
        <v>699</v>
      </c>
      <c r="D334" s="215"/>
      <c r="E334" s="216"/>
      <c r="F334" s="62"/>
      <c r="G334" s="214" t="s">
        <v>1638</v>
      </c>
      <c r="H334" s="215"/>
      <c r="I334" s="216"/>
      <c r="J334" s="63"/>
      <c r="L334" s="61"/>
      <c r="M334" s="214" t="s">
        <v>699</v>
      </c>
      <c r="N334" s="215"/>
      <c r="O334" s="216"/>
      <c r="P334" s="62"/>
      <c r="Q334" s="214" t="s">
        <v>1638</v>
      </c>
      <c r="R334" s="215"/>
      <c r="S334" s="216"/>
      <c r="T334" s="63"/>
    </row>
    <row r="335" spans="2:20" ht="6.95" customHeight="1" x14ac:dyDescent="0.25">
      <c r="B335" s="59"/>
      <c r="C335" s="62"/>
      <c r="D335" s="62"/>
      <c r="E335" s="62"/>
      <c r="F335" s="62"/>
      <c r="G335" s="62"/>
      <c r="H335" s="62"/>
      <c r="I335" s="62"/>
      <c r="J335" s="60"/>
      <c r="L335" s="59"/>
      <c r="M335" s="62"/>
      <c r="N335" s="62"/>
      <c r="O335" s="62"/>
      <c r="P335" s="62"/>
      <c r="Q335" s="62"/>
      <c r="R335" s="62"/>
      <c r="S335" s="62"/>
      <c r="T335" s="60"/>
    </row>
    <row r="336" spans="2:20" ht="18" customHeight="1" x14ac:dyDescent="0.25">
      <c r="B336" s="61"/>
      <c r="C336" s="214" t="s">
        <v>701</v>
      </c>
      <c r="D336" s="215"/>
      <c r="E336" s="216"/>
      <c r="F336" s="62"/>
      <c r="G336" s="214" t="s">
        <v>757</v>
      </c>
      <c r="H336" s="215"/>
      <c r="I336" s="216"/>
      <c r="J336" s="63"/>
      <c r="L336" s="61"/>
      <c r="M336" s="214" t="s">
        <v>701</v>
      </c>
      <c r="N336" s="215"/>
      <c r="O336" s="216"/>
      <c r="P336" s="62"/>
      <c r="Q336" s="214" t="s">
        <v>758</v>
      </c>
      <c r="R336" s="215"/>
      <c r="S336" s="216"/>
      <c r="T336" s="63"/>
    </row>
    <row r="337" spans="2:20" ht="6.95" customHeight="1" x14ac:dyDescent="0.25">
      <c r="B337" s="59"/>
      <c r="C337" s="62"/>
      <c r="D337" s="62"/>
      <c r="E337" s="62"/>
      <c r="F337" s="62"/>
      <c r="G337" s="62"/>
      <c r="H337" s="62"/>
      <c r="I337" s="62"/>
      <c r="J337" s="60"/>
      <c r="L337" s="59"/>
      <c r="M337" s="62"/>
      <c r="N337" s="62"/>
      <c r="O337" s="62"/>
      <c r="P337" s="62"/>
      <c r="Q337" s="62"/>
      <c r="R337" s="62"/>
      <c r="S337" s="62"/>
      <c r="T337" s="60"/>
    </row>
    <row r="338" spans="2:20" ht="18" customHeight="1" x14ac:dyDescent="0.25">
      <c r="B338" s="61"/>
      <c r="C338" s="214" t="s">
        <v>705</v>
      </c>
      <c r="D338" s="215"/>
      <c r="E338" s="216"/>
      <c r="F338" s="62"/>
      <c r="G338" s="214" t="s">
        <v>735</v>
      </c>
      <c r="H338" s="215"/>
      <c r="I338" s="216"/>
      <c r="J338" s="63"/>
      <c r="L338" s="61"/>
      <c r="M338" s="214" t="s">
        <v>705</v>
      </c>
      <c r="N338" s="215"/>
      <c r="O338" s="216"/>
      <c r="P338" s="62"/>
      <c r="Q338" s="214" t="s">
        <v>721</v>
      </c>
      <c r="R338" s="215"/>
      <c r="S338" s="216"/>
      <c r="T338" s="63"/>
    </row>
    <row r="339" spans="2:20" ht="6.95" customHeight="1" x14ac:dyDescent="0.25">
      <c r="B339" s="59"/>
      <c r="C339" s="62"/>
      <c r="D339" s="62"/>
      <c r="E339" s="62"/>
      <c r="F339" s="62"/>
      <c r="G339" s="62"/>
      <c r="H339" s="62"/>
      <c r="I339" s="62"/>
      <c r="J339" s="60"/>
      <c r="L339" s="59"/>
      <c r="M339" s="62"/>
      <c r="N339" s="62"/>
      <c r="O339" s="62"/>
      <c r="P339" s="62"/>
      <c r="Q339" s="62"/>
      <c r="R339" s="62"/>
      <c r="S339" s="62"/>
      <c r="T339" s="60"/>
    </row>
    <row r="340" spans="2:20" ht="18" customHeight="1" x14ac:dyDescent="0.25">
      <c r="B340" s="61"/>
      <c r="C340" s="214" t="s">
        <v>708</v>
      </c>
      <c r="D340" s="215"/>
      <c r="E340" s="216"/>
      <c r="F340" s="62"/>
      <c r="G340" s="214" t="s">
        <v>736</v>
      </c>
      <c r="H340" s="215"/>
      <c r="I340" s="216"/>
      <c r="J340" s="63"/>
      <c r="L340" s="61"/>
      <c r="M340" s="214" t="s">
        <v>708</v>
      </c>
      <c r="N340" s="215"/>
      <c r="O340" s="216"/>
      <c r="P340" s="62"/>
      <c r="Q340" s="214" t="s">
        <v>722</v>
      </c>
      <c r="R340" s="215"/>
      <c r="S340" s="216"/>
      <c r="T340" s="63"/>
    </row>
    <row r="341" spans="2:20" ht="6.95" customHeight="1" x14ac:dyDescent="0.25">
      <c r="B341" s="59"/>
      <c r="C341" s="62"/>
      <c r="D341" s="62"/>
      <c r="E341" s="62"/>
      <c r="F341" s="62"/>
      <c r="G341" s="62"/>
      <c r="H341" s="62"/>
      <c r="I341" s="62"/>
      <c r="J341" s="60"/>
      <c r="L341" s="59"/>
      <c r="M341" s="62"/>
      <c r="N341" s="62"/>
      <c r="O341" s="62"/>
      <c r="P341" s="62"/>
      <c r="Q341" s="62"/>
      <c r="R341" s="62"/>
      <c r="S341" s="62"/>
      <c r="T341" s="60"/>
    </row>
    <row r="342" spans="2:20" ht="18" customHeight="1" x14ac:dyDescent="0.25">
      <c r="B342" s="61"/>
      <c r="C342" s="214" t="s">
        <v>711</v>
      </c>
      <c r="D342" s="215"/>
      <c r="E342" s="216"/>
      <c r="F342" s="62"/>
      <c r="G342" s="214" t="s">
        <v>712</v>
      </c>
      <c r="H342" s="215"/>
      <c r="I342" s="216"/>
      <c r="J342" s="63"/>
      <c r="L342" s="61"/>
      <c r="M342" s="214" t="s">
        <v>711</v>
      </c>
      <c r="N342" s="215"/>
      <c r="O342" s="216"/>
      <c r="P342" s="62"/>
      <c r="Q342" s="214" t="s">
        <v>712</v>
      </c>
      <c r="R342" s="215"/>
      <c r="S342" s="216"/>
      <c r="T342" s="63"/>
    </row>
    <row r="343" spans="2:20" ht="6.6" customHeight="1" x14ac:dyDescent="0.25">
      <c r="B343" s="59"/>
      <c r="C343" s="62"/>
      <c r="D343" s="62"/>
      <c r="E343" s="62"/>
      <c r="F343" s="62"/>
      <c r="G343" s="62"/>
      <c r="H343" s="62"/>
      <c r="I343" s="62"/>
      <c r="J343" s="60"/>
      <c r="L343" s="59"/>
      <c r="M343" s="62"/>
      <c r="N343" s="62"/>
      <c r="O343" s="62"/>
      <c r="P343" s="62"/>
      <c r="Q343" s="62"/>
      <c r="R343" s="62"/>
      <c r="S343" s="62"/>
      <c r="T343" s="60"/>
    </row>
    <row r="344" spans="2:20" ht="18" customHeight="1" x14ac:dyDescent="0.25">
      <c r="B344" s="61"/>
      <c r="C344" s="214" t="s">
        <v>1273</v>
      </c>
      <c r="D344" s="215"/>
      <c r="E344" s="216"/>
      <c r="F344" s="62"/>
      <c r="G344" s="214" t="s">
        <v>1328</v>
      </c>
      <c r="H344" s="215"/>
      <c r="I344" s="216"/>
      <c r="J344" s="63"/>
      <c r="L344" s="61"/>
      <c r="M344" s="214" t="s">
        <v>1273</v>
      </c>
      <c r="N344" s="215"/>
      <c r="O344" s="216"/>
      <c r="P344" s="62"/>
      <c r="Q344" s="214" t="s">
        <v>1329</v>
      </c>
      <c r="R344" s="215"/>
      <c r="S344" s="216"/>
      <c r="T344" s="63"/>
    </row>
    <row r="345" spans="2:20" ht="6.95" customHeight="1" x14ac:dyDescent="0.25">
      <c r="B345" s="59"/>
      <c r="C345" s="62"/>
      <c r="D345" s="62"/>
      <c r="E345" s="62"/>
      <c r="F345" s="62"/>
      <c r="G345" s="62"/>
      <c r="H345" s="62"/>
      <c r="I345" s="62"/>
      <c r="J345" s="60"/>
      <c r="L345" s="59"/>
      <c r="M345" s="62"/>
      <c r="N345" s="62"/>
      <c r="O345" s="62"/>
      <c r="P345" s="62"/>
      <c r="Q345" s="62"/>
      <c r="R345" s="62"/>
      <c r="S345" s="62"/>
      <c r="T345" s="60"/>
    </row>
    <row r="346" spans="2:20" ht="18" customHeight="1" x14ac:dyDescent="0.25">
      <c r="B346" s="61"/>
      <c r="C346" s="214" t="s">
        <v>713</v>
      </c>
      <c r="D346" s="215"/>
      <c r="E346" s="216"/>
      <c r="F346" s="62"/>
      <c r="G346" s="220" t="s">
        <v>1293</v>
      </c>
      <c r="H346" s="220"/>
      <c r="I346" s="220"/>
      <c r="J346" s="63"/>
      <c r="L346" s="61"/>
      <c r="M346" s="214" t="s">
        <v>713</v>
      </c>
      <c r="N346" s="215"/>
      <c r="O346" s="216"/>
      <c r="P346" s="62"/>
      <c r="Q346" s="220" t="s">
        <v>1293</v>
      </c>
      <c r="R346" s="220"/>
      <c r="S346" s="220"/>
      <c r="T346" s="63"/>
    </row>
    <row r="347" spans="2:20" ht="7.5" customHeight="1" x14ac:dyDescent="0.25">
      <c r="B347" s="59"/>
      <c r="C347" s="128"/>
      <c r="D347" s="128"/>
      <c r="E347" s="128"/>
      <c r="F347" s="62"/>
      <c r="G347" s="128"/>
      <c r="H347" s="128"/>
      <c r="I347" s="128"/>
      <c r="J347" s="63"/>
      <c r="L347" s="59"/>
      <c r="M347" s="128"/>
      <c r="N347" s="128"/>
      <c r="O347" s="128"/>
      <c r="P347" s="62"/>
      <c r="Q347" s="128"/>
      <c r="R347" s="128"/>
      <c r="S347" s="128"/>
      <c r="T347" s="63"/>
    </row>
    <row r="348" spans="2:20" ht="18" customHeight="1" x14ac:dyDescent="0.25">
      <c r="B348" s="59"/>
      <c r="C348" s="220" t="s">
        <v>715</v>
      </c>
      <c r="D348" s="220"/>
      <c r="E348" s="220"/>
      <c r="F348" s="62"/>
      <c r="G348" s="220" t="s">
        <v>1288</v>
      </c>
      <c r="H348" s="220"/>
      <c r="I348" s="220"/>
      <c r="J348" s="63"/>
      <c r="L348" s="59"/>
      <c r="M348" s="220" t="s">
        <v>715</v>
      </c>
      <c r="N348" s="220"/>
      <c r="O348" s="220"/>
      <c r="P348" s="62"/>
      <c r="Q348" s="220" t="s">
        <v>1288</v>
      </c>
      <c r="R348" s="220"/>
      <c r="S348" s="220"/>
      <c r="T348" s="63"/>
    </row>
    <row r="349" spans="2:20" ht="6.6" customHeight="1" thickBot="1" x14ac:dyDescent="0.3">
      <c r="B349" s="64"/>
      <c r="C349" s="65"/>
      <c r="D349" s="65"/>
      <c r="E349" s="65"/>
      <c r="F349" s="65"/>
      <c r="G349" s="65"/>
      <c r="H349" s="65"/>
      <c r="I349" s="65"/>
      <c r="J349" s="66"/>
      <c r="L349" s="64"/>
      <c r="M349" s="65"/>
      <c r="N349" s="65"/>
      <c r="O349" s="65"/>
      <c r="P349" s="65"/>
      <c r="Q349" s="65"/>
      <c r="R349" s="65"/>
      <c r="S349" s="65"/>
      <c r="T349" s="66"/>
    </row>
    <row r="350" spans="2:20" ht="32.1" customHeight="1" thickTop="1" x14ac:dyDescent="0.25">
      <c r="B350" s="57"/>
      <c r="C350" s="58"/>
      <c r="D350" s="217" t="s">
        <v>697</v>
      </c>
      <c r="E350" s="218"/>
      <c r="F350" s="218"/>
      <c r="G350" s="218"/>
      <c r="H350" s="218"/>
      <c r="I350" s="218"/>
      <c r="J350" s="219"/>
      <c r="L350" s="57"/>
      <c r="M350" s="58"/>
      <c r="N350" s="217" t="s">
        <v>697</v>
      </c>
      <c r="O350" s="218"/>
      <c r="P350" s="218"/>
      <c r="Q350" s="218"/>
      <c r="R350" s="218"/>
      <c r="S350" s="218"/>
      <c r="T350" s="219"/>
    </row>
    <row r="351" spans="2:20" ht="6.6" customHeight="1" x14ac:dyDescent="0.25">
      <c r="B351" s="59"/>
      <c r="J351" s="60"/>
      <c r="L351" s="59"/>
      <c r="T351" s="60"/>
    </row>
    <row r="352" spans="2:20" ht="18" customHeight="1" x14ac:dyDescent="0.25">
      <c r="B352" s="61"/>
      <c r="C352" s="214" t="s">
        <v>698</v>
      </c>
      <c r="D352" s="215"/>
      <c r="E352" s="216"/>
      <c r="F352" s="62"/>
      <c r="G352" s="214" t="s">
        <v>223</v>
      </c>
      <c r="H352" s="215"/>
      <c r="I352" s="216"/>
      <c r="J352" s="63"/>
      <c r="L352" s="61"/>
      <c r="M352" s="214" t="s">
        <v>698</v>
      </c>
      <c r="N352" s="215"/>
      <c r="O352" s="216"/>
      <c r="P352" s="62"/>
      <c r="Q352" s="214" t="s">
        <v>32</v>
      </c>
      <c r="R352" s="215"/>
      <c r="S352" s="216"/>
      <c r="T352" s="63"/>
    </row>
    <row r="353" spans="2:20" ht="6.6" customHeight="1" x14ac:dyDescent="0.25">
      <c r="B353" s="59"/>
      <c r="C353" s="62"/>
      <c r="D353" s="62"/>
      <c r="E353" s="62"/>
      <c r="F353" s="62"/>
      <c r="G353" s="62"/>
      <c r="H353" s="62"/>
      <c r="I353" s="62"/>
      <c r="J353" s="60"/>
      <c r="L353" s="59"/>
      <c r="M353" s="62"/>
      <c r="N353" s="62"/>
      <c r="O353" s="62"/>
      <c r="P353" s="62"/>
      <c r="Q353" s="62"/>
      <c r="R353" s="62"/>
      <c r="S353" s="62"/>
      <c r="T353" s="60"/>
    </row>
    <row r="354" spans="2:20" ht="18" customHeight="1" x14ac:dyDescent="0.25">
      <c r="B354" s="61"/>
      <c r="C354" s="214" t="s">
        <v>699</v>
      </c>
      <c r="D354" s="215"/>
      <c r="E354" s="216"/>
      <c r="F354" s="62"/>
      <c r="G354" s="214" t="s">
        <v>1638</v>
      </c>
      <c r="H354" s="215"/>
      <c r="I354" s="216"/>
      <c r="J354" s="63"/>
      <c r="L354" s="61"/>
      <c r="M354" s="214" t="s">
        <v>699</v>
      </c>
      <c r="N354" s="215"/>
      <c r="O354" s="216"/>
      <c r="P354" s="62"/>
      <c r="Q354" s="214" t="s">
        <v>1638</v>
      </c>
      <c r="R354" s="215"/>
      <c r="S354" s="216"/>
      <c r="T354" s="63"/>
    </row>
    <row r="355" spans="2:20" ht="6.6" customHeight="1" x14ac:dyDescent="0.25">
      <c r="B355" s="59"/>
      <c r="C355" s="62"/>
      <c r="D355" s="62"/>
      <c r="E355" s="62"/>
      <c r="F355" s="62"/>
      <c r="G355" s="62"/>
      <c r="H355" s="62"/>
      <c r="I355" s="62"/>
      <c r="J355" s="60"/>
      <c r="L355" s="59"/>
      <c r="M355" s="62"/>
      <c r="N355" s="62"/>
      <c r="O355" s="62"/>
      <c r="P355" s="62"/>
      <c r="Q355" s="62"/>
      <c r="R355" s="62"/>
      <c r="S355" s="62"/>
      <c r="T355" s="60"/>
    </row>
    <row r="356" spans="2:20" ht="18" customHeight="1" x14ac:dyDescent="0.25">
      <c r="B356" s="61"/>
      <c r="C356" s="214" t="s">
        <v>701</v>
      </c>
      <c r="D356" s="215"/>
      <c r="E356" s="216"/>
      <c r="F356" s="62"/>
      <c r="G356" s="214" t="s">
        <v>755</v>
      </c>
      <c r="H356" s="215"/>
      <c r="I356" s="216"/>
      <c r="J356" s="63"/>
      <c r="L356" s="61"/>
      <c r="M356" s="214" t="s">
        <v>701</v>
      </c>
      <c r="N356" s="215"/>
      <c r="O356" s="216"/>
      <c r="P356" s="62"/>
      <c r="Q356" s="214" t="s">
        <v>976</v>
      </c>
      <c r="R356" s="215"/>
      <c r="S356" s="216"/>
      <c r="T356" s="63"/>
    </row>
    <row r="357" spans="2:20" ht="6.6" customHeight="1" x14ac:dyDescent="0.25">
      <c r="B357" s="59"/>
      <c r="C357" s="62"/>
      <c r="D357" s="62"/>
      <c r="E357" s="62"/>
      <c r="F357" s="62"/>
      <c r="G357" s="62"/>
      <c r="H357" s="62"/>
      <c r="I357" s="62"/>
      <c r="J357" s="60"/>
      <c r="L357" s="59"/>
      <c r="M357" s="62"/>
      <c r="N357" s="62"/>
      <c r="O357" s="62"/>
      <c r="P357" s="62"/>
      <c r="Q357" s="62"/>
      <c r="R357" s="62"/>
      <c r="S357" s="62"/>
      <c r="T357" s="60"/>
    </row>
    <row r="358" spans="2:20" ht="18" customHeight="1" x14ac:dyDescent="0.25">
      <c r="B358" s="61"/>
      <c r="C358" s="214" t="s">
        <v>703</v>
      </c>
      <c r="D358" s="215"/>
      <c r="E358" s="216"/>
      <c r="F358" s="62"/>
      <c r="G358" s="214" t="s">
        <v>1330</v>
      </c>
      <c r="H358" s="215"/>
      <c r="I358" s="216"/>
      <c r="J358" s="63"/>
      <c r="L358" s="61"/>
      <c r="M358" s="214" t="s">
        <v>703</v>
      </c>
      <c r="N358" s="215"/>
      <c r="O358" s="216"/>
      <c r="P358" s="62"/>
      <c r="Q358" s="214" t="s">
        <v>109</v>
      </c>
      <c r="R358" s="215"/>
      <c r="S358" s="216"/>
      <c r="T358" s="63"/>
    </row>
    <row r="359" spans="2:20" ht="6.6" customHeight="1" x14ac:dyDescent="0.25">
      <c r="B359" s="59"/>
      <c r="C359" s="62"/>
      <c r="D359" s="62"/>
      <c r="E359" s="62"/>
      <c r="F359" s="62"/>
      <c r="G359" s="62"/>
      <c r="H359" s="62"/>
      <c r="I359" s="62"/>
      <c r="J359" s="60"/>
      <c r="L359" s="59"/>
      <c r="M359" s="62"/>
      <c r="N359" s="62"/>
      <c r="O359" s="62"/>
      <c r="P359" s="62"/>
      <c r="Q359" s="62"/>
      <c r="R359" s="62"/>
      <c r="S359" s="62"/>
      <c r="T359" s="60"/>
    </row>
    <row r="360" spans="2:20" ht="18" customHeight="1" x14ac:dyDescent="0.25">
      <c r="B360" s="61"/>
      <c r="C360" s="214" t="s">
        <v>705</v>
      </c>
      <c r="D360" s="215"/>
      <c r="E360" s="216"/>
      <c r="F360" s="62"/>
      <c r="G360" s="214" t="s">
        <v>1331</v>
      </c>
      <c r="H360" s="215"/>
      <c r="I360" s="216"/>
      <c r="J360" s="63"/>
      <c r="L360" s="61"/>
      <c r="M360" s="214" t="s">
        <v>705</v>
      </c>
      <c r="N360" s="215"/>
      <c r="O360" s="216"/>
      <c r="P360" s="62"/>
      <c r="Q360" s="214" t="s">
        <v>1332</v>
      </c>
      <c r="R360" s="215"/>
      <c r="S360" s="216"/>
      <c r="T360" s="63"/>
    </row>
    <row r="361" spans="2:20" ht="6.6" customHeight="1" x14ac:dyDescent="0.25">
      <c r="B361" s="59"/>
      <c r="C361" s="62"/>
      <c r="D361" s="62"/>
      <c r="E361" s="62"/>
      <c r="F361" s="62"/>
      <c r="G361" s="62"/>
      <c r="H361" s="62"/>
      <c r="I361" s="62"/>
      <c r="J361" s="60"/>
      <c r="L361" s="59"/>
      <c r="M361" s="62"/>
      <c r="N361" s="62"/>
      <c r="O361" s="62"/>
      <c r="P361" s="62"/>
      <c r="Q361" s="62"/>
      <c r="R361" s="62"/>
      <c r="S361" s="62"/>
      <c r="T361" s="60"/>
    </row>
    <row r="362" spans="2:20" ht="18" customHeight="1" x14ac:dyDescent="0.25">
      <c r="B362" s="61"/>
      <c r="C362" s="214" t="s">
        <v>708</v>
      </c>
      <c r="D362" s="215"/>
      <c r="E362" s="216"/>
      <c r="F362" s="62"/>
      <c r="G362" s="214" t="s">
        <v>736</v>
      </c>
      <c r="H362" s="215"/>
      <c r="I362" s="216"/>
      <c r="J362" s="63"/>
      <c r="L362" s="61"/>
      <c r="M362" s="214" t="s">
        <v>708</v>
      </c>
      <c r="N362" s="215"/>
      <c r="O362" s="216"/>
      <c r="P362" s="62"/>
      <c r="Q362" s="214" t="s">
        <v>727</v>
      </c>
      <c r="R362" s="215"/>
      <c r="S362" s="216"/>
      <c r="T362" s="63"/>
    </row>
    <row r="363" spans="2:20" ht="6.6" customHeight="1" x14ac:dyDescent="0.25">
      <c r="B363" s="59"/>
      <c r="C363" s="62"/>
      <c r="D363" s="62"/>
      <c r="E363" s="62"/>
      <c r="F363" s="62"/>
      <c r="G363" s="62"/>
      <c r="H363" s="62"/>
      <c r="I363" s="62"/>
      <c r="J363" s="60"/>
      <c r="L363" s="59"/>
      <c r="M363" s="62"/>
      <c r="N363" s="62"/>
      <c r="O363" s="62"/>
      <c r="P363" s="62"/>
      <c r="Q363" s="62"/>
      <c r="R363" s="62"/>
      <c r="S363" s="62"/>
      <c r="T363" s="60"/>
    </row>
    <row r="364" spans="2:20" ht="18" customHeight="1" x14ac:dyDescent="0.25">
      <c r="B364" s="61"/>
      <c r="C364" s="214" t="s">
        <v>711</v>
      </c>
      <c r="D364" s="215"/>
      <c r="E364" s="216"/>
      <c r="F364" s="62"/>
      <c r="G364" s="214" t="s">
        <v>712</v>
      </c>
      <c r="H364" s="215"/>
      <c r="I364" s="216"/>
      <c r="J364" s="63"/>
      <c r="L364" s="61"/>
      <c r="M364" s="214" t="s">
        <v>711</v>
      </c>
      <c r="N364" s="215"/>
      <c r="O364" s="216"/>
      <c r="P364" s="62"/>
      <c r="Q364" s="214" t="s">
        <v>712</v>
      </c>
      <c r="R364" s="215"/>
      <c r="S364" s="216"/>
      <c r="T364" s="63"/>
    </row>
    <row r="365" spans="2:20" ht="6.6" customHeight="1" x14ac:dyDescent="0.25">
      <c r="B365" s="59"/>
      <c r="C365" s="62"/>
      <c r="D365" s="62"/>
      <c r="E365" s="62"/>
      <c r="F365" s="62"/>
      <c r="G365" s="62"/>
      <c r="H365" s="62"/>
      <c r="I365" s="62"/>
      <c r="J365" s="60"/>
      <c r="L365" s="59"/>
      <c r="M365" s="62"/>
      <c r="N365" s="62"/>
      <c r="O365" s="62"/>
      <c r="P365" s="62"/>
      <c r="Q365" s="62"/>
      <c r="R365" s="62"/>
      <c r="S365" s="62"/>
      <c r="T365" s="60"/>
    </row>
    <row r="366" spans="2:20" ht="18" customHeight="1" x14ac:dyDescent="0.25">
      <c r="B366" s="61"/>
      <c r="C366" s="214" t="s">
        <v>1273</v>
      </c>
      <c r="D366" s="215"/>
      <c r="E366" s="216"/>
      <c r="F366" s="62"/>
      <c r="G366" s="214" t="s">
        <v>1333</v>
      </c>
      <c r="H366" s="215"/>
      <c r="I366" s="216"/>
      <c r="J366" s="63"/>
      <c r="L366" s="61"/>
      <c r="M366" s="214" t="s">
        <v>1273</v>
      </c>
      <c r="N366" s="215"/>
      <c r="O366" s="216"/>
      <c r="P366" s="62"/>
      <c r="Q366" s="214" t="s">
        <v>1334</v>
      </c>
      <c r="R366" s="215"/>
      <c r="S366" s="216"/>
      <c r="T366" s="63"/>
    </row>
    <row r="367" spans="2:20" ht="6.6" customHeight="1" x14ac:dyDescent="0.25">
      <c r="B367" s="59"/>
      <c r="C367" s="62"/>
      <c r="D367" s="62"/>
      <c r="E367" s="62"/>
      <c r="F367" s="62"/>
      <c r="G367" s="62"/>
      <c r="H367" s="62"/>
      <c r="I367" s="62"/>
      <c r="J367" s="60"/>
      <c r="L367" s="59"/>
      <c r="M367" s="62"/>
      <c r="N367" s="62"/>
      <c r="O367" s="62"/>
      <c r="P367" s="62"/>
      <c r="Q367" s="62"/>
      <c r="R367" s="62"/>
      <c r="S367" s="62"/>
      <c r="T367" s="60"/>
    </row>
    <row r="368" spans="2:20" ht="18" customHeight="1" x14ac:dyDescent="0.25">
      <c r="B368" s="61"/>
      <c r="C368" s="214" t="s">
        <v>713</v>
      </c>
      <c r="D368" s="215"/>
      <c r="E368" s="216"/>
      <c r="F368" s="62"/>
      <c r="G368" s="220" t="s">
        <v>1293</v>
      </c>
      <c r="H368" s="220"/>
      <c r="I368" s="220"/>
      <c r="J368" s="63"/>
      <c r="L368" s="61"/>
      <c r="M368" s="214" t="s">
        <v>713</v>
      </c>
      <c r="N368" s="215"/>
      <c r="O368" s="216"/>
      <c r="P368" s="62"/>
      <c r="Q368" s="220" t="s">
        <v>1293</v>
      </c>
      <c r="R368" s="220"/>
      <c r="S368" s="220"/>
      <c r="T368" s="63"/>
    </row>
    <row r="369" spans="2:20" ht="6.6" customHeight="1" x14ac:dyDescent="0.25">
      <c r="B369" s="59"/>
      <c r="C369" s="128"/>
      <c r="D369" s="128"/>
      <c r="E369" s="128"/>
      <c r="F369" s="62"/>
      <c r="G369" s="128"/>
      <c r="H369" s="128"/>
      <c r="I369" s="128"/>
      <c r="J369" s="63"/>
      <c r="L369" s="59"/>
      <c r="M369" s="128"/>
      <c r="N369" s="128"/>
      <c r="O369" s="128"/>
      <c r="P369" s="62"/>
      <c r="Q369" s="128"/>
      <c r="R369" s="128"/>
      <c r="S369" s="128"/>
      <c r="T369" s="63"/>
    </row>
    <row r="370" spans="2:20" x14ac:dyDescent="0.25">
      <c r="B370" s="59"/>
      <c r="C370" s="220" t="s">
        <v>715</v>
      </c>
      <c r="D370" s="220"/>
      <c r="E370" s="220"/>
      <c r="F370" s="62"/>
      <c r="G370" s="220" t="s">
        <v>1288</v>
      </c>
      <c r="H370" s="220"/>
      <c r="I370" s="220"/>
      <c r="J370" s="63"/>
      <c r="L370" s="59"/>
      <c r="M370" s="220" t="s">
        <v>715</v>
      </c>
      <c r="N370" s="220"/>
      <c r="O370" s="220"/>
      <c r="P370" s="62"/>
      <c r="Q370" s="220" t="s">
        <v>1288</v>
      </c>
      <c r="R370" s="220"/>
      <c r="S370" s="220"/>
      <c r="T370" s="63"/>
    </row>
    <row r="371" spans="2:20" ht="5.0999999999999996" customHeight="1" thickBot="1" x14ac:dyDescent="0.3">
      <c r="B371" s="64"/>
      <c r="C371" s="65"/>
      <c r="D371" s="65"/>
      <c r="E371" s="65"/>
      <c r="F371" s="65"/>
      <c r="G371" s="65"/>
      <c r="H371" s="65"/>
      <c r="I371" s="65"/>
      <c r="J371" s="66"/>
      <c r="L371" s="64"/>
      <c r="M371" s="65"/>
      <c r="N371" s="65"/>
      <c r="O371" s="65"/>
      <c r="P371" s="65"/>
      <c r="Q371" s="65"/>
      <c r="R371" s="65"/>
      <c r="S371" s="65"/>
      <c r="T371" s="66"/>
    </row>
    <row r="372" spans="2:20" ht="5.0999999999999996" customHeight="1" thickTop="1" thickBot="1" x14ac:dyDescent="0.3"/>
    <row r="373" spans="2:20" ht="32.1" customHeight="1" thickTop="1" x14ac:dyDescent="0.25">
      <c r="B373" s="57"/>
      <c r="C373" s="58"/>
      <c r="D373" s="217" t="s">
        <v>697</v>
      </c>
      <c r="E373" s="218"/>
      <c r="F373" s="218"/>
      <c r="G373" s="218"/>
      <c r="H373" s="218"/>
      <c r="I373" s="218"/>
      <c r="J373" s="219"/>
      <c r="L373" s="57"/>
      <c r="M373" s="58"/>
      <c r="N373" s="217" t="s">
        <v>697</v>
      </c>
      <c r="O373" s="218"/>
      <c r="P373" s="218"/>
      <c r="Q373" s="218"/>
      <c r="R373" s="218"/>
      <c r="S373" s="218"/>
      <c r="T373" s="219"/>
    </row>
    <row r="374" spans="2:20" ht="6.95" customHeight="1" x14ac:dyDescent="0.25">
      <c r="B374" s="59"/>
      <c r="J374" s="60"/>
      <c r="L374" s="59"/>
      <c r="T374" s="60"/>
    </row>
    <row r="375" spans="2:20" ht="18" customHeight="1" x14ac:dyDescent="0.25">
      <c r="B375" s="61"/>
      <c r="C375" s="214" t="s">
        <v>698</v>
      </c>
      <c r="D375" s="215"/>
      <c r="E375" s="216"/>
      <c r="F375" s="62"/>
      <c r="G375" s="214" t="s">
        <v>35</v>
      </c>
      <c r="H375" s="215"/>
      <c r="I375" s="216"/>
      <c r="J375" s="63"/>
      <c r="L375" s="61"/>
      <c r="M375" s="214" t="s">
        <v>698</v>
      </c>
      <c r="N375" s="215"/>
      <c r="O375" s="216"/>
      <c r="P375" s="62"/>
      <c r="Q375" s="214" t="s">
        <v>67</v>
      </c>
      <c r="R375" s="215"/>
      <c r="S375" s="216"/>
      <c r="T375" s="63"/>
    </row>
    <row r="376" spans="2:20" ht="6.95" customHeight="1" x14ac:dyDescent="0.25">
      <c r="B376" s="59"/>
      <c r="C376" s="62"/>
      <c r="D376" s="62"/>
      <c r="E376" s="62"/>
      <c r="F376" s="62"/>
      <c r="G376" s="62"/>
      <c r="H376" s="62"/>
      <c r="I376" s="62"/>
      <c r="J376" s="60"/>
      <c r="L376" s="59"/>
      <c r="M376" s="62"/>
      <c r="N376" s="62"/>
      <c r="O376" s="62"/>
      <c r="P376" s="62"/>
      <c r="Q376" s="62"/>
      <c r="R376" s="62"/>
      <c r="S376" s="62"/>
      <c r="T376" s="60"/>
    </row>
    <row r="377" spans="2:20" ht="18" customHeight="1" x14ac:dyDescent="0.25">
      <c r="B377" s="61"/>
      <c r="C377" s="214" t="s">
        <v>699</v>
      </c>
      <c r="D377" s="215"/>
      <c r="E377" s="216"/>
      <c r="F377" s="62"/>
      <c r="G377" s="214" t="s">
        <v>1638</v>
      </c>
      <c r="H377" s="215"/>
      <c r="I377" s="216"/>
      <c r="J377" s="63"/>
      <c r="L377" s="61"/>
      <c r="M377" s="214" t="s">
        <v>699</v>
      </c>
      <c r="N377" s="215"/>
      <c r="O377" s="216"/>
      <c r="P377" s="62"/>
      <c r="Q377" s="214" t="s">
        <v>1638</v>
      </c>
      <c r="R377" s="215"/>
      <c r="S377" s="216"/>
      <c r="T377" s="63"/>
    </row>
    <row r="378" spans="2:20" ht="6.95" customHeight="1" x14ac:dyDescent="0.25">
      <c r="B378" s="59"/>
      <c r="C378" s="62"/>
      <c r="D378" s="62"/>
      <c r="E378" s="62"/>
      <c r="F378" s="62"/>
      <c r="G378" s="62"/>
      <c r="H378" s="62"/>
      <c r="I378" s="62"/>
      <c r="J378" s="60"/>
      <c r="L378" s="59"/>
      <c r="M378" s="62"/>
      <c r="N378" s="62"/>
      <c r="O378" s="62"/>
      <c r="P378" s="62"/>
      <c r="Q378" s="62"/>
      <c r="R378" s="62"/>
      <c r="S378" s="62"/>
      <c r="T378" s="60"/>
    </row>
    <row r="379" spans="2:20" ht="18" customHeight="1" x14ac:dyDescent="0.25">
      <c r="B379" s="61"/>
      <c r="C379" s="214" t="s">
        <v>701</v>
      </c>
      <c r="D379" s="215"/>
      <c r="E379" s="216"/>
      <c r="F379" s="62"/>
      <c r="G379" s="214" t="s">
        <v>730</v>
      </c>
      <c r="H379" s="215"/>
      <c r="I379" s="216"/>
      <c r="J379" s="63"/>
      <c r="L379" s="61"/>
      <c r="M379" s="214" t="s">
        <v>701</v>
      </c>
      <c r="N379" s="215"/>
      <c r="O379" s="216"/>
      <c r="P379" s="62"/>
      <c r="Q379" s="214" t="s">
        <v>761</v>
      </c>
      <c r="R379" s="215"/>
      <c r="S379" s="216"/>
      <c r="T379" s="63"/>
    </row>
    <row r="380" spans="2:20" ht="6.95" customHeight="1" x14ac:dyDescent="0.25">
      <c r="B380" s="59"/>
      <c r="C380" s="62"/>
      <c r="D380" s="62"/>
      <c r="E380" s="62"/>
      <c r="F380" s="62"/>
      <c r="G380" s="62"/>
      <c r="H380" s="62"/>
      <c r="I380" s="62"/>
      <c r="J380" s="60"/>
      <c r="L380" s="59"/>
      <c r="M380" s="62"/>
      <c r="N380" s="62"/>
      <c r="O380" s="62"/>
      <c r="P380" s="62"/>
      <c r="Q380" s="62"/>
      <c r="R380" s="62"/>
      <c r="S380" s="62"/>
      <c r="T380" s="60"/>
    </row>
    <row r="381" spans="2:20" ht="18" customHeight="1" x14ac:dyDescent="0.25">
      <c r="B381" s="61"/>
      <c r="C381" s="214" t="s">
        <v>705</v>
      </c>
      <c r="D381" s="215"/>
      <c r="E381" s="216"/>
      <c r="F381" s="62"/>
      <c r="G381" s="214" t="s">
        <v>759</v>
      </c>
      <c r="H381" s="215"/>
      <c r="I381" s="216"/>
      <c r="J381" s="63"/>
      <c r="L381" s="61"/>
      <c r="M381" s="214" t="s">
        <v>705</v>
      </c>
      <c r="N381" s="215"/>
      <c r="O381" s="216"/>
      <c r="P381" s="62"/>
      <c r="Q381" s="214" t="s">
        <v>718</v>
      </c>
      <c r="R381" s="215"/>
      <c r="S381" s="216"/>
      <c r="T381" s="63"/>
    </row>
    <row r="382" spans="2:20" ht="6.95" customHeight="1" x14ac:dyDescent="0.25">
      <c r="B382" s="59"/>
      <c r="C382" s="62"/>
      <c r="D382" s="62"/>
      <c r="E382" s="62"/>
      <c r="F382" s="62"/>
      <c r="G382" s="62"/>
      <c r="H382" s="62"/>
      <c r="I382" s="62"/>
      <c r="J382" s="60"/>
      <c r="L382" s="59"/>
      <c r="M382" s="62"/>
      <c r="N382" s="62"/>
      <c r="O382" s="62"/>
      <c r="P382" s="62"/>
      <c r="Q382" s="62"/>
      <c r="R382" s="62"/>
      <c r="S382" s="62"/>
      <c r="T382" s="60"/>
    </row>
    <row r="383" spans="2:20" ht="18" customHeight="1" x14ac:dyDescent="0.25">
      <c r="B383" s="61"/>
      <c r="C383" s="214" t="s">
        <v>708</v>
      </c>
      <c r="D383" s="215"/>
      <c r="E383" s="216"/>
      <c r="F383" s="62"/>
      <c r="G383" s="214" t="s">
        <v>760</v>
      </c>
      <c r="H383" s="215"/>
      <c r="I383" s="216"/>
      <c r="J383" s="63"/>
      <c r="L383" s="61"/>
      <c r="M383" s="214" t="s">
        <v>708</v>
      </c>
      <c r="N383" s="215"/>
      <c r="O383" s="216"/>
      <c r="P383" s="62"/>
      <c r="Q383" s="214" t="s">
        <v>739</v>
      </c>
      <c r="R383" s="215"/>
      <c r="S383" s="216"/>
      <c r="T383" s="63"/>
    </row>
    <row r="384" spans="2:20" ht="6.95" customHeight="1" x14ac:dyDescent="0.25">
      <c r="B384" s="59"/>
      <c r="C384" s="62"/>
      <c r="D384" s="62"/>
      <c r="E384" s="62"/>
      <c r="F384" s="62"/>
      <c r="G384" s="62"/>
      <c r="H384" s="62"/>
      <c r="I384" s="62"/>
      <c r="J384" s="60"/>
      <c r="L384" s="59"/>
      <c r="M384" s="62"/>
      <c r="N384" s="62"/>
      <c r="O384" s="62"/>
      <c r="P384" s="62"/>
      <c r="Q384" s="62"/>
      <c r="R384" s="62"/>
      <c r="S384" s="62"/>
      <c r="T384" s="60"/>
    </row>
    <row r="385" spans="2:20" ht="18" customHeight="1" x14ac:dyDescent="0.25">
      <c r="B385" s="61"/>
      <c r="C385" s="214" t="s">
        <v>711</v>
      </c>
      <c r="D385" s="215"/>
      <c r="E385" s="216"/>
      <c r="F385" s="62"/>
      <c r="G385" s="214" t="s">
        <v>712</v>
      </c>
      <c r="H385" s="215"/>
      <c r="I385" s="216"/>
      <c r="J385" s="63"/>
      <c r="L385" s="61"/>
      <c r="M385" s="214" t="s">
        <v>711</v>
      </c>
      <c r="N385" s="215"/>
      <c r="O385" s="216"/>
      <c r="P385" s="62"/>
      <c r="Q385" s="214" t="s">
        <v>712</v>
      </c>
      <c r="R385" s="215"/>
      <c r="S385" s="216"/>
      <c r="T385" s="63"/>
    </row>
    <row r="386" spans="2:20" ht="6.95" customHeight="1" x14ac:dyDescent="0.25">
      <c r="B386" s="59"/>
      <c r="C386" s="62"/>
      <c r="D386" s="62"/>
      <c r="E386" s="62"/>
      <c r="F386" s="62"/>
      <c r="G386" s="62"/>
      <c r="H386" s="62"/>
      <c r="I386" s="62"/>
      <c r="J386" s="60"/>
      <c r="L386" s="59"/>
      <c r="M386" s="62"/>
      <c r="N386" s="62"/>
      <c r="O386" s="62"/>
      <c r="P386" s="62"/>
      <c r="Q386" s="62"/>
      <c r="R386" s="62"/>
      <c r="S386" s="62"/>
      <c r="T386" s="60"/>
    </row>
    <row r="387" spans="2:20" ht="18" customHeight="1" x14ac:dyDescent="0.25">
      <c r="B387" s="61"/>
      <c r="C387" s="214" t="s">
        <v>1273</v>
      </c>
      <c r="D387" s="215"/>
      <c r="E387" s="216"/>
      <c r="F387" s="62"/>
      <c r="G387" s="214" t="s">
        <v>1335</v>
      </c>
      <c r="H387" s="215"/>
      <c r="I387" s="216"/>
      <c r="J387" s="63"/>
      <c r="L387" s="61"/>
      <c r="M387" s="214" t="s">
        <v>1273</v>
      </c>
      <c r="N387" s="215"/>
      <c r="O387" s="216"/>
      <c r="P387" s="62"/>
      <c r="Q387" s="214" t="s">
        <v>1336</v>
      </c>
      <c r="R387" s="215"/>
      <c r="S387" s="216"/>
      <c r="T387" s="63"/>
    </row>
    <row r="388" spans="2:20" ht="6.6" customHeight="1" x14ac:dyDescent="0.25">
      <c r="B388" s="59"/>
      <c r="C388" s="62"/>
      <c r="D388" s="62"/>
      <c r="E388" s="62"/>
      <c r="F388" s="62"/>
      <c r="G388" s="62"/>
      <c r="H388" s="62"/>
      <c r="I388" s="62"/>
      <c r="J388" s="60"/>
      <c r="L388" s="59"/>
      <c r="M388" s="62"/>
      <c r="N388" s="62"/>
      <c r="O388" s="62"/>
      <c r="P388" s="62"/>
      <c r="Q388" s="62"/>
      <c r="R388" s="62"/>
      <c r="S388" s="62"/>
      <c r="T388" s="60"/>
    </row>
    <row r="389" spans="2:20" ht="18" customHeight="1" x14ac:dyDescent="0.25">
      <c r="B389" s="61"/>
      <c r="C389" s="214" t="s">
        <v>713</v>
      </c>
      <c r="D389" s="215"/>
      <c r="E389" s="216"/>
      <c r="F389" s="62"/>
      <c r="G389" s="220" t="s">
        <v>1293</v>
      </c>
      <c r="H389" s="220"/>
      <c r="I389" s="220"/>
      <c r="J389" s="63"/>
      <c r="L389" s="61"/>
      <c r="M389" s="214" t="s">
        <v>713</v>
      </c>
      <c r="N389" s="215"/>
      <c r="O389" s="216"/>
      <c r="P389" s="62"/>
      <c r="Q389" s="220" t="s">
        <v>1293</v>
      </c>
      <c r="R389" s="220"/>
      <c r="S389" s="220"/>
      <c r="T389" s="63"/>
    </row>
    <row r="390" spans="2:20" ht="6.95" customHeight="1" x14ac:dyDescent="0.25">
      <c r="B390" s="59"/>
      <c r="C390" s="128"/>
      <c r="D390" s="128"/>
      <c r="E390" s="128"/>
      <c r="F390" s="62"/>
      <c r="G390" s="128"/>
      <c r="H390" s="128"/>
      <c r="I390" s="128"/>
      <c r="J390" s="63"/>
      <c r="L390" s="59"/>
      <c r="M390" s="128"/>
      <c r="N390" s="128"/>
      <c r="O390" s="128"/>
      <c r="P390" s="62"/>
      <c r="Q390" s="128"/>
      <c r="R390" s="128"/>
      <c r="S390" s="128"/>
      <c r="T390" s="63"/>
    </row>
    <row r="391" spans="2:20" ht="18" customHeight="1" x14ac:dyDescent="0.25">
      <c r="B391" s="59"/>
      <c r="C391" s="220" t="s">
        <v>715</v>
      </c>
      <c r="D391" s="220"/>
      <c r="E391" s="220"/>
      <c r="F391" s="62"/>
      <c r="G391" s="220" t="s">
        <v>1288</v>
      </c>
      <c r="H391" s="220"/>
      <c r="I391" s="220"/>
      <c r="J391" s="63"/>
      <c r="L391" s="59"/>
      <c r="M391" s="220" t="s">
        <v>715</v>
      </c>
      <c r="N391" s="220"/>
      <c r="O391" s="220"/>
      <c r="P391" s="62"/>
      <c r="Q391" s="220" t="s">
        <v>1288</v>
      </c>
      <c r="R391" s="220"/>
      <c r="S391" s="220"/>
      <c r="T391" s="63"/>
    </row>
    <row r="392" spans="2:20" ht="6.6" customHeight="1" thickBot="1" x14ac:dyDescent="0.3">
      <c r="B392" s="64"/>
      <c r="C392" s="65"/>
      <c r="D392" s="65"/>
      <c r="E392" s="65"/>
      <c r="F392" s="65"/>
      <c r="G392" s="65"/>
      <c r="H392" s="65"/>
      <c r="I392" s="65"/>
      <c r="J392" s="66"/>
      <c r="L392" s="64"/>
      <c r="M392" s="65"/>
      <c r="N392" s="65"/>
      <c r="O392" s="65"/>
      <c r="P392" s="65"/>
      <c r="Q392" s="65"/>
      <c r="R392" s="65"/>
      <c r="S392" s="65"/>
      <c r="T392" s="66"/>
    </row>
    <row r="393" spans="2:20" ht="32.1" customHeight="1" thickTop="1" x14ac:dyDescent="0.25">
      <c r="B393" s="57"/>
      <c r="C393" s="58"/>
      <c r="D393" s="217" t="s">
        <v>697</v>
      </c>
      <c r="E393" s="218"/>
      <c r="F393" s="218"/>
      <c r="G393" s="218"/>
      <c r="H393" s="218"/>
      <c r="I393" s="218"/>
      <c r="J393" s="219"/>
      <c r="L393" s="57"/>
      <c r="M393" s="58"/>
      <c r="N393" s="217" t="s">
        <v>697</v>
      </c>
      <c r="O393" s="218"/>
      <c r="P393" s="218"/>
      <c r="Q393" s="218"/>
      <c r="R393" s="218"/>
      <c r="S393" s="218"/>
      <c r="T393" s="219"/>
    </row>
    <row r="394" spans="2:20" ht="5.0999999999999996" customHeight="1" x14ac:dyDescent="0.25">
      <c r="B394" s="59"/>
      <c r="J394" s="60"/>
      <c r="L394" s="59"/>
      <c r="T394" s="60"/>
    </row>
    <row r="395" spans="2:20" ht="18" customHeight="1" x14ac:dyDescent="0.25">
      <c r="B395" s="61"/>
      <c r="C395" s="214" t="s">
        <v>698</v>
      </c>
      <c r="D395" s="215"/>
      <c r="E395" s="216"/>
      <c r="F395" s="62"/>
      <c r="G395" s="214" t="s">
        <v>1337</v>
      </c>
      <c r="H395" s="215"/>
      <c r="I395" s="216"/>
      <c r="J395" s="63"/>
      <c r="L395" s="61"/>
      <c r="M395" s="214" t="s">
        <v>698</v>
      </c>
      <c r="N395" s="215"/>
      <c r="O395" s="216"/>
      <c r="P395" s="62"/>
      <c r="Q395" s="214" t="s">
        <v>1338</v>
      </c>
      <c r="R395" s="215"/>
      <c r="S395" s="216"/>
      <c r="T395" s="63"/>
    </row>
    <row r="396" spans="2:20" ht="6.95" customHeight="1" x14ac:dyDescent="0.25">
      <c r="B396" s="59"/>
      <c r="C396" s="62"/>
      <c r="D396" s="62"/>
      <c r="E396" s="62"/>
      <c r="F396" s="62"/>
      <c r="G396" s="62"/>
      <c r="H396" s="62"/>
      <c r="I396" s="62"/>
      <c r="J396" s="60"/>
      <c r="L396" s="59"/>
      <c r="M396" s="62"/>
      <c r="N396" s="62"/>
      <c r="O396" s="62"/>
      <c r="P396" s="62"/>
      <c r="Q396" s="62"/>
      <c r="R396" s="62"/>
      <c r="S396" s="62"/>
      <c r="T396" s="60"/>
    </row>
    <row r="397" spans="2:20" ht="18" customHeight="1" x14ac:dyDescent="0.25">
      <c r="B397" s="61"/>
      <c r="C397" s="214" t="s">
        <v>699</v>
      </c>
      <c r="D397" s="215"/>
      <c r="E397" s="216"/>
      <c r="F397" s="62"/>
      <c r="G397" s="214" t="s">
        <v>1638</v>
      </c>
      <c r="H397" s="215"/>
      <c r="I397" s="216"/>
      <c r="J397" s="63"/>
      <c r="L397" s="61"/>
      <c r="M397" s="214" t="s">
        <v>699</v>
      </c>
      <c r="N397" s="215"/>
      <c r="O397" s="216"/>
      <c r="P397" s="62"/>
      <c r="Q397" s="214" t="s">
        <v>1638</v>
      </c>
      <c r="R397" s="215"/>
      <c r="S397" s="216"/>
      <c r="T397" s="63"/>
    </row>
    <row r="398" spans="2:20" ht="6.95" customHeight="1" x14ac:dyDescent="0.25">
      <c r="B398" s="59"/>
      <c r="C398" s="62"/>
      <c r="D398" s="62"/>
      <c r="E398" s="62"/>
      <c r="F398" s="62"/>
      <c r="G398" s="62"/>
      <c r="H398" s="62"/>
      <c r="I398" s="62"/>
      <c r="J398" s="60"/>
      <c r="L398" s="59"/>
      <c r="M398" s="62"/>
      <c r="N398" s="62"/>
      <c r="O398" s="62"/>
      <c r="P398" s="62"/>
      <c r="Q398" s="62"/>
      <c r="R398" s="62"/>
      <c r="S398" s="62"/>
      <c r="T398" s="60"/>
    </row>
    <row r="399" spans="2:20" ht="18" customHeight="1" x14ac:dyDescent="0.25">
      <c r="B399" s="61"/>
      <c r="C399" s="214" t="s">
        <v>701</v>
      </c>
      <c r="D399" s="215"/>
      <c r="E399" s="216"/>
      <c r="F399" s="62"/>
      <c r="G399" s="214" t="s">
        <v>762</v>
      </c>
      <c r="H399" s="215"/>
      <c r="I399" s="216"/>
      <c r="J399" s="63"/>
      <c r="L399" s="61"/>
      <c r="M399" s="214" t="s">
        <v>701</v>
      </c>
      <c r="N399" s="215"/>
      <c r="O399" s="216"/>
      <c r="P399" s="62"/>
      <c r="Q399" s="214" t="s">
        <v>762</v>
      </c>
      <c r="R399" s="215"/>
      <c r="S399" s="216"/>
      <c r="T399" s="63"/>
    </row>
    <row r="400" spans="2:20" ht="6.95" customHeight="1" x14ac:dyDescent="0.25">
      <c r="B400" s="59"/>
      <c r="C400" s="62"/>
      <c r="D400" s="62"/>
      <c r="E400" s="62"/>
      <c r="F400" s="62"/>
      <c r="G400" s="62"/>
      <c r="H400" s="62"/>
      <c r="I400" s="62"/>
      <c r="J400" s="60"/>
      <c r="L400" s="59"/>
      <c r="M400" s="62"/>
      <c r="N400" s="62"/>
      <c r="O400" s="62"/>
      <c r="P400" s="62"/>
      <c r="Q400" s="62"/>
      <c r="R400" s="62"/>
      <c r="S400" s="62"/>
      <c r="T400" s="60"/>
    </row>
    <row r="401" spans="2:20" ht="18" customHeight="1" x14ac:dyDescent="0.25">
      <c r="B401" s="61"/>
      <c r="C401" s="214" t="s">
        <v>703</v>
      </c>
      <c r="D401" s="215"/>
      <c r="E401" s="216"/>
      <c r="F401" s="62"/>
      <c r="G401" s="214" t="s">
        <v>763</v>
      </c>
      <c r="H401" s="215"/>
      <c r="I401" s="216"/>
      <c r="J401" s="63"/>
      <c r="L401" s="61"/>
      <c r="M401" s="214" t="s">
        <v>703</v>
      </c>
      <c r="N401" s="215"/>
      <c r="O401" s="216"/>
      <c r="P401" s="62"/>
      <c r="Q401" s="214" t="s">
        <v>763</v>
      </c>
      <c r="R401" s="215"/>
      <c r="S401" s="216"/>
      <c r="T401" s="63"/>
    </row>
    <row r="402" spans="2:20" ht="6.95" customHeight="1" x14ac:dyDescent="0.25">
      <c r="B402" s="59"/>
      <c r="C402" s="62"/>
      <c r="D402" s="62"/>
      <c r="E402" s="62"/>
      <c r="F402" s="62"/>
      <c r="G402" s="62"/>
      <c r="H402" s="62"/>
      <c r="I402" s="62"/>
      <c r="J402" s="60"/>
      <c r="L402" s="59"/>
      <c r="M402" s="62"/>
      <c r="N402" s="62"/>
      <c r="O402" s="62"/>
      <c r="P402" s="62"/>
      <c r="Q402" s="62"/>
      <c r="R402" s="62"/>
      <c r="S402" s="62"/>
      <c r="T402" s="60"/>
    </row>
    <row r="403" spans="2:20" ht="18" customHeight="1" x14ac:dyDescent="0.25">
      <c r="B403" s="61"/>
      <c r="C403" s="214" t="s">
        <v>705</v>
      </c>
      <c r="D403" s="215"/>
      <c r="E403" s="216"/>
      <c r="F403" s="62"/>
      <c r="G403" s="214" t="s">
        <v>707</v>
      </c>
      <c r="H403" s="215"/>
      <c r="I403" s="216"/>
      <c r="J403" s="63"/>
      <c r="L403" s="61"/>
      <c r="M403" s="214" t="s">
        <v>705</v>
      </c>
      <c r="N403" s="215"/>
      <c r="O403" s="216"/>
      <c r="P403" s="62"/>
      <c r="Q403" s="214" t="s">
        <v>735</v>
      </c>
      <c r="R403" s="215"/>
      <c r="S403" s="216"/>
      <c r="T403" s="63"/>
    </row>
    <row r="404" spans="2:20" ht="6.95" customHeight="1" x14ac:dyDescent="0.25">
      <c r="B404" s="59"/>
      <c r="C404" s="62"/>
      <c r="D404" s="62"/>
      <c r="E404" s="62"/>
      <c r="F404" s="62"/>
      <c r="G404" s="62"/>
      <c r="H404" s="62"/>
      <c r="I404" s="62"/>
      <c r="J404" s="60"/>
      <c r="L404" s="59"/>
      <c r="M404" s="62"/>
      <c r="N404" s="62"/>
      <c r="O404" s="62"/>
      <c r="P404" s="62"/>
      <c r="Q404" s="62"/>
      <c r="R404" s="62"/>
      <c r="S404" s="62"/>
      <c r="T404" s="60"/>
    </row>
    <row r="405" spans="2:20" ht="18" customHeight="1" x14ac:dyDescent="0.25">
      <c r="B405" s="61"/>
      <c r="C405" s="214" t="s">
        <v>708</v>
      </c>
      <c r="D405" s="215"/>
      <c r="E405" s="216"/>
      <c r="F405" s="62"/>
      <c r="G405" s="214" t="s">
        <v>710</v>
      </c>
      <c r="H405" s="215"/>
      <c r="I405" s="216"/>
      <c r="J405" s="63"/>
      <c r="L405" s="61"/>
      <c r="M405" s="214" t="s">
        <v>708</v>
      </c>
      <c r="N405" s="215"/>
      <c r="O405" s="216"/>
      <c r="P405" s="62"/>
      <c r="Q405" s="214" t="s">
        <v>736</v>
      </c>
      <c r="R405" s="215"/>
      <c r="S405" s="216"/>
      <c r="T405" s="63"/>
    </row>
    <row r="406" spans="2:20" ht="6.95" customHeight="1" x14ac:dyDescent="0.25">
      <c r="B406" s="59"/>
      <c r="C406" s="62"/>
      <c r="D406" s="62"/>
      <c r="E406" s="62"/>
      <c r="F406" s="62"/>
      <c r="G406" s="62"/>
      <c r="H406" s="62"/>
      <c r="I406" s="62"/>
      <c r="J406" s="60"/>
      <c r="L406" s="59"/>
      <c r="M406" s="62"/>
      <c r="N406" s="62"/>
      <c r="O406" s="62"/>
      <c r="P406" s="62"/>
      <c r="Q406" s="62"/>
      <c r="R406" s="62"/>
      <c r="S406" s="62"/>
      <c r="T406" s="60"/>
    </row>
    <row r="407" spans="2:20" ht="18" customHeight="1" x14ac:dyDescent="0.25">
      <c r="B407" s="61"/>
      <c r="C407" s="214" t="s">
        <v>711</v>
      </c>
      <c r="D407" s="215"/>
      <c r="E407" s="216"/>
      <c r="F407" s="62"/>
      <c r="G407" s="214" t="s">
        <v>712</v>
      </c>
      <c r="H407" s="215"/>
      <c r="I407" s="216"/>
      <c r="J407" s="63"/>
      <c r="L407" s="61"/>
      <c r="M407" s="214" t="s">
        <v>711</v>
      </c>
      <c r="N407" s="215"/>
      <c r="O407" s="216"/>
      <c r="P407" s="62"/>
      <c r="Q407" s="214" t="s">
        <v>712</v>
      </c>
      <c r="R407" s="215"/>
      <c r="S407" s="216"/>
      <c r="T407" s="63"/>
    </row>
    <row r="408" spans="2:20" ht="6.95" customHeight="1" x14ac:dyDescent="0.25">
      <c r="B408" s="59"/>
      <c r="C408" s="62"/>
      <c r="D408" s="62"/>
      <c r="E408" s="62"/>
      <c r="F408" s="62"/>
      <c r="G408" s="62"/>
      <c r="H408" s="62"/>
      <c r="I408" s="62"/>
      <c r="J408" s="60"/>
      <c r="L408" s="59"/>
      <c r="M408" s="62"/>
      <c r="N408" s="62"/>
      <c r="O408" s="62"/>
      <c r="P408" s="62"/>
      <c r="Q408" s="62"/>
      <c r="R408" s="62"/>
      <c r="S408" s="62"/>
      <c r="T408" s="60"/>
    </row>
    <row r="409" spans="2:20" ht="18" customHeight="1" x14ac:dyDescent="0.25">
      <c r="B409" s="61"/>
      <c r="C409" s="214" t="s">
        <v>1273</v>
      </c>
      <c r="D409" s="215"/>
      <c r="E409" s="216"/>
      <c r="F409" s="62"/>
      <c r="G409" s="214" t="s">
        <v>1339</v>
      </c>
      <c r="H409" s="215"/>
      <c r="I409" s="216"/>
      <c r="J409" s="63"/>
      <c r="L409" s="61"/>
      <c r="M409" s="214" t="s">
        <v>1273</v>
      </c>
      <c r="N409" s="215"/>
      <c r="O409" s="216"/>
      <c r="P409" s="62"/>
      <c r="Q409" s="214" t="s">
        <v>1340</v>
      </c>
      <c r="R409" s="215"/>
      <c r="S409" s="216"/>
      <c r="T409" s="63"/>
    </row>
    <row r="410" spans="2:20" ht="6.6" customHeight="1" x14ac:dyDescent="0.25">
      <c r="B410" s="59"/>
      <c r="C410" s="62"/>
      <c r="D410" s="62"/>
      <c r="E410" s="62"/>
      <c r="F410" s="62"/>
      <c r="G410" s="62"/>
      <c r="H410" s="62"/>
      <c r="I410" s="62"/>
      <c r="J410" s="60"/>
      <c r="L410" s="59"/>
      <c r="M410" s="62"/>
      <c r="N410" s="62"/>
      <c r="O410" s="62"/>
      <c r="P410" s="62"/>
      <c r="Q410" s="62"/>
      <c r="R410" s="62"/>
      <c r="S410" s="62"/>
      <c r="T410" s="60"/>
    </row>
    <row r="411" spans="2:20" ht="18" customHeight="1" x14ac:dyDescent="0.25">
      <c r="B411" s="61"/>
      <c r="C411" s="214" t="s">
        <v>713</v>
      </c>
      <c r="D411" s="215"/>
      <c r="E411" s="216"/>
      <c r="F411" s="62"/>
      <c r="G411" s="220" t="s">
        <v>1293</v>
      </c>
      <c r="H411" s="220"/>
      <c r="I411" s="220"/>
      <c r="J411" s="63"/>
      <c r="L411" s="61"/>
      <c r="M411" s="214" t="s">
        <v>713</v>
      </c>
      <c r="N411" s="215"/>
      <c r="O411" s="216"/>
      <c r="P411" s="62"/>
      <c r="Q411" s="220" t="s">
        <v>1293</v>
      </c>
      <c r="R411" s="220"/>
      <c r="S411" s="220"/>
      <c r="T411" s="63"/>
    </row>
    <row r="412" spans="2:20" ht="6.95" customHeight="1" x14ac:dyDescent="0.25">
      <c r="B412" s="59"/>
      <c r="C412" s="128"/>
      <c r="D412" s="128"/>
      <c r="E412" s="128"/>
      <c r="F412" s="62"/>
      <c r="G412" s="128"/>
      <c r="H412" s="128"/>
      <c r="I412" s="128"/>
      <c r="J412" s="63"/>
      <c r="L412" s="59"/>
      <c r="M412" s="128"/>
      <c r="N412" s="128"/>
      <c r="O412" s="128"/>
      <c r="P412" s="62"/>
      <c r="Q412" s="128"/>
      <c r="R412" s="128"/>
      <c r="S412" s="128"/>
      <c r="T412" s="63"/>
    </row>
    <row r="413" spans="2:20" ht="18" customHeight="1" x14ac:dyDescent="0.25">
      <c r="B413" s="59"/>
      <c r="C413" s="220" t="s">
        <v>715</v>
      </c>
      <c r="D413" s="220"/>
      <c r="E413" s="220"/>
      <c r="F413" s="62"/>
      <c r="G413" s="220" t="s">
        <v>1288</v>
      </c>
      <c r="H413" s="220"/>
      <c r="I413" s="220"/>
      <c r="J413" s="63"/>
      <c r="L413" s="59"/>
      <c r="M413" s="220" t="s">
        <v>715</v>
      </c>
      <c r="N413" s="220"/>
      <c r="O413" s="220"/>
      <c r="P413" s="62"/>
      <c r="Q413" s="220" t="s">
        <v>1288</v>
      </c>
      <c r="R413" s="220"/>
      <c r="S413" s="220"/>
      <c r="T413" s="63"/>
    </row>
    <row r="414" spans="2:20" ht="6.6" customHeight="1" thickBot="1" x14ac:dyDescent="0.3">
      <c r="B414" s="64"/>
      <c r="C414" s="65"/>
      <c r="D414" s="65"/>
      <c r="E414" s="65"/>
      <c r="F414" s="65"/>
      <c r="G414" s="65"/>
      <c r="H414" s="65"/>
      <c r="I414" s="65"/>
      <c r="J414" s="66"/>
      <c r="L414" s="64"/>
      <c r="M414" s="65"/>
      <c r="N414" s="65"/>
      <c r="O414" s="65"/>
      <c r="P414" s="65"/>
      <c r="Q414" s="65"/>
      <c r="R414" s="65"/>
      <c r="S414" s="65"/>
      <c r="T414" s="66"/>
    </row>
    <row r="415" spans="2:20" ht="32.1" customHeight="1" thickTop="1" x14ac:dyDescent="0.25">
      <c r="B415" s="57"/>
      <c r="C415" s="58"/>
      <c r="D415" s="217" t="s">
        <v>697</v>
      </c>
      <c r="E415" s="218"/>
      <c r="F415" s="218"/>
      <c r="G415" s="218"/>
      <c r="H415" s="218"/>
      <c r="I415" s="218"/>
      <c r="J415" s="219"/>
      <c r="L415" s="57"/>
      <c r="M415" s="58"/>
      <c r="N415" s="217" t="s">
        <v>697</v>
      </c>
      <c r="O415" s="218"/>
      <c r="P415" s="218"/>
      <c r="Q415" s="218"/>
      <c r="R415" s="218"/>
      <c r="S415" s="218"/>
      <c r="T415" s="219"/>
    </row>
    <row r="416" spans="2:20" ht="18" customHeight="1" x14ac:dyDescent="0.25">
      <c r="B416" s="61"/>
      <c r="C416" s="214" t="s">
        <v>698</v>
      </c>
      <c r="D416" s="215"/>
      <c r="E416" s="216"/>
      <c r="F416" s="62"/>
      <c r="G416" s="214" t="s">
        <v>202</v>
      </c>
      <c r="H416" s="215"/>
      <c r="I416" s="216"/>
      <c r="J416" s="63"/>
      <c r="L416" s="61"/>
      <c r="M416" s="214" t="s">
        <v>698</v>
      </c>
      <c r="N416" s="215"/>
      <c r="O416" s="216"/>
      <c r="P416" s="62"/>
      <c r="Q416" s="214" t="s">
        <v>204</v>
      </c>
      <c r="R416" s="215"/>
      <c r="S416" s="216"/>
      <c r="T416" s="63"/>
    </row>
    <row r="417" spans="2:20" ht="6.95" customHeight="1" x14ac:dyDescent="0.25">
      <c r="B417" s="59"/>
      <c r="C417" s="62"/>
      <c r="D417" s="62"/>
      <c r="E417" s="62"/>
      <c r="F417" s="62"/>
      <c r="G417" s="62"/>
      <c r="H417" s="62"/>
      <c r="I417" s="62"/>
      <c r="J417" s="60"/>
      <c r="L417" s="59"/>
      <c r="M417" s="62"/>
      <c r="N417" s="62"/>
      <c r="O417" s="62"/>
      <c r="P417" s="62"/>
      <c r="Q417" s="62"/>
      <c r="R417" s="62"/>
      <c r="S417" s="62"/>
      <c r="T417" s="60"/>
    </row>
    <row r="418" spans="2:20" ht="18" customHeight="1" x14ac:dyDescent="0.25">
      <c r="B418" s="61"/>
      <c r="C418" s="214" t="s">
        <v>699</v>
      </c>
      <c r="D418" s="215"/>
      <c r="E418" s="216"/>
      <c r="F418" s="62"/>
      <c r="G418" s="214" t="s">
        <v>1638</v>
      </c>
      <c r="H418" s="215"/>
      <c r="I418" s="216"/>
      <c r="J418" s="63"/>
      <c r="L418" s="61"/>
      <c r="M418" s="214" t="s">
        <v>699</v>
      </c>
      <c r="N418" s="215"/>
      <c r="O418" s="216"/>
      <c r="P418" s="62"/>
      <c r="Q418" s="214" t="s">
        <v>1639</v>
      </c>
      <c r="R418" s="215"/>
      <c r="S418" s="216"/>
      <c r="T418" s="63"/>
    </row>
    <row r="419" spans="2:20" ht="6.95" customHeight="1" x14ac:dyDescent="0.25">
      <c r="B419" s="59"/>
      <c r="C419" s="62"/>
      <c r="D419" s="62"/>
      <c r="E419" s="62"/>
      <c r="F419" s="62"/>
      <c r="G419" s="62"/>
      <c r="H419" s="62"/>
      <c r="I419" s="62"/>
      <c r="J419" s="60"/>
      <c r="L419" s="59"/>
      <c r="M419" s="62"/>
      <c r="N419" s="62"/>
      <c r="O419" s="62"/>
      <c r="P419" s="62"/>
      <c r="Q419" s="62"/>
      <c r="R419" s="62"/>
      <c r="S419" s="62"/>
      <c r="T419" s="60"/>
    </row>
    <row r="420" spans="2:20" ht="18" customHeight="1" x14ac:dyDescent="0.25">
      <c r="B420" s="61"/>
      <c r="C420" s="214" t="s">
        <v>701</v>
      </c>
      <c r="D420" s="215"/>
      <c r="E420" s="216"/>
      <c r="F420" s="62"/>
      <c r="G420" s="214" t="s">
        <v>975</v>
      </c>
      <c r="H420" s="215"/>
      <c r="I420" s="216"/>
      <c r="J420" s="63"/>
      <c r="L420" s="61"/>
      <c r="M420" s="214" t="s">
        <v>701</v>
      </c>
      <c r="N420" s="215"/>
      <c r="O420" s="216"/>
      <c r="P420" s="62"/>
      <c r="Q420" s="214" t="s">
        <v>975</v>
      </c>
      <c r="R420" s="215"/>
      <c r="S420" s="216"/>
      <c r="T420" s="63"/>
    </row>
    <row r="421" spans="2:20" ht="6.95" customHeight="1" x14ac:dyDescent="0.25">
      <c r="B421" s="59"/>
      <c r="C421" s="62"/>
      <c r="D421" s="62"/>
      <c r="E421" s="62"/>
      <c r="F421" s="62"/>
      <c r="G421" s="62"/>
      <c r="H421" s="62"/>
      <c r="I421" s="62"/>
      <c r="J421" s="60"/>
      <c r="L421" s="59"/>
      <c r="M421" s="62"/>
      <c r="N421" s="62"/>
      <c r="O421" s="62"/>
      <c r="P421" s="62"/>
      <c r="Q421" s="62"/>
      <c r="R421" s="62"/>
      <c r="S421" s="62"/>
      <c r="T421" s="60"/>
    </row>
    <row r="422" spans="2:20" ht="18" customHeight="1" x14ac:dyDescent="0.25">
      <c r="B422" s="61"/>
      <c r="C422" s="214" t="s">
        <v>703</v>
      </c>
      <c r="D422" s="215"/>
      <c r="E422" s="216"/>
      <c r="F422" s="62"/>
      <c r="G422" s="214" t="s">
        <v>109</v>
      </c>
      <c r="H422" s="215"/>
      <c r="I422" s="216"/>
      <c r="J422" s="63"/>
      <c r="L422" s="61"/>
      <c r="M422" s="214" t="s">
        <v>703</v>
      </c>
      <c r="N422" s="215"/>
      <c r="O422" s="216"/>
      <c r="P422" s="62"/>
      <c r="Q422" s="214" t="s">
        <v>109</v>
      </c>
      <c r="R422" s="215"/>
      <c r="S422" s="216"/>
      <c r="T422" s="63"/>
    </row>
    <row r="423" spans="2:20" ht="6.95" customHeight="1" x14ac:dyDescent="0.25">
      <c r="B423" s="59"/>
      <c r="C423" s="62"/>
      <c r="D423" s="62"/>
      <c r="E423" s="62"/>
      <c r="F423" s="62"/>
      <c r="G423" s="62"/>
      <c r="H423" s="62"/>
      <c r="I423" s="62"/>
      <c r="J423" s="60"/>
      <c r="L423" s="59"/>
      <c r="M423" s="62"/>
      <c r="N423" s="62"/>
      <c r="O423" s="62"/>
      <c r="P423" s="62"/>
      <c r="Q423" s="62"/>
      <c r="R423" s="62"/>
      <c r="S423" s="62"/>
      <c r="T423" s="60"/>
    </row>
    <row r="424" spans="2:20" ht="18" customHeight="1" x14ac:dyDescent="0.25">
      <c r="B424" s="61"/>
      <c r="C424" s="214" t="s">
        <v>705</v>
      </c>
      <c r="D424" s="215"/>
      <c r="E424" s="216"/>
      <c r="F424" s="62"/>
      <c r="G424" s="214" t="s">
        <v>109</v>
      </c>
      <c r="H424" s="215"/>
      <c r="I424" s="216"/>
      <c r="J424" s="63"/>
      <c r="L424" s="61"/>
      <c r="M424" s="214" t="s">
        <v>705</v>
      </c>
      <c r="N424" s="215"/>
      <c r="O424" s="216"/>
      <c r="P424" s="62"/>
      <c r="Q424" s="214" t="s">
        <v>109</v>
      </c>
      <c r="R424" s="215"/>
      <c r="S424" s="216"/>
      <c r="T424" s="63"/>
    </row>
    <row r="425" spans="2:20" ht="6.95" customHeight="1" x14ac:dyDescent="0.25">
      <c r="B425" s="59"/>
      <c r="C425" s="62"/>
      <c r="D425" s="62"/>
      <c r="E425" s="62"/>
      <c r="F425" s="62"/>
      <c r="G425" s="62"/>
      <c r="H425" s="62"/>
      <c r="I425" s="62"/>
      <c r="J425" s="60"/>
      <c r="L425" s="59"/>
      <c r="M425" s="62"/>
      <c r="N425" s="62"/>
      <c r="O425" s="62"/>
      <c r="P425" s="62"/>
      <c r="Q425" s="62"/>
      <c r="R425" s="62"/>
      <c r="S425" s="62"/>
      <c r="T425" s="60"/>
    </row>
    <row r="426" spans="2:20" ht="18" customHeight="1" x14ac:dyDescent="0.25">
      <c r="B426" s="61"/>
      <c r="C426" s="214" t="s">
        <v>708</v>
      </c>
      <c r="D426" s="215"/>
      <c r="E426" s="216"/>
      <c r="F426" s="62"/>
      <c r="G426" s="214" t="s">
        <v>109</v>
      </c>
      <c r="H426" s="215"/>
      <c r="I426" s="216"/>
      <c r="J426" s="63"/>
      <c r="L426" s="61"/>
      <c r="M426" s="214" t="s">
        <v>708</v>
      </c>
      <c r="N426" s="215"/>
      <c r="O426" s="216"/>
      <c r="P426" s="62"/>
      <c r="Q426" s="214" t="s">
        <v>109</v>
      </c>
      <c r="R426" s="215"/>
      <c r="S426" s="216"/>
      <c r="T426" s="63"/>
    </row>
    <row r="427" spans="2:20" ht="6.95" customHeight="1" x14ac:dyDescent="0.25">
      <c r="B427" s="59"/>
      <c r="C427" s="62"/>
      <c r="D427" s="62"/>
      <c r="E427" s="62"/>
      <c r="F427" s="62"/>
      <c r="G427" s="62"/>
      <c r="H427" s="62"/>
      <c r="I427" s="62"/>
      <c r="J427" s="60"/>
      <c r="L427" s="59"/>
      <c r="M427" s="62"/>
      <c r="N427" s="62"/>
      <c r="O427" s="62"/>
      <c r="P427" s="62"/>
      <c r="Q427" s="62"/>
      <c r="R427" s="62"/>
      <c r="S427" s="62"/>
      <c r="T427" s="60"/>
    </row>
    <row r="428" spans="2:20" ht="18" customHeight="1" x14ac:dyDescent="0.25">
      <c r="B428" s="61"/>
      <c r="C428" s="214" t="s">
        <v>711</v>
      </c>
      <c r="D428" s="215"/>
      <c r="E428" s="216"/>
      <c r="F428" s="62"/>
      <c r="G428" s="214" t="s">
        <v>712</v>
      </c>
      <c r="H428" s="215"/>
      <c r="I428" s="216"/>
      <c r="J428" s="63"/>
      <c r="L428" s="61"/>
      <c r="M428" s="214" t="s">
        <v>711</v>
      </c>
      <c r="N428" s="215"/>
      <c r="O428" s="216"/>
      <c r="P428" s="62"/>
      <c r="Q428" s="214" t="s">
        <v>712</v>
      </c>
      <c r="R428" s="215"/>
      <c r="S428" s="216"/>
      <c r="T428" s="63"/>
    </row>
    <row r="429" spans="2:20" ht="6.95" customHeight="1" x14ac:dyDescent="0.25">
      <c r="B429" s="59"/>
      <c r="C429" s="62"/>
      <c r="D429" s="62"/>
      <c r="E429" s="62"/>
      <c r="F429" s="62"/>
      <c r="G429" s="62"/>
      <c r="H429" s="62"/>
      <c r="I429" s="62"/>
      <c r="J429" s="60"/>
      <c r="L429" s="59"/>
      <c r="M429" s="62"/>
      <c r="N429" s="62"/>
      <c r="O429" s="62"/>
      <c r="P429" s="62"/>
      <c r="Q429" s="62"/>
      <c r="R429" s="62"/>
      <c r="S429" s="62"/>
      <c r="T429" s="60"/>
    </row>
    <row r="430" spans="2:20" ht="18" customHeight="1" x14ac:dyDescent="0.25">
      <c r="B430" s="61"/>
      <c r="C430" s="214" t="s">
        <v>1273</v>
      </c>
      <c r="D430" s="215"/>
      <c r="E430" s="216"/>
      <c r="F430" s="62"/>
      <c r="G430" s="214" t="s">
        <v>1341</v>
      </c>
      <c r="H430" s="215"/>
      <c r="I430" s="216"/>
      <c r="J430" s="63"/>
      <c r="L430" s="61"/>
      <c r="M430" s="214" t="s">
        <v>1273</v>
      </c>
      <c r="N430" s="215"/>
      <c r="O430" s="216"/>
      <c r="P430" s="62"/>
      <c r="Q430" s="214" t="s">
        <v>1342</v>
      </c>
      <c r="R430" s="215"/>
      <c r="S430" s="216"/>
      <c r="T430" s="63"/>
    </row>
    <row r="431" spans="2:20" ht="6.6" customHeight="1" x14ac:dyDescent="0.25">
      <c r="B431" s="59"/>
      <c r="C431" s="62"/>
      <c r="D431" s="62"/>
      <c r="E431" s="62"/>
      <c r="F431" s="62"/>
      <c r="G431" s="62"/>
      <c r="H431" s="62"/>
      <c r="I431" s="62"/>
      <c r="J431" s="60"/>
      <c r="L431" s="59"/>
      <c r="M431" s="62"/>
      <c r="N431" s="62"/>
      <c r="O431" s="62"/>
      <c r="P431" s="62"/>
      <c r="Q431" s="62"/>
      <c r="R431" s="62"/>
      <c r="S431" s="62"/>
      <c r="T431" s="60"/>
    </row>
    <row r="432" spans="2:20" ht="18" customHeight="1" x14ac:dyDescent="0.25">
      <c r="B432" s="61"/>
      <c r="C432" s="214" t="s">
        <v>713</v>
      </c>
      <c r="D432" s="215"/>
      <c r="E432" s="216"/>
      <c r="F432" s="62"/>
      <c r="G432" s="220" t="s">
        <v>1293</v>
      </c>
      <c r="H432" s="220"/>
      <c r="I432" s="220"/>
      <c r="J432" s="63"/>
      <c r="L432" s="61"/>
      <c r="M432" s="214" t="s">
        <v>713</v>
      </c>
      <c r="N432" s="215"/>
      <c r="O432" s="216"/>
      <c r="P432" s="62"/>
      <c r="Q432" s="220" t="s">
        <v>1293</v>
      </c>
      <c r="R432" s="220"/>
      <c r="S432" s="220"/>
      <c r="T432" s="63"/>
    </row>
    <row r="433" spans="2:20" ht="6.95" customHeight="1" x14ac:dyDescent="0.25">
      <c r="B433" s="59"/>
      <c r="C433" s="128"/>
      <c r="D433" s="128"/>
      <c r="E433" s="128"/>
      <c r="F433" s="62"/>
      <c r="G433" s="128"/>
      <c r="H433" s="128"/>
      <c r="I433" s="128"/>
      <c r="J433" s="63"/>
      <c r="L433" s="59"/>
      <c r="M433" s="128"/>
      <c r="N433" s="128"/>
      <c r="O433" s="128"/>
      <c r="P433" s="62"/>
      <c r="Q433" s="128"/>
      <c r="R433" s="128"/>
      <c r="S433" s="128"/>
      <c r="T433" s="63"/>
    </row>
    <row r="434" spans="2:20" ht="18" customHeight="1" x14ac:dyDescent="0.25">
      <c r="B434" s="59"/>
      <c r="C434" s="220" t="s">
        <v>715</v>
      </c>
      <c r="D434" s="220"/>
      <c r="E434" s="220"/>
      <c r="F434" s="62"/>
      <c r="G434" s="220" t="s">
        <v>1288</v>
      </c>
      <c r="H434" s="220"/>
      <c r="I434" s="220"/>
      <c r="J434" s="63"/>
      <c r="L434" s="59"/>
      <c r="M434" s="220" t="s">
        <v>715</v>
      </c>
      <c r="N434" s="220"/>
      <c r="O434" s="220"/>
      <c r="P434" s="62"/>
      <c r="Q434" s="220" t="s">
        <v>1288</v>
      </c>
      <c r="R434" s="220"/>
      <c r="S434" s="220"/>
      <c r="T434" s="63"/>
    </row>
    <row r="435" spans="2:20" ht="6.6" customHeight="1" thickBot="1" x14ac:dyDescent="0.3">
      <c r="B435" s="64"/>
      <c r="C435" s="65"/>
      <c r="D435" s="65"/>
      <c r="E435" s="65"/>
      <c r="F435" s="65"/>
      <c r="G435" s="65"/>
      <c r="H435" s="65"/>
      <c r="I435" s="65"/>
      <c r="J435" s="66"/>
      <c r="L435" s="64"/>
      <c r="M435" s="65"/>
      <c r="N435" s="65"/>
      <c r="O435" s="65"/>
      <c r="P435" s="65"/>
      <c r="Q435" s="65"/>
      <c r="R435" s="65"/>
      <c r="S435" s="65"/>
      <c r="T435" s="66"/>
    </row>
    <row r="436" spans="2:20" ht="32.1" customHeight="1" thickTop="1" x14ac:dyDescent="0.25">
      <c r="B436" s="57"/>
      <c r="C436" s="58"/>
      <c r="D436" s="217" t="s">
        <v>697</v>
      </c>
      <c r="E436" s="218"/>
      <c r="F436" s="218"/>
      <c r="G436" s="218"/>
      <c r="H436" s="218"/>
      <c r="I436" s="218"/>
      <c r="J436" s="219"/>
      <c r="L436" s="57"/>
      <c r="M436" s="58"/>
      <c r="N436" s="217" t="s">
        <v>697</v>
      </c>
      <c r="O436" s="218"/>
      <c r="P436" s="218"/>
      <c r="Q436" s="218"/>
      <c r="R436" s="218"/>
      <c r="S436" s="218"/>
      <c r="T436" s="219"/>
    </row>
    <row r="437" spans="2:20" ht="5.0999999999999996" customHeight="1" x14ac:dyDescent="0.25">
      <c r="B437" s="59"/>
      <c r="J437" s="60"/>
      <c r="L437" s="59"/>
      <c r="T437" s="60"/>
    </row>
    <row r="438" spans="2:20" ht="18" customHeight="1" x14ac:dyDescent="0.25">
      <c r="B438" s="61"/>
      <c r="C438" s="214" t="s">
        <v>698</v>
      </c>
      <c r="D438" s="215"/>
      <c r="E438" s="216"/>
      <c r="F438" s="62"/>
      <c r="G438" s="214" t="s">
        <v>1343</v>
      </c>
      <c r="H438" s="215"/>
      <c r="I438" s="216"/>
      <c r="J438" s="63"/>
      <c r="L438" s="61"/>
      <c r="M438" s="214" t="s">
        <v>698</v>
      </c>
      <c r="N438" s="215"/>
      <c r="O438" s="216"/>
      <c r="P438" s="62"/>
      <c r="Q438" s="214" t="s">
        <v>1344</v>
      </c>
      <c r="R438" s="215"/>
      <c r="S438" s="216"/>
      <c r="T438" s="63"/>
    </row>
    <row r="439" spans="2:20" ht="6.95" customHeight="1" x14ac:dyDescent="0.25">
      <c r="B439" s="59"/>
      <c r="C439" s="62"/>
      <c r="D439" s="62"/>
      <c r="E439" s="62"/>
      <c r="F439" s="62"/>
      <c r="G439" s="62"/>
      <c r="H439" s="62"/>
      <c r="I439" s="62"/>
      <c r="J439" s="60"/>
      <c r="L439" s="59"/>
      <c r="M439" s="62"/>
      <c r="N439" s="62"/>
      <c r="O439" s="62"/>
      <c r="P439" s="62"/>
      <c r="Q439" s="62"/>
      <c r="R439" s="62"/>
      <c r="S439" s="62"/>
      <c r="T439" s="60"/>
    </row>
    <row r="440" spans="2:20" ht="18" customHeight="1" x14ac:dyDescent="0.25">
      <c r="B440" s="61"/>
      <c r="C440" s="214" t="s">
        <v>699</v>
      </c>
      <c r="D440" s="215"/>
      <c r="E440" s="216"/>
      <c r="F440" s="62"/>
      <c r="G440" s="214" t="s">
        <v>1639</v>
      </c>
      <c r="H440" s="215"/>
      <c r="I440" s="216"/>
      <c r="J440" s="63"/>
      <c r="L440" s="61"/>
      <c r="M440" s="214" t="s">
        <v>699</v>
      </c>
      <c r="N440" s="215"/>
      <c r="O440" s="216"/>
      <c r="P440" s="62"/>
      <c r="Q440" s="214" t="s">
        <v>1639</v>
      </c>
      <c r="R440" s="215"/>
      <c r="S440" s="216"/>
      <c r="T440" s="63"/>
    </row>
    <row r="441" spans="2:20" ht="6.95" customHeight="1" x14ac:dyDescent="0.25">
      <c r="B441" s="59"/>
      <c r="C441" s="62"/>
      <c r="D441" s="62"/>
      <c r="E441" s="62"/>
      <c r="F441" s="62"/>
      <c r="G441" s="62"/>
      <c r="H441" s="62"/>
      <c r="I441" s="62"/>
      <c r="J441" s="60"/>
      <c r="L441" s="59"/>
      <c r="M441" s="62"/>
      <c r="N441" s="62"/>
      <c r="O441" s="62"/>
      <c r="P441" s="62"/>
      <c r="Q441" s="62"/>
      <c r="R441" s="62"/>
      <c r="S441" s="62"/>
      <c r="T441" s="60"/>
    </row>
    <row r="442" spans="2:20" ht="18" customHeight="1" x14ac:dyDescent="0.25">
      <c r="B442" s="61"/>
      <c r="C442" s="214" t="s">
        <v>701</v>
      </c>
      <c r="D442" s="215"/>
      <c r="E442" s="216"/>
      <c r="F442" s="62"/>
      <c r="G442" s="214" t="s">
        <v>986</v>
      </c>
      <c r="H442" s="215"/>
      <c r="I442" s="216"/>
      <c r="J442" s="63"/>
      <c r="L442" s="61"/>
      <c r="M442" s="214" t="s">
        <v>701</v>
      </c>
      <c r="N442" s="215"/>
      <c r="O442" s="216"/>
      <c r="P442" s="62"/>
      <c r="Q442" s="214" t="s">
        <v>986</v>
      </c>
      <c r="R442" s="215"/>
      <c r="S442" s="216"/>
      <c r="T442" s="63"/>
    </row>
    <row r="443" spans="2:20" ht="6.95" customHeight="1" x14ac:dyDescent="0.25">
      <c r="B443" s="59"/>
      <c r="C443" s="62"/>
      <c r="D443" s="62"/>
      <c r="E443" s="62"/>
      <c r="F443" s="62"/>
      <c r="G443" s="62"/>
      <c r="H443" s="62"/>
      <c r="I443" s="62"/>
      <c r="J443" s="60"/>
      <c r="L443" s="59"/>
      <c r="M443" s="62"/>
      <c r="N443" s="62"/>
      <c r="O443" s="62"/>
      <c r="P443" s="62"/>
      <c r="Q443" s="62"/>
      <c r="R443" s="62"/>
      <c r="S443" s="62"/>
      <c r="T443" s="60"/>
    </row>
    <row r="444" spans="2:20" ht="18" customHeight="1" x14ac:dyDescent="0.25">
      <c r="B444" s="61"/>
      <c r="C444" s="214" t="s">
        <v>703</v>
      </c>
      <c r="D444" s="215"/>
      <c r="E444" s="216"/>
      <c r="F444" s="62"/>
      <c r="G444" s="214" t="s">
        <v>109</v>
      </c>
      <c r="H444" s="215"/>
      <c r="I444" s="216"/>
      <c r="J444" s="63"/>
      <c r="L444" s="61"/>
      <c r="M444" s="214" t="s">
        <v>703</v>
      </c>
      <c r="N444" s="215"/>
      <c r="O444" s="216"/>
      <c r="P444" s="62"/>
      <c r="Q444" s="214" t="s">
        <v>109</v>
      </c>
      <c r="R444" s="215"/>
      <c r="S444" s="216"/>
      <c r="T444" s="63"/>
    </row>
    <row r="445" spans="2:20" ht="6.95" customHeight="1" x14ac:dyDescent="0.25">
      <c r="B445" s="59"/>
      <c r="C445" s="62"/>
      <c r="D445" s="62"/>
      <c r="E445" s="62"/>
      <c r="F445" s="62"/>
      <c r="G445" s="62"/>
      <c r="H445" s="62"/>
      <c r="I445" s="62"/>
      <c r="J445" s="60"/>
      <c r="L445" s="59"/>
      <c r="M445" s="62"/>
      <c r="N445" s="62"/>
      <c r="O445" s="62"/>
      <c r="P445" s="62"/>
      <c r="Q445" s="62"/>
      <c r="R445" s="62"/>
      <c r="S445" s="62"/>
      <c r="T445" s="60"/>
    </row>
    <row r="446" spans="2:20" ht="18" customHeight="1" x14ac:dyDescent="0.25">
      <c r="B446" s="61"/>
      <c r="C446" s="214" t="s">
        <v>705</v>
      </c>
      <c r="D446" s="215"/>
      <c r="E446" s="216"/>
      <c r="F446" s="62"/>
      <c r="G446" s="214" t="s">
        <v>109</v>
      </c>
      <c r="H446" s="215"/>
      <c r="I446" s="216"/>
      <c r="J446" s="63"/>
      <c r="L446" s="61"/>
      <c r="M446" s="214" t="s">
        <v>705</v>
      </c>
      <c r="N446" s="215"/>
      <c r="O446" s="216"/>
      <c r="P446" s="62"/>
      <c r="Q446" s="214" t="s">
        <v>109</v>
      </c>
      <c r="R446" s="215"/>
      <c r="S446" s="216"/>
      <c r="T446" s="63"/>
    </row>
    <row r="447" spans="2:20" ht="6.95" customHeight="1" x14ac:dyDescent="0.25">
      <c r="B447" s="59"/>
      <c r="C447" s="62"/>
      <c r="D447" s="62"/>
      <c r="E447" s="62"/>
      <c r="F447" s="62"/>
      <c r="G447" s="62"/>
      <c r="H447" s="62"/>
      <c r="I447" s="62"/>
      <c r="J447" s="60"/>
      <c r="L447" s="59"/>
      <c r="M447" s="62"/>
      <c r="N447" s="62"/>
      <c r="O447" s="62"/>
      <c r="P447" s="62"/>
      <c r="Q447" s="62"/>
      <c r="R447" s="62"/>
      <c r="S447" s="62"/>
      <c r="T447" s="60"/>
    </row>
    <row r="448" spans="2:20" ht="18" customHeight="1" x14ac:dyDescent="0.25">
      <c r="B448" s="61"/>
      <c r="C448" s="214" t="s">
        <v>708</v>
      </c>
      <c r="D448" s="215"/>
      <c r="E448" s="216"/>
      <c r="F448" s="62"/>
      <c r="G448" s="214" t="s">
        <v>109</v>
      </c>
      <c r="H448" s="215"/>
      <c r="I448" s="216"/>
      <c r="J448" s="63"/>
      <c r="L448" s="61"/>
      <c r="M448" s="214" t="s">
        <v>708</v>
      </c>
      <c r="N448" s="215"/>
      <c r="O448" s="216"/>
      <c r="P448" s="62"/>
      <c r="Q448" s="214" t="s">
        <v>109</v>
      </c>
      <c r="R448" s="215"/>
      <c r="S448" s="216"/>
      <c r="T448" s="63"/>
    </row>
    <row r="449" spans="2:20" ht="6.95" customHeight="1" x14ac:dyDescent="0.25">
      <c r="B449" s="59"/>
      <c r="C449" s="62"/>
      <c r="D449" s="62"/>
      <c r="E449" s="62"/>
      <c r="F449" s="62"/>
      <c r="G449" s="62"/>
      <c r="H449" s="62"/>
      <c r="I449" s="62"/>
      <c r="J449" s="60"/>
      <c r="L449" s="59"/>
      <c r="M449" s="62"/>
      <c r="N449" s="62"/>
      <c r="O449" s="62"/>
      <c r="P449" s="62"/>
      <c r="Q449" s="62"/>
      <c r="R449" s="62"/>
      <c r="S449" s="62"/>
      <c r="T449" s="60"/>
    </row>
    <row r="450" spans="2:20" ht="18" customHeight="1" x14ac:dyDescent="0.25">
      <c r="B450" s="61"/>
      <c r="C450" s="214" t="s">
        <v>711</v>
      </c>
      <c r="D450" s="215"/>
      <c r="E450" s="216"/>
      <c r="F450" s="62"/>
      <c r="G450" s="214" t="s">
        <v>712</v>
      </c>
      <c r="H450" s="215"/>
      <c r="I450" s="216"/>
      <c r="J450" s="63"/>
      <c r="L450" s="61"/>
      <c r="M450" s="214" t="s">
        <v>711</v>
      </c>
      <c r="N450" s="215"/>
      <c r="O450" s="216"/>
      <c r="P450" s="62"/>
      <c r="Q450" s="214" t="s">
        <v>712</v>
      </c>
      <c r="R450" s="215"/>
      <c r="S450" s="216"/>
      <c r="T450" s="63"/>
    </row>
    <row r="451" spans="2:20" ht="6.95" customHeight="1" x14ac:dyDescent="0.25">
      <c r="B451" s="59"/>
      <c r="C451" s="62"/>
      <c r="D451" s="62"/>
      <c r="E451" s="62"/>
      <c r="F451" s="62"/>
      <c r="G451" s="62"/>
      <c r="H451" s="62"/>
      <c r="I451" s="62"/>
      <c r="J451" s="60"/>
      <c r="L451" s="59"/>
      <c r="M451" s="62"/>
      <c r="N451" s="62"/>
      <c r="O451" s="62"/>
      <c r="P451" s="62"/>
      <c r="Q451" s="62"/>
      <c r="R451" s="62"/>
      <c r="S451" s="62"/>
      <c r="T451" s="60"/>
    </row>
    <row r="452" spans="2:20" ht="18" customHeight="1" x14ac:dyDescent="0.25">
      <c r="B452" s="61"/>
      <c r="C452" s="214" t="s">
        <v>1273</v>
      </c>
      <c r="D452" s="215"/>
      <c r="E452" s="216"/>
      <c r="F452" s="62"/>
      <c r="G452" s="214" t="s">
        <v>1345</v>
      </c>
      <c r="H452" s="215"/>
      <c r="I452" s="216"/>
      <c r="J452" s="63"/>
      <c r="L452" s="61"/>
      <c r="M452" s="214" t="s">
        <v>1273</v>
      </c>
      <c r="N452" s="215"/>
      <c r="O452" s="216"/>
      <c r="P452" s="62"/>
      <c r="Q452" s="214" t="s">
        <v>1346</v>
      </c>
      <c r="R452" s="215"/>
      <c r="S452" s="216"/>
      <c r="T452" s="63"/>
    </row>
    <row r="453" spans="2:20" ht="6.6" customHeight="1" x14ac:dyDescent="0.25">
      <c r="B453" s="59"/>
      <c r="C453" s="62"/>
      <c r="D453" s="62"/>
      <c r="E453" s="62"/>
      <c r="F453" s="62"/>
      <c r="G453" s="62"/>
      <c r="H453" s="62"/>
      <c r="I453" s="62"/>
      <c r="J453" s="60"/>
      <c r="L453" s="59"/>
      <c r="M453" s="62"/>
      <c r="N453" s="62"/>
      <c r="O453" s="62"/>
      <c r="P453" s="62"/>
      <c r="Q453" s="62"/>
      <c r="R453" s="62"/>
      <c r="S453" s="62"/>
      <c r="T453" s="60"/>
    </row>
    <row r="454" spans="2:20" ht="18" customHeight="1" x14ac:dyDescent="0.25">
      <c r="B454" s="61"/>
      <c r="C454" s="214" t="s">
        <v>713</v>
      </c>
      <c r="D454" s="215"/>
      <c r="E454" s="216"/>
      <c r="F454" s="62"/>
      <c r="G454" s="220" t="s">
        <v>1293</v>
      </c>
      <c r="H454" s="220"/>
      <c r="I454" s="220"/>
      <c r="J454" s="63"/>
      <c r="L454" s="61"/>
      <c r="M454" s="214" t="s">
        <v>713</v>
      </c>
      <c r="N454" s="215"/>
      <c r="O454" s="216"/>
      <c r="P454" s="62"/>
      <c r="Q454" s="220" t="s">
        <v>1293</v>
      </c>
      <c r="R454" s="220"/>
      <c r="S454" s="220"/>
      <c r="T454" s="63"/>
    </row>
    <row r="455" spans="2:20" ht="6.95" customHeight="1" x14ac:dyDescent="0.25">
      <c r="B455" s="59"/>
      <c r="C455" s="128"/>
      <c r="D455" s="128"/>
      <c r="E455" s="128"/>
      <c r="F455" s="62"/>
      <c r="G455" s="128"/>
      <c r="H455" s="128"/>
      <c r="I455" s="128"/>
      <c r="J455" s="63"/>
      <c r="L455" s="59"/>
      <c r="M455" s="128"/>
      <c r="N455" s="128"/>
      <c r="O455" s="128"/>
      <c r="P455" s="62"/>
      <c r="Q455" s="128"/>
      <c r="R455" s="128"/>
      <c r="S455" s="128"/>
      <c r="T455" s="63"/>
    </row>
    <row r="456" spans="2:20" ht="18" customHeight="1" x14ac:dyDescent="0.25">
      <c r="B456" s="59"/>
      <c r="C456" s="220" t="s">
        <v>715</v>
      </c>
      <c r="D456" s="220"/>
      <c r="E456" s="220"/>
      <c r="F456" s="62"/>
      <c r="G456" s="220" t="s">
        <v>1288</v>
      </c>
      <c r="H456" s="220"/>
      <c r="I456" s="220"/>
      <c r="J456" s="63"/>
      <c r="L456" s="59"/>
      <c r="M456" s="220" t="s">
        <v>715</v>
      </c>
      <c r="N456" s="220"/>
      <c r="O456" s="220"/>
      <c r="P456" s="62"/>
      <c r="Q456" s="220" t="s">
        <v>1288</v>
      </c>
      <c r="R456" s="220"/>
      <c r="S456" s="220"/>
      <c r="T456" s="63"/>
    </row>
    <row r="457" spans="2:20" ht="6.6" customHeight="1" thickBot="1" x14ac:dyDescent="0.3">
      <c r="B457" s="64"/>
      <c r="C457" s="65"/>
      <c r="D457" s="65"/>
      <c r="E457" s="65"/>
      <c r="F457" s="65"/>
      <c r="G457" s="65"/>
      <c r="H457" s="65"/>
      <c r="I457" s="65"/>
      <c r="J457" s="66"/>
      <c r="L457" s="64"/>
      <c r="M457" s="65"/>
      <c r="N457" s="65"/>
      <c r="O457" s="65"/>
      <c r="P457" s="65"/>
      <c r="Q457" s="65"/>
      <c r="R457" s="65"/>
      <c r="S457" s="65"/>
      <c r="T457" s="66"/>
    </row>
    <row r="458" spans="2:20" ht="32.1" customHeight="1" thickTop="1" x14ac:dyDescent="0.25">
      <c r="B458" s="57"/>
      <c r="C458" s="58"/>
      <c r="D458" s="217" t="s">
        <v>697</v>
      </c>
      <c r="E458" s="218"/>
      <c r="F458" s="218"/>
      <c r="G458" s="218"/>
      <c r="H458" s="218"/>
      <c r="I458" s="218"/>
      <c r="J458" s="219"/>
      <c r="L458" s="57"/>
      <c r="M458" s="58"/>
      <c r="N458" s="217" t="s">
        <v>697</v>
      </c>
      <c r="O458" s="218"/>
      <c r="P458" s="218"/>
      <c r="Q458" s="218"/>
      <c r="R458" s="218"/>
      <c r="S458" s="218"/>
      <c r="T458" s="219"/>
    </row>
    <row r="459" spans="2:20" ht="5.0999999999999996" customHeight="1" x14ac:dyDescent="0.25">
      <c r="B459" s="59"/>
      <c r="J459" s="60"/>
      <c r="L459" s="59"/>
      <c r="T459" s="60"/>
    </row>
    <row r="460" spans="2:20" ht="18" customHeight="1" x14ac:dyDescent="0.25">
      <c r="B460" s="61"/>
      <c r="C460" s="214" t="s">
        <v>698</v>
      </c>
      <c r="D460" s="215"/>
      <c r="E460" s="216"/>
      <c r="F460" s="62"/>
      <c r="G460" s="214" t="s">
        <v>1347</v>
      </c>
      <c r="H460" s="215"/>
      <c r="I460" s="216"/>
      <c r="J460" s="63"/>
      <c r="L460" s="61"/>
      <c r="M460" s="214" t="s">
        <v>698</v>
      </c>
      <c r="N460" s="215"/>
      <c r="O460" s="216"/>
      <c r="P460" s="62"/>
      <c r="Q460" s="214" t="s">
        <v>1348</v>
      </c>
      <c r="R460" s="215"/>
      <c r="S460" s="216"/>
      <c r="T460" s="63"/>
    </row>
    <row r="461" spans="2:20" ht="6.95" customHeight="1" x14ac:dyDescent="0.25">
      <c r="B461" s="59"/>
      <c r="C461" s="62"/>
      <c r="D461" s="62"/>
      <c r="E461" s="62"/>
      <c r="F461" s="62"/>
      <c r="G461" s="62"/>
      <c r="H461" s="62"/>
      <c r="I461" s="62"/>
      <c r="J461" s="60"/>
      <c r="L461" s="59"/>
      <c r="M461" s="62"/>
      <c r="N461" s="62"/>
      <c r="O461" s="62"/>
      <c r="P461" s="62"/>
      <c r="Q461" s="62"/>
      <c r="R461" s="62"/>
      <c r="S461" s="62"/>
      <c r="T461" s="60"/>
    </row>
    <row r="462" spans="2:20" ht="18" customHeight="1" x14ac:dyDescent="0.25">
      <c r="B462" s="61"/>
      <c r="C462" s="214" t="s">
        <v>699</v>
      </c>
      <c r="D462" s="215"/>
      <c r="E462" s="216"/>
      <c r="F462" s="62"/>
      <c r="G462" s="214" t="s">
        <v>1639</v>
      </c>
      <c r="H462" s="215"/>
      <c r="I462" s="216"/>
      <c r="J462" s="63"/>
      <c r="L462" s="61"/>
      <c r="M462" s="214" t="s">
        <v>699</v>
      </c>
      <c r="N462" s="215"/>
      <c r="O462" s="216"/>
      <c r="P462" s="62"/>
      <c r="Q462" s="214" t="s">
        <v>1639</v>
      </c>
      <c r="R462" s="215"/>
      <c r="S462" s="216"/>
      <c r="T462" s="63"/>
    </row>
    <row r="463" spans="2:20" ht="6.95" customHeight="1" x14ac:dyDescent="0.25">
      <c r="B463" s="59"/>
      <c r="C463" s="62"/>
      <c r="D463" s="62"/>
      <c r="E463" s="62"/>
      <c r="F463" s="62"/>
      <c r="G463" s="62"/>
      <c r="H463" s="62"/>
      <c r="I463" s="62"/>
      <c r="J463" s="60"/>
      <c r="L463" s="59"/>
      <c r="M463" s="62"/>
      <c r="N463" s="62"/>
      <c r="O463" s="62"/>
      <c r="P463" s="62"/>
      <c r="Q463" s="62"/>
      <c r="R463" s="62"/>
      <c r="S463" s="62"/>
      <c r="T463" s="60"/>
    </row>
    <row r="464" spans="2:20" ht="18" customHeight="1" x14ac:dyDescent="0.25">
      <c r="B464" s="61"/>
      <c r="C464" s="214" t="s">
        <v>701</v>
      </c>
      <c r="D464" s="215"/>
      <c r="E464" s="216"/>
      <c r="F464" s="62"/>
      <c r="G464" s="214" t="s">
        <v>986</v>
      </c>
      <c r="H464" s="215"/>
      <c r="I464" s="216"/>
      <c r="J464" s="63"/>
      <c r="L464" s="61"/>
      <c r="M464" s="214" t="s">
        <v>701</v>
      </c>
      <c r="N464" s="215"/>
      <c r="O464" s="216"/>
      <c r="P464" s="62"/>
      <c r="Q464" s="214" t="s">
        <v>986</v>
      </c>
      <c r="R464" s="215"/>
      <c r="S464" s="216"/>
      <c r="T464" s="63"/>
    </row>
    <row r="465" spans="2:20" ht="6.95" customHeight="1" x14ac:dyDescent="0.25">
      <c r="B465" s="59"/>
      <c r="C465" s="62"/>
      <c r="D465" s="62"/>
      <c r="E465" s="62"/>
      <c r="F465" s="62"/>
      <c r="G465" s="62"/>
      <c r="H465" s="62"/>
      <c r="I465" s="62"/>
      <c r="J465" s="60"/>
      <c r="L465" s="59"/>
      <c r="M465" s="62"/>
      <c r="N465" s="62"/>
      <c r="O465" s="62"/>
      <c r="P465" s="62"/>
      <c r="Q465" s="62"/>
      <c r="R465" s="62"/>
      <c r="S465" s="62"/>
      <c r="T465" s="60"/>
    </row>
    <row r="466" spans="2:20" ht="18" customHeight="1" x14ac:dyDescent="0.25">
      <c r="B466" s="61"/>
      <c r="C466" s="214" t="s">
        <v>703</v>
      </c>
      <c r="D466" s="215"/>
      <c r="E466" s="216"/>
      <c r="F466" s="62"/>
      <c r="G466" s="214" t="s">
        <v>109</v>
      </c>
      <c r="H466" s="215"/>
      <c r="I466" s="216"/>
      <c r="J466" s="63"/>
      <c r="L466" s="61"/>
      <c r="M466" s="214" t="s">
        <v>703</v>
      </c>
      <c r="N466" s="215"/>
      <c r="O466" s="216"/>
      <c r="P466" s="62"/>
      <c r="Q466" s="214" t="s">
        <v>109</v>
      </c>
      <c r="R466" s="215"/>
      <c r="S466" s="216"/>
      <c r="T466" s="63"/>
    </row>
    <row r="467" spans="2:20" ht="6.95" customHeight="1" x14ac:dyDescent="0.25">
      <c r="B467" s="59"/>
      <c r="C467" s="62"/>
      <c r="D467" s="62"/>
      <c r="E467" s="62"/>
      <c r="F467" s="62"/>
      <c r="G467" s="62"/>
      <c r="H467" s="62"/>
      <c r="I467" s="62"/>
      <c r="J467" s="60"/>
      <c r="L467" s="59"/>
      <c r="M467" s="62"/>
      <c r="N467" s="62"/>
      <c r="O467" s="62"/>
      <c r="P467" s="62"/>
      <c r="Q467" s="62"/>
      <c r="R467" s="62"/>
      <c r="S467" s="62"/>
      <c r="T467" s="60"/>
    </row>
    <row r="468" spans="2:20" ht="18" customHeight="1" x14ac:dyDescent="0.25">
      <c r="B468" s="61"/>
      <c r="C468" s="214" t="s">
        <v>705</v>
      </c>
      <c r="D468" s="215"/>
      <c r="E468" s="216"/>
      <c r="F468" s="62"/>
      <c r="G468" s="214" t="s">
        <v>109</v>
      </c>
      <c r="H468" s="215"/>
      <c r="I468" s="216"/>
      <c r="J468" s="63"/>
      <c r="L468" s="61"/>
      <c r="M468" s="214" t="s">
        <v>705</v>
      </c>
      <c r="N468" s="215"/>
      <c r="O468" s="216"/>
      <c r="P468" s="62"/>
      <c r="Q468" s="214" t="s">
        <v>109</v>
      </c>
      <c r="R468" s="215"/>
      <c r="S468" s="216"/>
      <c r="T468" s="63"/>
    </row>
    <row r="469" spans="2:20" ht="6.95" customHeight="1" x14ac:dyDescent="0.25">
      <c r="B469" s="59"/>
      <c r="C469" s="62"/>
      <c r="D469" s="62"/>
      <c r="E469" s="62"/>
      <c r="F469" s="62"/>
      <c r="G469" s="62"/>
      <c r="H469" s="62"/>
      <c r="I469" s="62"/>
      <c r="J469" s="60"/>
      <c r="L469" s="59"/>
      <c r="M469" s="62"/>
      <c r="N469" s="62"/>
      <c r="O469" s="62"/>
      <c r="P469" s="62"/>
      <c r="Q469" s="62"/>
      <c r="R469" s="62"/>
      <c r="S469" s="62"/>
      <c r="T469" s="60"/>
    </row>
    <row r="470" spans="2:20" ht="18" customHeight="1" x14ac:dyDescent="0.25">
      <c r="B470" s="61"/>
      <c r="C470" s="214" t="s">
        <v>708</v>
      </c>
      <c r="D470" s="215"/>
      <c r="E470" s="216"/>
      <c r="F470" s="62"/>
      <c r="G470" s="214" t="s">
        <v>109</v>
      </c>
      <c r="H470" s="215"/>
      <c r="I470" s="216"/>
      <c r="J470" s="63"/>
      <c r="L470" s="61"/>
      <c r="M470" s="214" t="s">
        <v>708</v>
      </c>
      <c r="N470" s="215"/>
      <c r="O470" s="216"/>
      <c r="P470" s="62"/>
      <c r="Q470" s="214" t="s">
        <v>109</v>
      </c>
      <c r="R470" s="215"/>
      <c r="S470" s="216"/>
      <c r="T470" s="63"/>
    </row>
    <row r="471" spans="2:20" ht="6.95" customHeight="1" x14ac:dyDescent="0.25">
      <c r="B471" s="59"/>
      <c r="C471" s="62"/>
      <c r="D471" s="62"/>
      <c r="E471" s="62"/>
      <c r="F471" s="62"/>
      <c r="G471" s="62"/>
      <c r="H471" s="62"/>
      <c r="I471" s="62"/>
      <c r="J471" s="60"/>
      <c r="L471" s="59"/>
      <c r="M471" s="62"/>
      <c r="N471" s="62"/>
      <c r="O471" s="62"/>
      <c r="P471" s="62"/>
      <c r="Q471" s="62"/>
      <c r="R471" s="62"/>
      <c r="S471" s="62"/>
      <c r="T471" s="60"/>
    </row>
    <row r="472" spans="2:20" ht="18" customHeight="1" x14ac:dyDescent="0.25">
      <c r="B472" s="61"/>
      <c r="C472" s="214" t="s">
        <v>711</v>
      </c>
      <c r="D472" s="215"/>
      <c r="E472" s="216"/>
      <c r="F472" s="62"/>
      <c r="G472" s="214" t="s">
        <v>712</v>
      </c>
      <c r="H472" s="215"/>
      <c r="I472" s="216"/>
      <c r="J472" s="63"/>
      <c r="L472" s="61"/>
      <c r="M472" s="214" t="s">
        <v>711</v>
      </c>
      <c r="N472" s="215"/>
      <c r="O472" s="216"/>
      <c r="P472" s="62"/>
      <c r="Q472" s="214" t="s">
        <v>712</v>
      </c>
      <c r="R472" s="215"/>
      <c r="S472" s="216"/>
      <c r="T472" s="63"/>
    </row>
    <row r="473" spans="2:20" ht="6.95" customHeight="1" x14ac:dyDescent="0.25">
      <c r="B473" s="59"/>
      <c r="C473" s="62"/>
      <c r="D473" s="62"/>
      <c r="E473" s="62"/>
      <c r="F473" s="62"/>
      <c r="G473" s="62"/>
      <c r="H473" s="62"/>
      <c r="I473" s="62"/>
      <c r="J473" s="60"/>
      <c r="L473" s="59"/>
      <c r="M473" s="62"/>
      <c r="N473" s="62"/>
      <c r="O473" s="62"/>
      <c r="P473" s="62"/>
      <c r="Q473" s="62"/>
      <c r="R473" s="62"/>
      <c r="S473" s="62"/>
      <c r="T473" s="60"/>
    </row>
    <row r="474" spans="2:20" ht="18" customHeight="1" x14ac:dyDescent="0.25">
      <c r="B474" s="61"/>
      <c r="C474" s="214" t="s">
        <v>1273</v>
      </c>
      <c r="D474" s="215"/>
      <c r="E474" s="216"/>
      <c r="F474" s="62"/>
      <c r="G474" s="214" t="s">
        <v>1349</v>
      </c>
      <c r="H474" s="215"/>
      <c r="I474" s="216"/>
      <c r="J474" s="63"/>
      <c r="L474" s="61"/>
      <c r="M474" s="214" t="s">
        <v>1273</v>
      </c>
      <c r="N474" s="215"/>
      <c r="O474" s="216"/>
      <c r="P474" s="62"/>
      <c r="Q474" s="214" t="s">
        <v>1350</v>
      </c>
      <c r="R474" s="215"/>
      <c r="S474" s="216"/>
      <c r="T474" s="63"/>
    </row>
    <row r="475" spans="2:20" ht="6.6" customHeight="1" x14ac:dyDescent="0.25">
      <c r="B475" s="59"/>
      <c r="C475" s="62"/>
      <c r="D475" s="62"/>
      <c r="E475" s="62"/>
      <c r="F475" s="62"/>
      <c r="G475" s="62"/>
      <c r="H475" s="62"/>
      <c r="I475" s="62"/>
      <c r="J475" s="60"/>
      <c r="L475" s="59"/>
      <c r="M475" s="62"/>
      <c r="N475" s="62"/>
      <c r="O475" s="62"/>
      <c r="P475" s="62"/>
      <c r="Q475" s="62"/>
      <c r="R475" s="62"/>
      <c r="S475" s="62"/>
      <c r="T475" s="60"/>
    </row>
    <row r="476" spans="2:20" ht="18" customHeight="1" x14ac:dyDescent="0.25">
      <c r="B476" s="61"/>
      <c r="C476" s="214" t="s">
        <v>713</v>
      </c>
      <c r="D476" s="215"/>
      <c r="E476" s="216"/>
      <c r="F476" s="62"/>
      <c r="G476" s="214" t="s">
        <v>1293</v>
      </c>
      <c r="H476" s="215"/>
      <c r="I476" s="216"/>
      <c r="J476" s="63"/>
      <c r="L476" s="61"/>
      <c r="M476" s="214" t="s">
        <v>713</v>
      </c>
      <c r="N476" s="215"/>
      <c r="O476" s="216"/>
      <c r="P476" s="62"/>
      <c r="Q476" s="214" t="s">
        <v>1293</v>
      </c>
      <c r="R476" s="215"/>
      <c r="S476" s="216"/>
      <c r="T476" s="63"/>
    </row>
    <row r="477" spans="2:20" ht="6.95" customHeight="1" x14ac:dyDescent="0.25">
      <c r="B477" s="59"/>
      <c r="C477" s="128"/>
      <c r="D477" s="128"/>
      <c r="E477" s="128"/>
      <c r="F477" s="62"/>
      <c r="G477" s="128"/>
      <c r="H477" s="128"/>
      <c r="I477" s="128"/>
      <c r="J477" s="63"/>
      <c r="L477" s="59"/>
      <c r="M477" s="128"/>
      <c r="N477" s="128"/>
      <c r="O477" s="128"/>
      <c r="P477" s="62"/>
      <c r="Q477" s="128"/>
      <c r="R477" s="128"/>
      <c r="S477" s="128"/>
      <c r="T477" s="63"/>
    </row>
    <row r="478" spans="2:20" ht="18" customHeight="1" x14ac:dyDescent="0.25">
      <c r="B478" s="59"/>
      <c r="C478" s="214" t="s">
        <v>715</v>
      </c>
      <c r="D478" s="215"/>
      <c r="E478" s="216"/>
      <c r="F478" s="62"/>
      <c r="G478" s="214" t="s">
        <v>1288</v>
      </c>
      <c r="H478" s="215"/>
      <c r="I478" s="216"/>
      <c r="J478" s="63"/>
      <c r="L478" s="59"/>
      <c r="M478" s="214" t="s">
        <v>715</v>
      </c>
      <c r="N478" s="215"/>
      <c r="O478" s="216"/>
      <c r="P478" s="62"/>
      <c r="Q478" s="214" t="s">
        <v>1288</v>
      </c>
      <c r="R478" s="215"/>
      <c r="S478" s="216"/>
      <c r="T478" s="63"/>
    </row>
    <row r="479" spans="2:20" ht="6.95" customHeight="1" thickBot="1" x14ac:dyDescent="0.3">
      <c r="B479" s="64"/>
      <c r="C479" s="65"/>
      <c r="D479" s="65"/>
      <c r="E479" s="65"/>
      <c r="F479" s="65"/>
      <c r="G479" s="65"/>
      <c r="H479" s="65"/>
      <c r="I479" s="65"/>
      <c r="J479" s="66"/>
      <c r="L479" s="64"/>
      <c r="M479" s="65"/>
      <c r="N479" s="65"/>
      <c r="O479" s="65"/>
      <c r="P479" s="65"/>
      <c r="Q479" s="65"/>
      <c r="R479" s="65"/>
      <c r="S479" s="65"/>
      <c r="T479" s="66"/>
    </row>
    <row r="480" spans="2:20" ht="32.1" customHeight="1" thickTop="1" x14ac:dyDescent="0.25">
      <c r="B480" s="57"/>
      <c r="C480" s="58"/>
      <c r="D480" s="217" t="s">
        <v>697</v>
      </c>
      <c r="E480" s="218"/>
      <c r="F480" s="218"/>
      <c r="G480" s="218"/>
      <c r="H480" s="218"/>
      <c r="I480" s="218"/>
      <c r="J480" s="219"/>
      <c r="L480" s="57"/>
      <c r="M480" s="58"/>
      <c r="N480" s="217" t="s">
        <v>697</v>
      </c>
      <c r="O480" s="218"/>
      <c r="P480" s="218"/>
      <c r="Q480" s="218"/>
      <c r="R480" s="218"/>
      <c r="S480" s="218"/>
      <c r="T480" s="219"/>
    </row>
    <row r="481" spans="2:20" ht="5.0999999999999996" customHeight="1" x14ac:dyDescent="0.25">
      <c r="B481" s="59"/>
      <c r="J481" s="60"/>
      <c r="L481" s="59"/>
      <c r="T481" s="60"/>
    </row>
    <row r="482" spans="2:20" ht="18" customHeight="1" x14ac:dyDescent="0.25">
      <c r="B482" s="61"/>
      <c r="C482" s="214" t="s">
        <v>698</v>
      </c>
      <c r="D482" s="215"/>
      <c r="E482" s="216"/>
      <c r="F482" s="62"/>
      <c r="G482" s="214" t="s">
        <v>1351</v>
      </c>
      <c r="H482" s="215"/>
      <c r="I482" s="216"/>
      <c r="J482" s="63"/>
      <c r="L482" s="61"/>
      <c r="M482" s="214" t="s">
        <v>698</v>
      </c>
      <c r="N482" s="215"/>
      <c r="O482" s="216"/>
      <c r="P482" s="62"/>
      <c r="Q482" s="214" t="s">
        <v>1352</v>
      </c>
      <c r="R482" s="215"/>
      <c r="S482" s="216"/>
      <c r="T482" s="63"/>
    </row>
    <row r="483" spans="2:20" ht="6.95" customHeight="1" x14ac:dyDescent="0.25">
      <c r="B483" s="59"/>
      <c r="C483" s="62"/>
      <c r="D483" s="62"/>
      <c r="E483" s="62"/>
      <c r="F483" s="62"/>
      <c r="G483" s="62"/>
      <c r="H483" s="62"/>
      <c r="I483" s="62"/>
      <c r="J483" s="60"/>
      <c r="L483" s="59"/>
      <c r="M483" s="62"/>
      <c r="N483" s="62"/>
      <c r="O483" s="62"/>
      <c r="P483" s="62"/>
      <c r="Q483" s="62"/>
      <c r="R483" s="62"/>
      <c r="S483" s="62"/>
      <c r="T483" s="60"/>
    </row>
    <row r="484" spans="2:20" ht="18" customHeight="1" x14ac:dyDescent="0.25">
      <c r="B484" s="61"/>
      <c r="C484" s="214" t="s">
        <v>699</v>
      </c>
      <c r="D484" s="215"/>
      <c r="E484" s="216"/>
      <c r="F484" s="62"/>
      <c r="G484" s="214" t="s">
        <v>1639</v>
      </c>
      <c r="H484" s="215"/>
      <c r="I484" s="216"/>
      <c r="J484" s="63"/>
      <c r="L484" s="61"/>
      <c r="M484" s="214" t="s">
        <v>699</v>
      </c>
      <c r="N484" s="215"/>
      <c r="O484" s="216"/>
      <c r="P484" s="62"/>
      <c r="Q484" s="214" t="s">
        <v>1639</v>
      </c>
      <c r="R484" s="215"/>
      <c r="S484" s="216"/>
      <c r="T484" s="63"/>
    </row>
    <row r="485" spans="2:20" ht="6.95" customHeight="1" x14ac:dyDescent="0.25">
      <c r="B485" s="59"/>
      <c r="C485" s="62"/>
      <c r="D485" s="62"/>
      <c r="E485" s="62"/>
      <c r="F485" s="62"/>
      <c r="G485" s="62"/>
      <c r="H485" s="62"/>
      <c r="I485" s="62"/>
      <c r="J485" s="60"/>
      <c r="L485" s="59"/>
      <c r="M485" s="62"/>
      <c r="N485" s="62"/>
      <c r="O485" s="62"/>
      <c r="P485" s="62"/>
      <c r="Q485" s="62"/>
      <c r="R485" s="62"/>
      <c r="S485" s="62"/>
      <c r="T485" s="60"/>
    </row>
    <row r="486" spans="2:20" ht="18" customHeight="1" x14ac:dyDescent="0.25">
      <c r="B486" s="61"/>
      <c r="C486" s="214" t="s">
        <v>701</v>
      </c>
      <c r="D486" s="215"/>
      <c r="E486" s="216"/>
      <c r="F486" s="62"/>
      <c r="G486" s="214" t="s">
        <v>986</v>
      </c>
      <c r="H486" s="215"/>
      <c r="I486" s="216"/>
      <c r="J486" s="63"/>
      <c r="L486" s="61"/>
      <c r="M486" s="214" t="s">
        <v>701</v>
      </c>
      <c r="N486" s="215"/>
      <c r="O486" s="216"/>
      <c r="P486" s="62"/>
      <c r="Q486" s="214" t="s">
        <v>986</v>
      </c>
      <c r="R486" s="215"/>
      <c r="S486" s="216"/>
      <c r="T486" s="63"/>
    </row>
    <row r="487" spans="2:20" ht="6.95" customHeight="1" x14ac:dyDescent="0.25">
      <c r="B487" s="59"/>
      <c r="C487" s="62"/>
      <c r="D487" s="62"/>
      <c r="E487" s="62"/>
      <c r="F487" s="62"/>
      <c r="G487" s="62"/>
      <c r="H487" s="62"/>
      <c r="I487" s="62"/>
      <c r="J487" s="60"/>
      <c r="L487" s="59"/>
      <c r="M487" s="62"/>
      <c r="N487" s="62"/>
      <c r="O487" s="62"/>
      <c r="P487" s="62"/>
      <c r="Q487" s="62"/>
      <c r="R487" s="62"/>
      <c r="S487" s="62"/>
      <c r="T487" s="60"/>
    </row>
    <row r="488" spans="2:20" ht="18" customHeight="1" x14ac:dyDescent="0.25">
      <c r="B488" s="61"/>
      <c r="C488" s="214" t="s">
        <v>703</v>
      </c>
      <c r="D488" s="215"/>
      <c r="E488" s="216"/>
      <c r="F488" s="62"/>
      <c r="G488" s="214" t="s">
        <v>109</v>
      </c>
      <c r="H488" s="215"/>
      <c r="I488" s="216"/>
      <c r="J488" s="63"/>
      <c r="L488" s="61"/>
      <c r="M488" s="214" t="s">
        <v>703</v>
      </c>
      <c r="N488" s="215"/>
      <c r="O488" s="216"/>
      <c r="P488" s="62"/>
      <c r="Q488" s="214" t="s">
        <v>109</v>
      </c>
      <c r="R488" s="215"/>
      <c r="S488" s="216"/>
      <c r="T488" s="63"/>
    </row>
    <row r="489" spans="2:20" ht="6.95" customHeight="1" x14ac:dyDescent="0.25">
      <c r="B489" s="59"/>
      <c r="C489" s="62"/>
      <c r="D489" s="62"/>
      <c r="E489" s="62"/>
      <c r="F489" s="62"/>
      <c r="G489" s="62"/>
      <c r="H489" s="62"/>
      <c r="I489" s="62"/>
      <c r="J489" s="60"/>
      <c r="L489" s="59"/>
      <c r="M489" s="62"/>
      <c r="N489" s="62"/>
      <c r="O489" s="62"/>
      <c r="P489" s="62"/>
      <c r="Q489" s="62"/>
      <c r="R489" s="62"/>
      <c r="S489" s="62"/>
      <c r="T489" s="60"/>
    </row>
    <row r="490" spans="2:20" ht="18" customHeight="1" x14ac:dyDescent="0.25">
      <c r="B490" s="61"/>
      <c r="C490" s="214" t="s">
        <v>705</v>
      </c>
      <c r="D490" s="215"/>
      <c r="E490" s="216"/>
      <c r="F490" s="62"/>
      <c r="G490" s="214" t="s">
        <v>109</v>
      </c>
      <c r="H490" s="215"/>
      <c r="I490" s="216"/>
      <c r="J490" s="63"/>
      <c r="L490" s="61"/>
      <c r="M490" s="214" t="s">
        <v>705</v>
      </c>
      <c r="N490" s="215"/>
      <c r="O490" s="216"/>
      <c r="P490" s="62"/>
      <c r="Q490" s="214" t="s">
        <v>109</v>
      </c>
      <c r="R490" s="215"/>
      <c r="S490" s="216"/>
      <c r="T490" s="63"/>
    </row>
    <row r="491" spans="2:20" ht="6.95" customHeight="1" x14ac:dyDescent="0.25">
      <c r="B491" s="59"/>
      <c r="C491" s="62"/>
      <c r="D491" s="62"/>
      <c r="E491" s="62"/>
      <c r="F491" s="62"/>
      <c r="G491" s="62"/>
      <c r="H491" s="62"/>
      <c r="I491" s="62"/>
      <c r="J491" s="60"/>
      <c r="L491" s="59"/>
      <c r="M491" s="62"/>
      <c r="N491" s="62"/>
      <c r="O491" s="62"/>
      <c r="P491" s="62"/>
      <c r="Q491" s="62"/>
      <c r="R491" s="62"/>
      <c r="S491" s="62"/>
      <c r="T491" s="60"/>
    </row>
    <row r="492" spans="2:20" ht="18" customHeight="1" x14ac:dyDescent="0.25">
      <c r="B492" s="61"/>
      <c r="C492" s="214" t="s">
        <v>708</v>
      </c>
      <c r="D492" s="215"/>
      <c r="E492" s="216"/>
      <c r="F492" s="62"/>
      <c r="G492" s="214" t="s">
        <v>109</v>
      </c>
      <c r="H492" s="215"/>
      <c r="I492" s="216"/>
      <c r="J492" s="63"/>
      <c r="L492" s="61"/>
      <c r="M492" s="214" t="s">
        <v>708</v>
      </c>
      <c r="N492" s="215"/>
      <c r="O492" s="216"/>
      <c r="P492" s="62"/>
      <c r="Q492" s="214" t="s">
        <v>109</v>
      </c>
      <c r="R492" s="215"/>
      <c r="S492" s="216"/>
      <c r="T492" s="63"/>
    </row>
    <row r="493" spans="2:20" ht="6.95" customHeight="1" x14ac:dyDescent="0.25">
      <c r="B493" s="59"/>
      <c r="C493" s="62"/>
      <c r="D493" s="62"/>
      <c r="E493" s="62"/>
      <c r="F493" s="62"/>
      <c r="G493" s="62"/>
      <c r="H493" s="62"/>
      <c r="I493" s="62"/>
      <c r="J493" s="60"/>
      <c r="L493" s="59"/>
      <c r="M493" s="62"/>
      <c r="N493" s="62"/>
      <c r="O493" s="62"/>
      <c r="P493" s="62"/>
      <c r="Q493" s="62"/>
      <c r="R493" s="62"/>
      <c r="S493" s="62"/>
      <c r="T493" s="60"/>
    </row>
    <row r="494" spans="2:20" ht="18" customHeight="1" x14ac:dyDescent="0.25">
      <c r="B494" s="61"/>
      <c r="C494" s="214" t="s">
        <v>711</v>
      </c>
      <c r="D494" s="215"/>
      <c r="E494" s="216"/>
      <c r="F494" s="62"/>
      <c r="G494" s="214" t="s">
        <v>712</v>
      </c>
      <c r="H494" s="215"/>
      <c r="I494" s="216"/>
      <c r="J494" s="63"/>
      <c r="L494" s="61"/>
      <c r="M494" s="214" t="s">
        <v>711</v>
      </c>
      <c r="N494" s="215"/>
      <c r="O494" s="216"/>
      <c r="P494" s="62"/>
      <c r="Q494" s="214" t="s">
        <v>712</v>
      </c>
      <c r="R494" s="215"/>
      <c r="S494" s="216"/>
      <c r="T494" s="63"/>
    </row>
    <row r="495" spans="2:20" ht="6.95" customHeight="1" x14ac:dyDescent="0.25">
      <c r="B495" s="59"/>
      <c r="C495" s="62"/>
      <c r="D495" s="62"/>
      <c r="E495" s="62"/>
      <c r="F495" s="62"/>
      <c r="G495" s="62"/>
      <c r="H495" s="62"/>
      <c r="I495" s="62"/>
      <c r="J495" s="60"/>
      <c r="L495" s="59"/>
      <c r="M495" s="62"/>
      <c r="N495" s="62"/>
      <c r="O495" s="62"/>
      <c r="P495" s="62"/>
      <c r="Q495" s="62"/>
      <c r="R495" s="62"/>
      <c r="S495" s="62"/>
      <c r="T495" s="60"/>
    </row>
    <row r="496" spans="2:20" ht="18" customHeight="1" x14ac:dyDescent="0.25">
      <c r="B496" s="61"/>
      <c r="C496" s="214" t="s">
        <v>1273</v>
      </c>
      <c r="D496" s="215"/>
      <c r="E496" s="216"/>
      <c r="F496" s="62"/>
      <c r="G496" s="214" t="s">
        <v>1353</v>
      </c>
      <c r="H496" s="215"/>
      <c r="I496" s="216"/>
      <c r="J496" s="63"/>
      <c r="L496" s="61"/>
      <c r="M496" s="214" t="s">
        <v>1273</v>
      </c>
      <c r="N496" s="215"/>
      <c r="O496" s="216"/>
      <c r="P496" s="62"/>
      <c r="Q496" s="214" t="s">
        <v>1354</v>
      </c>
      <c r="R496" s="215"/>
      <c r="S496" s="216"/>
      <c r="T496" s="63"/>
    </row>
    <row r="497" spans="2:20" ht="6.6" customHeight="1" x14ac:dyDescent="0.25">
      <c r="B497" s="59"/>
      <c r="C497" s="62"/>
      <c r="D497" s="62"/>
      <c r="E497" s="62"/>
      <c r="F497" s="62"/>
      <c r="G497" s="62"/>
      <c r="H497" s="62"/>
      <c r="I497" s="62"/>
      <c r="J497" s="60"/>
      <c r="L497" s="59"/>
      <c r="M497" s="62"/>
      <c r="N497" s="62"/>
      <c r="O497" s="62"/>
      <c r="P497" s="62"/>
      <c r="Q497" s="62"/>
      <c r="R497" s="62"/>
      <c r="S497" s="62"/>
      <c r="T497" s="60"/>
    </row>
    <row r="498" spans="2:20" ht="18" customHeight="1" x14ac:dyDescent="0.25">
      <c r="B498" s="61"/>
      <c r="C498" s="214" t="s">
        <v>713</v>
      </c>
      <c r="D498" s="215"/>
      <c r="E498" s="216"/>
      <c r="F498" s="62"/>
      <c r="G498" s="220" t="s">
        <v>1293</v>
      </c>
      <c r="H498" s="220"/>
      <c r="I498" s="220"/>
      <c r="J498" s="63"/>
      <c r="L498" s="61"/>
      <c r="M498" s="214" t="s">
        <v>713</v>
      </c>
      <c r="N498" s="215"/>
      <c r="O498" s="216"/>
      <c r="P498" s="62"/>
      <c r="Q498" s="220" t="s">
        <v>1293</v>
      </c>
      <c r="R498" s="220"/>
      <c r="S498" s="220"/>
      <c r="T498" s="63"/>
    </row>
    <row r="499" spans="2:20" ht="6.95" customHeight="1" x14ac:dyDescent="0.25">
      <c r="B499" s="59"/>
      <c r="C499" s="128"/>
      <c r="D499" s="128"/>
      <c r="E499" s="128"/>
      <c r="F499" s="62"/>
      <c r="G499" s="128"/>
      <c r="H499" s="128"/>
      <c r="I499" s="128"/>
      <c r="J499" s="63"/>
      <c r="L499" s="59"/>
      <c r="M499" s="128"/>
      <c r="N499" s="128"/>
      <c r="O499" s="128"/>
      <c r="P499" s="62"/>
      <c r="Q499" s="128"/>
      <c r="R499" s="128"/>
      <c r="S499" s="128"/>
      <c r="T499" s="63"/>
    </row>
    <row r="500" spans="2:20" ht="18" customHeight="1" x14ac:dyDescent="0.25">
      <c r="B500" s="59"/>
      <c r="C500" s="220" t="s">
        <v>715</v>
      </c>
      <c r="D500" s="220"/>
      <c r="E500" s="220"/>
      <c r="F500" s="62"/>
      <c r="G500" s="220" t="s">
        <v>1288</v>
      </c>
      <c r="H500" s="220"/>
      <c r="I500" s="220"/>
      <c r="J500" s="63"/>
      <c r="L500" s="59"/>
      <c r="M500" s="220" t="s">
        <v>715</v>
      </c>
      <c r="N500" s="220"/>
      <c r="O500" s="220"/>
      <c r="P500" s="62"/>
      <c r="Q500" s="220" t="s">
        <v>1288</v>
      </c>
      <c r="R500" s="220"/>
      <c r="S500" s="220"/>
      <c r="T500" s="63"/>
    </row>
    <row r="501" spans="2:20" ht="6.95" customHeight="1" thickBot="1" x14ac:dyDescent="0.3">
      <c r="B501" s="64"/>
      <c r="C501" s="65"/>
      <c r="D501" s="65"/>
      <c r="E501" s="65"/>
      <c r="F501" s="65"/>
      <c r="G501" s="65"/>
      <c r="H501" s="65"/>
      <c r="I501" s="65"/>
      <c r="J501" s="66"/>
      <c r="L501" s="64"/>
      <c r="M501" s="65"/>
      <c r="N501" s="65"/>
      <c r="O501" s="65"/>
      <c r="P501" s="65"/>
      <c r="Q501" s="65"/>
      <c r="R501" s="65"/>
      <c r="S501" s="65"/>
      <c r="T501" s="66"/>
    </row>
    <row r="502" spans="2:20" ht="32.1" customHeight="1" thickTop="1" x14ac:dyDescent="0.25">
      <c r="B502" s="57"/>
      <c r="C502" s="58"/>
      <c r="D502" s="217" t="s">
        <v>697</v>
      </c>
      <c r="E502" s="218"/>
      <c r="F502" s="218"/>
      <c r="G502" s="218"/>
      <c r="H502" s="218"/>
      <c r="I502" s="218"/>
      <c r="J502" s="219"/>
      <c r="L502" s="57"/>
      <c r="M502" s="58"/>
      <c r="N502" s="217" t="s">
        <v>697</v>
      </c>
      <c r="O502" s="218"/>
      <c r="P502" s="218"/>
      <c r="Q502" s="218"/>
      <c r="R502" s="218"/>
      <c r="S502" s="218"/>
      <c r="T502" s="219"/>
    </row>
    <row r="503" spans="2:20" ht="6.95" customHeight="1" x14ac:dyDescent="0.25">
      <c r="B503" s="59"/>
      <c r="J503" s="60"/>
      <c r="L503" s="59"/>
      <c r="T503" s="60"/>
    </row>
    <row r="504" spans="2:20" ht="18" customHeight="1" x14ac:dyDescent="0.25">
      <c r="B504" s="61"/>
      <c r="C504" s="214" t="s">
        <v>698</v>
      </c>
      <c r="D504" s="215"/>
      <c r="E504" s="216"/>
      <c r="F504" s="62"/>
      <c r="G504" s="214" t="s">
        <v>1355</v>
      </c>
      <c r="H504" s="215"/>
      <c r="I504" s="216"/>
      <c r="J504" s="63"/>
      <c r="L504" s="61"/>
      <c r="M504" s="214" t="s">
        <v>698</v>
      </c>
      <c r="N504" s="215"/>
      <c r="O504" s="216"/>
      <c r="P504" s="62"/>
      <c r="Q504" s="214" t="s">
        <v>1356</v>
      </c>
      <c r="R504" s="215"/>
      <c r="S504" s="216"/>
      <c r="T504" s="63"/>
    </row>
    <row r="505" spans="2:20" ht="6.95" customHeight="1" x14ac:dyDescent="0.25">
      <c r="B505" s="59"/>
      <c r="C505" s="62"/>
      <c r="D505" s="62"/>
      <c r="E505" s="62"/>
      <c r="F505" s="62"/>
      <c r="G505" s="62"/>
      <c r="H505" s="62"/>
      <c r="I505" s="62"/>
      <c r="J505" s="60"/>
      <c r="L505" s="59"/>
      <c r="M505" s="62"/>
      <c r="N505" s="62"/>
      <c r="O505" s="62"/>
      <c r="P505" s="62"/>
      <c r="Q505" s="62"/>
      <c r="R505" s="62"/>
      <c r="S505" s="62"/>
      <c r="T505" s="60"/>
    </row>
    <row r="506" spans="2:20" ht="18" customHeight="1" x14ac:dyDescent="0.25">
      <c r="B506" s="61"/>
      <c r="C506" s="214" t="s">
        <v>699</v>
      </c>
      <c r="D506" s="215"/>
      <c r="E506" s="216"/>
      <c r="F506" s="62"/>
      <c r="G506" s="214" t="s">
        <v>1639</v>
      </c>
      <c r="H506" s="215"/>
      <c r="I506" s="216"/>
      <c r="J506" s="63"/>
      <c r="L506" s="61"/>
      <c r="M506" s="214" t="s">
        <v>699</v>
      </c>
      <c r="N506" s="215"/>
      <c r="O506" s="216"/>
      <c r="P506" s="62"/>
      <c r="Q506" s="214" t="s">
        <v>1639</v>
      </c>
      <c r="R506" s="215"/>
      <c r="S506" s="216"/>
      <c r="T506" s="63"/>
    </row>
    <row r="507" spans="2:20" ht="6.95" customHeight="1" x14ac:dyDescent="0.25">
      <c r="B507" s="59"/>
      <c r="C507" s="62"/>
      <c r="D507" s="62"/>
      <c r="E507" s="62"/>
      <c r="F507" s="62"/>
      <c r="G507" s="62"/>
      <c r="H507" s="62"/>
      <c r="I507" s="62"/>
      <c r="J507" s="60"/>
      <c r="L507" s="59"/>
      <c r="M507" s="62"/>
      <c r="N507" s="62"/>
      <c r="O507" s="62"/>
      <c r="P507" s="62"/>
      <c r="Q507" s="62"/>
      <c r="R507" s="62"/>
      <c r="S507" s="62"/>
      <c r="T507" s="60"/>
    </row>
    <row r="508" spans="2:20" ht="18" customHeight="1" x14ac:dyDescent="0.25">
      <c r="B508" s="61"/>
      <c r="C508" s="214" t="s">
        <v>701</v>
      </c>
      <c r="D508" s="215"/>
      <c r="E508" s="216"/>
      <c r="F508" s="62"/>
      <c r="G508" s="214" t="s">
        <v>986</v>
      </c>
      <c r="H508" s="215"/>
      <c r="I508" s="216"/>
      <c r="J508" s="63"/>
      <c r="L508" s="61"/>
      <c r="M508" s="214" t="s">
        <v>701</v>
      </c>
      <c r="N508" s="215"/>
      <c r="O508" s="216"/>
      <c r="P508" s="62"/>
      <c r="Q508" s="214" t="s">
        <v>986</v>
      </c>
      <c r="R508" s="215"/>
      <c r="S508" s="216"/>
      <c r="T508" s="63"/>
    </row>
    <row r="509" spans="2:20" ht="6.95" customHeight="1" x14ac:dyDescent="0.25">
      <c r="B509" s="59"/>
      <c r="C509" s="62"/>
      <c r="D509" s="62"/>
      <c r="E509" s="62"/>
      <c r="F509" s="62"/>
      <c r="G509" s="62"/>
      <c r="H509" s="62"/>
      <c r="I509" s="62"/>
      <c r="J509" s="60"/>
      <c r="L509" s="59"/>
      <c r="M509" s="62"/>
      <c r="N509" s="62"/>
      <c r="O509" s="62"/>
      <c r="P509" s="62"/>
      <c r="Q509" s="62"/>
      <c r="R509" s="62"/>
      <c r="S509" s="62"/>
      <c r="T509" s="60"/>
    </row>
    <row r="510" spans="2:20" ht="18" customHeight="1" x14ac:dyDescent="0.25">
      <c r="B510" s="61"/>
      <c r="C510" s="214" t="s">
        <v>703</v>
      </c>
      <c r="D510" s="215"/>
      <c r="E510" s="216"/>
      <c r="F510" s="62"/>
      <c r="G510" s="214" t="s">
        <v>109</v>
      </c>
      <c r="H510" s="215"/>
      <c r="I510" s="216"/>
      <c r="J510" s="63"/>
      <c r="L510" s="61"/>
      <c r="M510" s="214" t="s">
        <v>703</v>
      </c>
      <c r="N510" s="215"/>
      <c r="O510" s="216"/>
      <c r="P510" s="62"/>
      <c r="Q510" s="214" t="s">
        <v>109</v>
      </c>
      <c r="R510" s="215"/>
      <c r="S510" s="216"/>
      <c r="T510" s="63"/>
    </row>
    <row r="511" spans="2:20" ht="6.95" customHeight="1" x14ac:dyDescent="0.25">
      <c r="B511" s="59"/>
      <c r="C511" s="62"/>
      <c r="D511" s="62"/>
      <c r="E511" s="62"/>
      <c r="F511" s="62"/>
      <c r="G511" s="62"/>
      <c r="H511" s="62"/>
      <c r="I511" s="62"/>
      <c r="J511" s="60"/>
      <c r="L511" s="59"/>
      <c r="M511" s="62"/>
      <c r="N511" s="62"/>
      <c r="O511" s="62"/>
      <c r="P511" s="62"/>
      <c r="Q511" s="62"/>
      <c r="R511" s="62"/>
      <c r="S511" s="62"/>
      <c r="T511" s="60"/>
    </row>
    <row r="512" spans="2:20" ht="18" customHeight="1" x14ac:dyDescent="0.25">
      <c r="B512" s="61"/>
      <c r="C512" s="214" t="s">
        <v>705</v>
      </c>
      <c r="D512" s="215"/>
      <c r="E512" s="216"/>
      <c r="F512" s="62"/>
      <c r="G512" s="214" t="s">
        <v>109</v>
      </c>
      <c r="H512" s="215"/>
      <c r="I512" s="216"/>
      <c r="J512" s="63"/>
      <c r="L512" s="61"/>
      <c r="M512" s="214" t="s">
        <v>705</v>
      </c>
      <c r="N512" s="215"/>
      <c r="O512" s="216"/>
      <c r="P512" s="62"/>
      <c r="Q512" s="214" t="s">
        <v>109</v>
      </c>
      <c r="R512" s="215"/>
      <c r="S512" s="216"/>
      <c r="T512" s="63"/>
    </row>
    <row r="513" spans="2:20" ht="6.95" customHeight="1" x14ac:dyDescent="0.25">
      <c r="B513" s="59"/>
      <c r="C513" s="62"/>
      <c r="D513" s="62"/>
      <c r="E513" s="62"/>
      <c r="F513" s="62"/>
      <c r="G513" s="62"/>
      <c r="H513" s="62"/>
      <c r="I513" s="62"/>
      <c r="J513" s="60"/>
      <c r="L513" s="59"/>
      <c r="M513" s="62"/>
      <c r="N513" s="62"/>
      <c r="O513" s="62"/>
      <c r="P513" s="62"/>
      <c r="Q513" s="62"/>
      <c r="R513" s="62"/>
      <c r="S513" s="62"/>
      <c r="T513" s="60"/>
    </row>
    <row r="514" spans="2:20" ht="18" customHeight="1" x14ac:dyDescent="0.25">
      <c r="B514" s="61"/>
      <c r="C514" s="214" t="s">
        <v>708</v>
      </c>
      <c r="D514" s="215"/>
      <c r="E514" s="216"/>
      <c r="F514" s="62"/>
      <c r="G514" s="214" t="s">
        <v>109</v>
      </c>
      <c r="H514" s="215"/>
      <c r="I514" s="216"/>
      <c r="J514" s="63"/>
      <c r="L514" s="61"/>
      <c r="M514" s="214" t="s">
        <v>708</v>
      </c>
      <c r="N514" s="215"/>
      <c r="O514" s="216"/>
      <c r="P514" s="62"/>
      <c r="Q514" s="214" t="s">
        <v>109</v>
      </c>
      <c r="R514" s="215"/>
      <c r="S514" s="216"/>
      <c r="T514" s="63"/>
    </row>
    <row r="515" spans="2:20" ht="6.95" customHeight="1" x14ac:dyDescent="0.25">
      <c r="B515" s="59"/>
      <c r="C515" s="62"/>
      <c r="D515" s="62"/>
      <c r="E515" s="62"/>
      <c r="F515" s="62"/>
      <c r="G515" s="62"/>
      <c r="H515" s="62"/>
      <c r="I515" s="62"/>
      <c r="J515" s="60"/>
      <c r="L515" s="59"/>
      <c r="M515" s="62"/>
      <c r="N515" s="62"/>
      <c r="O515" s="62"/>
      <c r="P515" s="62"/>
      <c r="Q515" s="62"/>
      <c r="R515" s="62"/>
      <c r="S515" s="62"/>
      <c r="T515" s="60"/>
    </row>
    <row r="516" spans="2:20" ht="18" customHeight="1" x14ac:dyDescent="0.25">
      <c r="B516" s="61"/>
      <c r="C516" s="214" t="s">
        <v>711</v>
      </c>
      <c r="D516" s="215"/>
      <c r="E516" s="216"/>
      <c r="F516" s="62"/>
      <c r="G516" s="214" t="s">
        <v>712</v>
      </c>
      <c r="H516" s="215"/>
      <c r="I516" s="216"/>
      <c r="J516" s="63"/>
      <c r="L516" s="61"/>
      <c r="M516" s="214" t="s">
        <v>711</v>
      </c>
      <c r="N516" s="215"/>
      <c r="O516" s="216"/>
      <c r="P516" s="62"/>
      <c r="Q516" s="214" t="s">
        <v>712</v>
      </c>
      <c r="R516" s="215"/>
      <c r="S516" s="216"/>
      <c r="T516" s="63"/>
    </row>
    <row r="517" spans="2:20" ht="6.6" customHeight="1" x14ac:dyDescent="0.25">
      <c r="B517" s="59"/>
      <c r="C517" s="62"/>
      <c r="D517" s="62"/>
      <c r="E517" s="62"/>
      <c r="F517" s="62"/>
      <c r="G517" s="62"/>
      <c r="H517" s="62"/>
      <c r="I517" s="62"/>
      <c r="J517" s="60"/>
      <c r="L517" s="59"/>
      <c r="M517" s="62"/>
      <c r="N517" s="62"/>
      <c r="O517" s="62"/>
      <c r="P517" s="62"/>
      <c r="Q517" s="62"/>
      <c r="R517" s="62"/>
      <c r="S517" s="62"/>
      <c r="T517" s="60"/>
    </row>
    <row r="518" spans="2:20" ht="18" customHeight="1" x14ac:dyDescent="0.25">
      <c r="B518" s="61"/>
      <c r="C518" s="214" t="s">
        <v>1273</v>
      </c>
      <c r="D518" s="215"/>
      <c r="E518" s="216"/>
      <c r="F518" s="62"/>
      <c r="G518" s="214" t="s">
        <v>1357</v>
      </c>
      <c r="H518" s="215"/>
      <c r="I518" s="216"/>
      <c r="J518" s="63"/>
      <c r="L518" s="61"/>
      <c r="M518" s="214" t="s">
        <v>1273</v>
      </c>
      <c r="N518" s="215"/>
      <c r="O518" s="216"/>
      <c r="P518" s="62"/>
      <c r="Q518" s="214" t="s">
        <v>1358</v>
      </c>
      <c r="R518" s="215"/>
      <c r="S518" s="216"/>
      <c r="T518" s="63"/>
    </row>
    <row r="519" spans="2:20" ht="6.95" customHeight="1" x14ac:dyDescent="0.25">
      <c r="B519" s="59"/>
      <c r="C519" s="62"/>
      <c r="D519" s="62"/>
      <c r="E519" s="62"/>
      <c r="F519" s="62"/>
      <c r="G519" s="62"/>
      <c r="H519" s="62"/>
      <c r="I519" s="62"/>
      <c r="J519" s="60"/>
      <c r="L519" s="59"/>
      <c r="M519" s="62"/>
      <c r="N519" s="62"/>
      <c r="O519" s="62"/>
      <c r="P519" s="62"/>
      <c r="Q519" s="62"/>
      <c r="R519" s="62"/>
      <c r="S519" s="62"/>
      <c r="T519" s="60"/>
    </row>
    <row r="520" spans="2:20" ht="18" customHeight="1" x14ac:dyDescent="0.25">
      <c r="B520" s="61"/>
      <c r="C520" s="214" t="s">
        <v>713</v>
      </c>
      <c r="D520" s="215"/>
      <c r="E520" s="216"/>
      <c r="F520" s="62"/>
      <c r="G520" s="220" t="s">
        <v>1293</v>
      </c>
      <c r="H520" s="220"/>
      <c r="I520" s="220"/>
      <c r="J520" s="63"/>
      <c r="L520" s="61"/>
      <c r="M520" s="214" t="s">
        <v>713</v>
      </c>
      <c r="N520" s="215"/>
      <c r="O520" s="216"/>
      <c r="P520" s="62"/>
      <c r="Q520" s="220" t="s">
        <v>1293</v>
      </c>
      <c r="R520" s="220"/>
      <c r="S520" s="220"/>
      <c r="T520" s="63"/>
    </row>
    <row r="521" spans="2:20" ht="6.95" customHeight="1" x14ac:dyDescent="0.25">
      <c r="B521" s="59"/>
      <c r="C521" s="128"/>
      <c r="D521" s="128"/>
      <c r="E521" s="128"/>
      <c r="F521" s="62"/>
      <c r="G521" s="128"/>
      <c r="H521" s="128"/>
      <c r="I521" s="128"/>
      <c r="J521" s="63"/>
      <c r="L521" s="59"/>
      <c r="M521" s="128"/>
      <c r="N521" s="128"/>
      <c r="O521" s="128"/>
      <c r="P521" s="62"/>
      <c r="Q521" s="128"/>
      <c r="R521" s="128"/>
      <c r="S521" s="128"/>
      <c r="T521" s="63"/>
    </row>
    <row r="522" spans="2:20" ht="18" customHeight="1" x14ac:dyDescent="0.25">
      <c r="B522" s="59"/>
      <c r="C522" s="220" t="s">
        <v>715</v>
      </c>
      <c r="D522" s="220"/>
      <c r="E522" s="220"/>
      <c r="F522" s="62"/>
      <c r="G522" s="220" t="s">
        <v>1288</v>
      </c>
      <c r="H522" s="220"/>
      <c r="I522" s="220"/>
      <c r="J522" s="63"/>
      <c r="L522" s="59"/>
      <c r="M522" s="220" t="s">
        <v>715</v>
      </c>
      <c r="N522" s="220"/>
      <c r="O522" s="220"/>
      <c r="P522" s="62"/>
      <c r="Q522" s="220" t="s">
        <v>1288</v>
      </c>
      <c r="R522" s="220"/>
      <c r="S522" s="220"/>
      <c r="T522" s="63"/>
    </row>
    <row r="523" spans="2:20" ht="6.95" customHeight="1" thickBot="1" x14ac:dyDescent="0.3">
      <c r="B523" s="64"/>
      <c r="C523" s="65"/>
      <c r="D523" s="65"/>
      <c r="E523" s="65"/>
      <c r="F523" s="65"/>
      <c r="G523" s="65"/>
      <c r="H523" s="65"/>
      <c r="I523" s="65"/>
      <c r="J523" s="66"/>
      <c r="L523" s="64"/>
      <c r="M523" s="65"/>
      <c r="N523" s="65"/>
      <c r="O523" s="65"/>
      <c r="P523" s="65"/>
      <c r="Q523" s="65"/>
      <c r="R523" s="65"/>
      <c r="S523" s="65"/>
      <c r="T523" s="66"/>
    </row>
    <row r="524" spans="2:20" ht="32.1" customHeight="1" thickTop="1" x14ac:dyDescent="0.25">
      <c r="B524" s="57"/>
      <c r="C524" s="58"/>
      <c r="D524" s="217" t="s">
        <v>697</v>
      </c>
      <c r="E524" s="218"/>
      <c r="F524" s="218"/>
      <c r="G524" s="218"/>
      <c r="H524" s="218"/>
      <c r="I524" s="218"/>
      <c r="J524" s="219"/>
      <c r="L524" s="57"/>
      <c r="M524" s="58"/>
      <c r="N524" s="217" t="s">
        <v>697</v>
      </c>
      <c r="O524" s="218"/>
      <c r="P524" s="218"/>
      <c r="Q524" s="218"/>
      <c r="R524" s="218"/>
      <c r="S524" s="218"/>
      <c r="T524" s="219"/>
    </row>
    <row r="525" spans="2:20" ht="6.95" customHeight="1" x14ac:dyDescent="0.25">
      <c r="B525" s="59"/>
      <c r="J525" s="60"/>
      <c r="L525" s="59"/>
      <c r="T525" s="60"/>
    </row>
    <row r="526" spans="2:20" ht="18" customHeight="1" x14ac:dyDescent="0.25">
      <c r="B526" s="61"/>
      <c r="C526" s="214" t="s">
        <v>698</v>
      </c>
      <c r="D526" s="215"/>
      <c r="E526" s="216"/>
      <c r="F526" s="62"/>
      <c r="G526" s="214" t="s">
        <v>1359</v>
      </c>
      <c r="H526" s="215"/>
      <c r="I526" s="216"/>
      <c r="J526" s="63"/>
      <c r="L526" s="61"/>
      <c r="M526" s="214" t="s">
        <v>698</v>
      </c>
      <c r="N526" s="215"/>
      <c r="O526" s="216"/>
      <c r="P526" s="62"/>
      <c r="Q526" s="214" t="s">
        <v>1360</v>
      </c>
      <c r="R526" s="215"/>
      <c r="S526" s="216"/>
      <c r="T526" s="63"/>
    </row>
    <row r="527" spans="2:20" ht="6.95" customHeight="1" x14ac:dyDescent="0.25">
      <c r="B527" s="59"/>
      <c r="C527" s="62"/>
      <c r="D527" s="62"/>
      <c r="E527" s="62"/>
      <c r="F527" s="62"/>
      <c r="G527" s="62"/>
      <c r="H527" s="62"/>
      <c r="I527" s="62"/>
      <c r="J527" s="60"/>
      <c r="L527" s="59"/>
      <c r="M527" s="62"/>
      <c r="N527" s="62"/>
      <c r="O527" s="62"/>
      <c r="P527" s="62"/>
      <c r="Q527" s="62"/>
      <c r="R527" s="62"/>
      <c r="S527" s="62"/>
      <c r="T527" s="60"/>
    </row>
    <row r="528" spans="2:20" ht="18" customHeight="1" x14ac:dyDescent="0.25">
      <c r="B528" s="61"/>
      <c r="C528" s="214" t="s">
        <v>699</v>
      </c>
      <c r="D528" s="215"/>
      <c r="E528" s="216"/>
      <c r="F528" s="62"/>
      <c r="G528" s="214" t="s">
        <v>1639</v>
      </c>
      <c r="H528" s="215"/>
      <c r="I528" s="216"/>
      <c r="J528" s="63"/>
      <c r="L528" s="61"/>
      <c r="M528" s="214" t="s">
        <v>699</v>
      </c>
      <c r="N528" s="215"/>
      <c r="O528" s="216"/>
      <c r="P528" s="62"/>
      <c r="Q528" s="214" t="s">
        <v>1639</v>
      </c>
      <c r="R528" s="215"/>
      <c r="S528" s="216"/>
      <c r="T528" s="63"/>
    </row>
    <row r="529" spans="2:20" ht="6.95" customHeight="1" x14ac:dyDescent="0.25">
      <c r="B529" s="59"/>
      <c r="C529" s="62"/>
      <c r="D529" s="62"/>
      <c r="E529" s="62"/>
      <c r="F529" s="62"/>
      <c r="G529" s="62"/>
      <c r="H529" s="62"/>
      <c r="I529" s="62"/>
      <c r="J529" s="60"/>
      <c r="L529" s="59"/>
      <c r="M529" s="62"/>
      <c r="N529" s="62"/>
      <c r="O529" s="62"/>
      <c r="P529" s="62"/>
      <c r="Q529" s="62"/>
      <c r="R529" s="62"/>
      <c r="S529" s="62"/>
      <c r="T529" s="60"/>
    </row>
    <row r="530" spans="2:20" ht="18" customHeight="1" x14ac:dyDescent="0.25">
      <c r="B530" s="61"/>
      <c r="C530" s="214" t="s">
        <v>701</v>
      </c>
      <c r="D530" s="215"/>
      <c r="E530" s="216"/>
      <c r="F530" s="62"/>
      <c r="G530" s="214" t="s">
        <v>986</v>
      </c>
      <c r="H530" s="215"/>
      <c r="I530" s="216"/>
      <c r="J530" s="63"/>
      <c r="L530" s="61"/>
      <c r="M530" s="214" t="s">
        <v>701</v>
      </c>
      <c r="N530" s="215"/>
      <c r="O530" s="216"/>
      <c r="P530" s="62"/>
      <c r="Q530" s="214" t="s">
        <v>986</v>
      </c>
      <c r="R530" s="215"/>
      <c r="S530" s="216"/>
      <c r="T530" s="63"/>
    </row>
    <row r="531" spans="2:20" ht="6.95" customHeight="1" x14ac:dyDescent="0.25">
      <c r="B531" s="59"/>
      <c r="C531" s="62"/>
      <c r="D531" s="62"/>
      <c r="E531" s="62"/>
      <c r="F531" s="62"/>
      <c r="G531" s="62"/>
      <c r="H531" s="62"/>
      <c r="I531" s="62"/>
      <c r="J531" s="60"/>
      <c r="L531" s="59"/>
      <c r="M531" s="62"/>
      <c r="N531" s="62"/>
      <c r="O531" s="62"/>
      <c r="P531" s="62"/>
      <c r="Q531" s="62"/>
      <c r="R531" s="62"/>
      <c r="S531" s="62"/>
      <c r="T531" s="60"/>
    </row>
    <row r="532" spans="2:20" ht="18" customHeight="1" x14ac:dyDescent="0.25">
      <c r="B532" s="61"/>
      <c r="C532" s="214" t="s">
        <v>703</v>
      </c>
      <c r="D532" s="215"/>
      <c r="E532" s="216"/>
      <c r="F532" s="62"/>
      <c r="G532" s="214" t="s">
        <v>109</v>
      </c>
      <c r="H532" s="215"/>
      <c r="I532" s="216"/>
      <c r="J532" s="63"/>
      <c r="L532" s="61"/>
      <c r="M532" s="214" t="s">
        <v>703</v>
      </c>
      <c r="N532" s="215"/>
      <c r="O532" s="216"/>
      <c r="P532" s="62"/>
      <c r="Q532" s="214" t="s">
        <v>109</v>
      </c>
      <c r="R532" s="215"/>
      <c r="S532" s="216"/>
      <c r="T532" s="63"/>
    </row>
    <row r="533" spans="2:20" ht="6.95" customHeight="1" x14ac:dyDescent="0.25">
      <c r="B533" s="59"/>
      <c r="C533" s="62"/>
      <c r="D533" s="62"/>
      <c r="E533" s="62"/>
      <c r="F533" s="62"/>
      <c r="G533" s="62"/>
      <c r="H533" s="62"/>
      <c r="I533" s="62"/>
      <c r="J533" s="60"/>
      <c r="L533" s="59"/>
      <c r="M533" s="62"/>
      <c r="N533" s="62"/>
      <c r="O533" s="62"/>
      <c r="P533" s="62"/>
      <c r="Q533" s="62"/>
      <c r="R533" s="62"/>
      <c r="S533" s="62"/>
      <c r="T533" s="60"/>
    </row>
    <row r="534" spans="2:20" ht="18" customHeight="1" x14ac:dyDescent="0.25">
      <c r="B534" s="61"/>
      <c r="C534" s="214" t="s">
        <v>705</v>
      </c>
      <c r="D534" s="215"/>
      <c r="E534" s="216"/>
      <c r="F534" s="62"/>
      <c r="G534" s="214" t="s">
        <v>109</v>
      </c>
      <c r="H534" s="215"/>
      <c r="I534" s="216"/>
      <c r="J534" s="63"/>
      <c r="L534" s="61"/>
      <c r="M534" s="214" t="s">
        <v>705</v>
      </c>
      <c r="N534" s="215"/>
      <c r="O534" s="216"/>
      <c r="P534" s="62"/>
      <c r="Q534" s="214" t="s">
        <v>109</v>
      </c>
      <c r="R534" s="215"/>
      <c r="S534" s="216"/>
      <c r="T534" s="63"/>
    </row>
    <row r="535" spans="2:20" ht="6.95" customHeight="1" x14ac:dyDescent="0.25">
      <c r="B535" s="59"/>
      <c r="C535" s="62"/>
      <c r="D535" s="62"/>
      <c r="E535" s="62"/>
      <c r="F535" s="62"/>
      <c r="G535" s="62"/>
      <c r="H535" s="62"/>
      <c r="I535" s="62"/>
      <c r="J535" s="60"/>
      <c r="L535" s="59"/>
      <c r="M535" s="62"/>
      <c r="N535" s="62"/>
      <c r="O535" s="62"/>
      <c r="P535" s="62"/>
      <c r="Q535" s="62"/>
      <c r="R535" s="62"/>
      <c r="S535" s="62"/>
      <c r="T535" s="60"/>
    </row>
    <row r="536" spans="2:20" ht="18" customHeight="1" x14ac:dyDescent="0.25">
      <c r="B536" s="61"/>
      <c r="C536" s="214" t="s">
        <v>708</v>
      </c>
      <c r="D536" s="215"/>
      <c r="E536" s="216"/>
      <c r="F536" s="62"/>
      <c r="G536" s="214" t="s">
        <v>109</v>
      </c>
      <c r="H536" s="215"/>
      <c r="I536" s="216"/>
      <c r="J536" s="63"/>
      <c r="L536" s="61"/>
      <c r="M536" s="214" t="s">
        <v>708</v>
      </c>
      <c r="N536" s="215"/>
      <c r="O536" s="216"/>
      <c r="P536" s="62"/>
      <c r="Q536" s="214" t="s">
        <v>109</v>
      </c>
      <c r="R536" s="215"/>
      <c r="S536" s="216"/>
      <c r="T536" s="63"/>
    </row>
    <row r="537" spans="2:20" ht="6.95" customHeight="1" x14ac:dyDescent="0.25">
      <c r="B537" s="59"/>
      <c r="C537" s="62"/>
      <c r="D537" s="62"/>
      <c r="E537" s="62"/>
      <c r="F537" s="62"/>
      <c r="G537" s="62"/>
      <c r="H537" s="62"/>
      <c r="I537" s="62"/>
      <c r="J537" s="60"/>
      <c r="L537" s="59"/>
      <c r="M537" s="62"/>
      <c r="N537" s="62"/>
      <c r="O537" s="62"/>
      <c r="P537" s="62"/>
      <c r="Q537" s="62"/>
      <c r="R537" s="62"/>
      <c r="S537" s="62"/>
      <c r="T537" s="60"/>
    </row>
    <row r="538" spans="2:20" ht="18" customHeight="1" x14ac:dyDescent="0.25">
      <c r="B538" s="61"/>
      <c r="C538" s="214" t="s">
        <v>711</v>
      </c>
      <c r="D538" s="215"/>
      <c r="E538" s="216"/>
      <c r="F538" s="62"/>
      <c r="G538" s="214" t="s">
        <v>712</v>
      </c>
      <c r="H538" s="215"/>
      <c r="I538" s="216"/>
      <c r="J538" s="63"/>
      <c r="L538" s="61"/>
      <c r="M538" s="214" t="s">
        <v>711</v>
      </c>
      <c r="N538" s="215"/>
      <c r="O538" s="216"/>
      <c r="P538" s="62"/>
      <c r="Q538" s="214" t="s">
        <v>712</v>
      </c>
      <c r="R538" s="215"/>
      <c r="S538" s="216"/>
      <c r="T538" s="63"/>
    </row>
    <row r="539" spans="2:20" ht="6.6" customHeight="1" x14ac:dyDescent="0.25">
      <c r="B539" s="59"/>
      <c r="C539" s="62"/>
      <c r="D539" s="62"/>
      <c r="E539" s="62"/>
      <c r="F539" s="62"/>
      <c r="G539" s="62"/>
      <c r="H539" s="62"/>
      <c r="I539" s="62"/>
      <c r="J539" s="60"/>
      <c r="L539" s="59"/>
      <c r="M539" s="62"/>
      <c r="N539" s="62"/>
      <c r="O539" s="62"/>
      <c r="P539" s="62"/>
      <c r="Q539" s="62"/>
      <c r="R539" s="62"/>
      <c r="S539" s="62"/>
      <c r="T539" s="60"/>
    </row>
    <row r="540" spans="2:20" ht="18" customHeight="1" x14ac:dyDescent="0.25">
      <c r="B540" s="61"/>
      <c r="C540" s="214" t="s">
        <v>1273</v>
      </c>
      <c r="D540" s="215"/>
      <c r="E540" s="216"/>
      <c r="F540" s="62"/>
      <c r="G540" s="214" t="s">
        <v>1361</v>
      </c>
      <c r="H540" s="215"/>
      <c r="I540" s="216"/>
      <c r="J540" s="63"/>
      <c r="L540" s="61"/>
      <c r="M540" s="214" t="s">
        <v>1273</v>
      </c>
      <c r="N540" s="215"/>
      <c r="O540" s="216"/>
      <c r="P540" s="62"/>
      <c r="Q540" s="214" t="s">
        <v>1362</v>
      </c>
      <c r="R540" s="215"/>
      <c r="S540" s="216"/>
      <c r="T540" s="63"/>
    </row>
    <row r="541" spans="2:20" ht="6.95" customHeight="1" x14ac:dyDescent="0.25">
      <c r="B541" s="59"/>
      <c r="C541" s="62"/>
      <c r="D541" s="62"/>
      <c r="E541" s="62"/>
      <c r="F541" s="62"/>
      <c r="G541" s="62"/>
      <c r="H541" s="62"/>
      <c r="I541" s="62"/>
      <c r="J541" s="60"/>
      <c r="L541" s="59"/>
      <c r="M541" s="62"/>
      <c r="N541" s="62"/>
      <c r="O541" s="62"/>
      <c r="P541" s="62"/>
      <c r="Q541" s="62"/>
      <c r="R541" s="62"/>
      <c r="S541" s="62"/>
      <c r="T541" s="60"/>
    </row>
    <row r="542" spans="2:20" ht="18" customHeight="1" x14ac:dyDescent="0.25">
      <c r="B542" s="61"/>
      <c r="C542" s="214" t="s">
        <v>713</v>
      </c>
      <c r="D542" s="215"/>
      <c r="E542" s="216"/>
      <c r="F542" s="62"/>
      <c r="G542" s="220" t="s">
        <v>1293</v>
      </c>
      <c r="H542" s="220"/>
      <c r="I542" s="220"/>
      <c r="J542" s="63"/>
      <c r="L542" s="61"/>
      <c r="M542" s="214" t="s">
        <v>713</v>
      </c>
      <c r="N542" s="215"/>
      <c r="O542" s="216"/>
      <c r="P542" s="62"/>
      <c r="Q542" s="220" t="s">
        <v>1293</v>
      </c>
      <c r="R542" s="220"/>
      <c r="S542" s="220"/>
      <c r="T542" s="63"/>
    </row>
    <row r="543" spans="2:20" ht="6.95" customHeight="1" x14ac:dyDescent="0.25">
      <c r="B543" s="59"/>
      <c r="C543" s="128"/>
      <c r="D543" s="128"/>
      <c r="E543" s="128"/>
      <c r="F543" s="62"/>
      <c r="G543" s="128"/>
      <c r="H543" s="128"/>
      <c r="I543" s="128"/>
      <c r="J543" s="63"/>
      <c r="L543" s="59"/>
      <c r="M543" s="128"/>
      <c r="N543" s="128"/>
      <c r="O543" s="128"/>
      <c r="P543" s="62"/>
      <c r="Q543" s="128"/>
      <c r="R543" s="128"/>
      <c r="S543" s="128"/>
      <c r="T543" s="63"/>
    </row>
    <row r="544" spans="2:20" ht="18" customHeight="1" x14ac:dyDescent="0.25">
      <c r="B544" s="59"/>
      <c r="C544" s="220" t="s">
        <v>715</v>
      </c>
      <c r="D544" s="220"/>
      <c r="E544" s="220"/>
      <c r="F544" s="62"/>
      <c r="G544" s="220" t="s">
        <v>1288</v>
      </c>
      <c r="H544" s="220"/>
      <c r="I544" s="220"/>
      <c r="J544" s="63"/>
      <c r="L544" s="59"/>
      <c r="M544" s="220" t="s">
        <v>715</v>
      </c>
      <c r="N544" s="220"/>
      <c r="O544" s="220"/>
      <c r="P544" s="62"/>
      <c r="Q544" s="220" t="s">
        <v>1288</v>
      </c>
      <c r="R544" s="220"/>
      <c r="S544" s="220"/>
      <c r="T544" s="63"/>
    </row>
    <row r="545" spans="2:20" ht="6.95" customHeight="1" thickBot="1" x14ac:dyDescent="0.3">
      <c r="B545" s="64"/>
      <c r="C545" s="65"/>
      <c r="D545" s="65"/>
      <c r="E545" s="65"/>
      <c r="F545" s="65"/>
      <c r="G545" s="65"/>
      <c r="H545" s="65"/>
      <c r="I545" s="65"/>
      <c r="J545" s="66"/>
      <c r="L545" s="64"/>
      <c r="M545" s="65"/>
      <c r="N545" s="65"/>
      <c r="O545" s="65"/>
      <c r="P545" s="65"/>
      <c r="Q545" s="65"/>
      <c r="R545" s="65"/>
      <c r="S545" s="65"/>
      <c r="T545" s="66"/>
    </row>
    <row r="546" spans="2:20" ht="32.1" customHeight="1" thickTop="1" x14ac:dyDescent="0.25">
      <c r="B546" s="57"/>
      <c r="C546" s="58"/>
      <c r="D546" s="217" t="s">
        <v>697</v>
      </c>
      <c r="E546" s="218"/>
      <c r="F546" s="218"/>
      <c r="G546" s="218"/>
      <c r="H546" s="218"/>
      <c r="I546" s="218"/>
      <c r="J546" s="219"/>
      <c r="L546" s="57"/>
      <c r="M546" s="58"/>
      <c r="N546" s="217" t="s">
        <v>697</v>
      </c>
      <c r="O546" s="218"/>
      <c r="P546" s="218"/>
      <c r="Q546" s="218"/>
      <c r="R546" s="218"/>
      <c r="S546" s="218"/>
      <c r="T546" s="219"/>
    </row>
    <row r="547" spans="2:20" ht="6.95" customHeight="1" x14ac:dyDescent="0.25">
      <c r="B547" s="59"/>
      <c r="J547" s="60"/>
      <c r="L547" s="59"/>
      <c r="T547" s="60"/>
    </row>
    <row r="548" spans="2:20" ht="18" customHeight="1" x14ac:dyDescent="0.25">
      <c r="B548" s="61"/>
      <c r="C548" s="214" t="s">
        <v>698</v>
      </c>
      <c r="D548" s="215"/>
      <c r="E548" s="216"/>
      <c r="F548" s="62"/>
      <c r="G548" s="214" t="s">
        <v>1363</v>
      </c>
      <c r="H548" s="215"/>
      <c r="I548" s="216"/>
      <c r="J548" s="63"/>
      <c r="L548" s="61"/>
      <c r="M548" s="214" t="s">
        <v>698</v>
      </c>
      <c r="N548" s="215"/>
      <c r="O548" s="216"/>
      <c r="P548" s="62"/>
      <c r="Q548" s="214" t="s">
        <v>1364</v>
      </c>
      <c r="R548" s="215"/>
      <c r="S548" s="216"/>
      <c r="T548" s="63"/>
    </row>
    <row r="549" spans="2:20" ht="6.95" customHeight="1" x14ac:dyDescent="0.25">
      <c r="B549" s="59"/>
      <c r="C549" s="62"/>
      <c r="D549" s="62"/>
      <c r="E549" s="62"/>
      <c r="F549" s="62"/>
      <c r="G549" s="62"/>
      <c r="H549" s="62"/>
      <c r="I549" s="62"/>
      <c r="J549" s="60"/>
      <c r="L549" s="59"/>
      <c r="M549" s="62"/>
      <c r="N549" s="62"/>
      <c r="O549" s="62"/>
      <c r="P549" s="62"/>
      <c r="Q549" s="62"/>
      <c r="R549" s="62"/>
      <c r="S549" s="62"/>
      <c r="T549" s="60"/>
    </row>
    <row r="550" spans="2:20" ht="18" customHeight="1" x14ac:dyDescent="0.25">
      <c r="B550" s="61"/>
      <c r="C550" s="214" t="s">
        <v>699</v>
      </c>
      <c r="D550" s="215"/>
      <c r="E550" s="216"/>
      <c r="F550" s="62"/>
      <c r="G550" s="214" t="s">
        <v>1639</v>
      </c>
      <c r="H550" s="215"/>
      <c r="I550" s="216"/>
      <c r="J550" s="63"/>
      <c r="L550" s="61"/>
      <c r="M550" s="214" t="s">
        <v>699</v>
      </c>
      <c r="N550" s="215"/>
      <c r="O550" s="216"/>
      <c r="P550" s="62"/>
      <c r="Q550" s="214" t="s">
        <v>1639</v>
      </c>
      <c r="R550" s="215"/>
      <c r="S550" s="216"/>
      <c r="T550" s="63"/>
    </row>
    <row r="551" spans="2:20" ht="6.95" customHeight="1" x14ac:dyDescent="0.25">
      <c r="B551" s="59"/>
      <c r="C551" s="62"/>
      <c r="D551" s="62"/>
      <c r="E551" s="62"/>
      <c r="F551" s="62"/>
      <c r="G551" s="62"/>
      <c r="H551" s="62"/>
      <c r="I551" s="62"/>
      <c r="J551" s="60"/>
      <c r="L551" s="59"/>
      <c r="M551" s="62"/>
      <c r="N551" s="62"/>
      <c r="O551" s="62"/>
      <c r="P551" s="62"/>
      <c r="Q551" s="62"/>
      <c r="R551" s="62"/>
      <c r="S551" s="62"/>
      <c r="T551" s="60"/>
    </row>
    <row r="552" spans="2:20" ht="18" customHeight="1" x14ac:dyDescent="0.25">
      <c r="B552" s="61"/>
      <c r="C552" s="214" t="s">
        <v>701</v>
      </c>
      <c r="D552" s="215"/>
      <c r="E552" s="216"/>
      <c r="F552" s="62"/>
      <c r="G552" s="214" t="s">
        <v>986</v>
      </c>
      <c r="H552" s="215"/>
      <c r="I552" s="216"/>
      <c r="J552" s="63"/>
      <c r="L552" s="61"/>
      <c r="M552" s="214" t="s">
        <v>701</v>
      </c>
      <c r="N552" s="215"/>
      <c r="O552" s="216"/>
      <c r="P552" s="62"/>
      <c r="Q552" s="214" t="s">
        <v>986</v>
      </c>
      <c r="R552" s="215"/>
      <c r="S552" s="216"/>
      <c r="T552" s="63"/>
    </row>
    <row r="553" spans="2:20" ht="6.95" customHeight="1" x14ac:dyDescent="0.25">
      <c r="B553" s="59"/>
      <c r="C553" s="62"/>
      <c r="D553" s="62"/>
      <c r="E553" s="62"/>
      <c r="F553" s="62"/>
      <c r="G553" s="62"/>
      <c r="H553" s="62"/>
      <c r="I553" s="62"/>
      <c r="J553" s="60"/>
      <c r="L553" s="59"/>
      <c r="M553" s="62"/>
      <c r="N553" s="62"/>
      <c r="O553" s="62"/>
      <c r="P553" s="62"/>
      <c r="Q553" s="62"/>
      <c r="R553" s="62"/>
      <c r="S553" s="62"/>
      <c r="T553" s="60"/>
    </row>
    <row r="554" spans="2:20" ht="18" customHeight="1" x14ac:dyDescent="0.25">
      <c r="B554" s="61"/>
      <c r="C554" s="214" t="s">
        <v>703</v>
      </c>
      <c r="D554" s="215"/>
      <c r="E554" s="216"/>
      <c r="F554" s="62"/>
      <c r="G554" s="214" t="s">
        <v>109</v>
      </c>
      <c r="H554" s="215"/>
      <c r="I554" s="216"/>
      <c r="J554" s="63"/>
      <c r="L554" s="61"/>
      <c r="M554" s="214" t="s">
        <v>703</v>
      </c>
      <c r="N554" s="215"/>
      <c r="O554" s="216"/>
      <c r="P554" s="62"/>
      <c r="Q554" s="214" t="s">
        <v>109</v>
      </c>
      <c r="R554" s="215"/>
      <c r="S554" s="216"/>
      <c r="T554" s="63"/>
    </row>
    <row r="555" spans="2:20" ht="6.95" customHeight="1" x14ac:dyDescent="0.25">
      <c r="B555" s="59"/>
      <c r="C555" s="62"/>
      <c r="D555" s="62"/>
      <c r="E555" s="62"/>
      <c r="F555" s="62"/>
      <c r="G555" s="62"/>
      <c r="H555" s="62"/>
      <c r="I555" s="62"/>
      <c r="J555" s="60"/>
      <c r="L555" s="59"/>
      <c r="M555" s="62"/>
      <c r="N555" s="62"/>
      <c r="O555" s="62"/>
      <c r="P555" s="62"/>
      <c r="Q555" s="62"/>
      <c r="R555" s="62"/>
      <c r="S555" s="62"/>
      <c r="T555" s="60"/>
    </row>
    <row r="556" spans="2:20" ht="18" customHeight="1" x14ac:dyDescent="0.25">
      <c r="B556" s="61"/>
      <c r="C556" s="214" t="s">
        <v>705</v>
      </c>
      <c r="D556" s="215"/>
      <c r="E556" s="216"/>
      <c r="F556" s="62"/>
      <c r="G556" s="214" t="s">
        <v>109</v>
      </c>
      <c r="H556" s="215"/>
      <c r="I556" s="216"/>
      <c r="J556" s="63"/>
      <c r="L556" s="61"/>
      <c r="M556" s="214" t="s">
        <v>705</v>
      </c>
      <c r="N556" s="215"/>
      <c r="O556" s="216"/>
      <c r="P556" s="62"/>
      <c r="Q556" s="214" t="s">
        <v>109</v>
      </c>
      <c r="R556" s="215"/>
      <c r="S556" s="216"/>
      <c r="T556" s="63"/>
    </row>
    <row r="557" spans="2:20" ht="6.95" customHeight="1" x14ac:dyDescent="0.25">
      <c r="B557" s="59"/>
      <c r="C557" s="62"/>
      <c r="D557" s="62"/>
      <c r="E557" s="62"/>
      <c r="F557" s="62"/>
      <c r="G557" s="62"/>
      <c r="H557" s="62"/>
      <c r="I557" s="62"/>
      <c r="J557" s="60"/>
      <c r="L557" s="59"/>
      <c r="M557" s="62"/>
      <c r="N557" s="62"/>
      <c r="O557" s="62"/>
      <c r="P557" s="62"/>
      <c r="Q557" s="62"/>
      <c r="R557" s="62"/>
      <c r="S557" s="62"/>
      <c r="T557" s="60"/>
    </row>
    <row r="558" spans="2:20" ht="18" customHeight="1" x14ac:dyDescent="0.25">
      <c r="B558" s="61"/>
      <c r="C558" s="214" t="s">
        <v>708</v>
      </c>
      <c r="D558" s="215"/>
      <c r="E558" s="216"/>
      <c r="F558" s="62"/>
      <c r="G558" s="214" t="s">
        <v>109</v>
      </c>
      <c r="H558" s="215"/>
      <c r="I558" s="216"/>
      <c r="J558" s="63"/>
      <c r="L558" s="61"/>
      <c r="M558" s="214" t="s">
        <v>708</v>
      </c>
      <c r="N558" s="215"/>
      <c r="O558" s="216"/>
      <c r="P558" s="62"/>
      <c r="Q558" s="214" t="s">
        <v>109</v>
      </c>
      <c r="R558" s="215"/>
      <c r="S558" s="216"/>
      <c r="T558" s="63"/>
    </row>
    <row r="559" spans="2:20" ht="6.95" customHeight="1" x14ac:dyDescent="0.25">
      <c r="B559" s="59"/>
      <c r="C559" s="62"/>
      <c r="D559" s="62"/>
      <c r="E559" s="62"/>
      <c r="F559" s="62"/>
      <c r="G559" s="62"/>
      <c r="H559" s="62"/>
      <c r="I559" s="62"/>
      <c r="J559" s="60"/>
      <c r="L559" s="59"/>
      <c r="M559" s="62"/>
      <c r="N559" s="62"/>
      <c r="O559" s="62"/>
      <c r="P559" s="62"/>
      <c r="Q559" s="62"/>
      <c r="R559" s="62"/>
      <c r="S559" s="62"/>
      <c r="T559" s="60"/>
    </row>
    <row r="560" spans="2:20" ht="18" customHeight="1" x14ac:dyDescent="0.25">
      <c r="B560" s="61"/>
      <c r="C560" s="214" t="s">
        <v>711</v>
      </c>
      <c r="D560" s="215"/>
      <c r="E560" s="216"/>
      <c r="F560" s="62"/>
      <c r="G560" s="214" t="s">
        <v>712</v>
      </c>
      <c r="H560" s="215"/>
      <c r="I560" s="216"/>
      <c r="J560" s="63"/>
      <c r="L560" s="61"/>
      <c r="M560" s="214" t="s">
        <v>711</v>
      </c>
      <c r="N560" s="215"/>
      <c r="O560" s="216"/>
      <c r="P560" s="62"/>
      <c r="Q560" s="214" t="s">
        <v>712</v>
      </c>
      <c r="R560" s="215"/>
      <c r="S560" s="216"/>
      <c r="T560" s="63"/>
    </row>
    <row r="561" spans="2:20" ht="6.6" customHeight="1" x14ac:dyDescent="0.25">
      <c r="B561" s="59"/>
      <c r="C561" s="62"/>
      <c r="D561" s="62"/>
      <c r="E561" s="62"/>
      <c r="F561" s="62"/>
      <c r="G561" s="62"/>
      <c r="H561" s="62"/>
      <c r="I561" s="62"/>
      <c r="J561" s="60"/>
      <c r="L561" s="59"/>
      <c r="M561" s="62"/>
      <c r="N561" s="62"/>
      <c r="O561" s="62"/>
      <c r="P561" s="62"/>
      <c r="Q561" s="62"/>
      <c r="R561" s="62"/>
      <c r="S561" s="62"/>
      <c r="T561" s="60"/>
    </row>
    <row r="562" spans="2:20" ht="18" customHeight="1" x14ac:dyDescent="0.25">
      <c r="B562" s="61"/>
      <c r="C562" s="214" t="s">
        <v>1273</v>
      </c>
      <c r="D562" s="215"/>
      <c r="E562" s="216"/>
      <c r="F562" s="62"/>
      <c r="G562" s="214" t="s">
        <v>1365</v>
      </c>
      <c r="H562" s="215"/>
      <c r="I562" s="216"/>
      <c r="J562" s="63"/>
      <c r="L562" s="61"/>
      <c r="M562" s="214" t="s">
        <v>1273</v>
      </c>
      <c r="N562" s="215"/>
      <c r="O562" s="216"/>
      <c r="P562" s="62"/>
      <c r="Q562" s="214" t="s">
        <v>1366</v>
      </c>
      <c r="R562" s="215"/>
      <c r="S562" s="216"/>
      <c r="T562" s="63"/>
    </row>
    <row r="563" spans="2:20" ht="6.95" customHeight="1" x14ac:dyDescent="0.25">
      <c r="B563" s="59"/>
      <c r="C563" s="62"/>
      <c r="D563" s="62"/>
      <c r="E563" s="62"/>
      <c r="F563" s="62"/>
      <c r="G563" s="62"/>
      <c r="H563" s="62"/>
      <c r="I563" s="62"/>
      <c r="J563" s="60"/>
      <c r="L563" s="59"/>
      <c r="M563" s="62"/>
      <c r="N563" s="62"/>
      <c r="O563" s="62"/>
      <c r="P563" s="62"/>
      <c r="Q563" s="62"/>
      <c r="R563" s="62"/>
      <c r="S563" s="62"/>
      <c r="T563" s="60"/>
    </row>
    <row r="564" spans="2:20" ht="18" customHeight="1" x14ac:dyDescent="0.25">
      <c r="B564" s="61"/>
      <c r="C564" s="214" t="s">
        <v>713</v>
      </c>
      <c r="D564" s="215"/>
      <c r="E564" s="216"/>
      <c r="F564" s="62"/>
      <c r="G564" s="220" t="s">
        <v>1293</v>
      </c>
      <c r="H564" s="220"/>
      <c r="I564" s="220"/>
      <c r="J564" s="63"/>
      <c r="L564" s="61"/>
      <c r="M564" s="214" t="s">
        <v>713</v>
      </c>
      <c r="N564" s="215"/>
      <c r="O564" s="216"/>
      <c r="P564" s="62"/>
      <c r="Q564" s="220" t="s">
        <v>1293</v>
      </c>
      <c r="R564" s="220"/>
      <c r="S564" s="220"/>
      <c r="T564" s="63"/>
    </row>
    <row r="565" spans="2:20" ht="6.95" customHeight="1" x14ac:dyDescent="0.25">
      <c r="B565" s="59"/>
      <c r="C565" s="128"/>
      <c r="D565" s="128"/>
      <c r="E565" s="128"/>
      <c r="F565" s="62"/>
      <c r="G565" s="128"/>
      <c r="H565" s="128"/>
      <c r="I565" s="128"/>
      <c r="J565" s="63"/>
      <c r="L565" s="59"/>
      <c r="M565" s="128"/>
      <c r="N565" s="128"/>
      <c r="O565" s="128"/>
      <c r="P565" s="62"/>
      <c r="Q565" s="128"/>
      <c r="R565" s="128"/>
      <c r="S565" s="128"/>
      <c r="T565" s="63"/>
    </row>
    <row r="566" spans="2:20" ht="18" customHeight="1" x14ac:dyDescent="0.25">
      <c r="B566" s="59"/>
      <c r="C566" s="220" t="s">
        <v>715</v>
      </c>
      <c r="D566" s="220"/>
      <c r="E566" s="220"/>
      <c r="F566" s="62"/>
      <c r="G566" s="220" t="s">
        <v>1288</v>
      </c>
      <c r="H566" s="220"/>
      <c r="I566" s="220"/>
      <c r="J566" s="63"/>
      <c r="L566" s="59"/>
      <c r="M566" s="220" t="s">
        <v>715</v>
      </c>
      <c r="N566" s="220"/>
      <c r="O566" s="220"/>
      <c r="P566" s="62"/>
      <c r="Q566" s="220" t="s">
        <v>1288</v>
      </c>
      <c r="R566" s="220"/>
      <c r="S566" s="220"/>
      <c r="T566" s="63"/>
    </row>
    <row r="567" spans="2:20" ht="6.95" customHeight="1" thickBot="1" x14ac:dyDescent="0.3">
      <c r="B567" s="64"/>
      <c r="C567" s="65"/>
      <c r="D567" s="65"/>
      <c r="E567" s="65"/>
      <c r="F567" s="65"/>
      <c r="G567" s="65"/>
      <c r="H567" s="65"/>
      <c r="I567" s="65"/>
      <c r="J567" s="66"/>
      <c r="L567" s="64"/>
      <c r="M567" s="65"/>
      <c r="N567" s="65"/>
      <c r="O567" s="65"/>
      <c r="P567" s="65"/>
      <c r="Q567" s="65"/>
      <c r="R567" s="65"/>
      <c r="S567" s="65"/>
      <c r="T567" s="66"/>
    </row>
    <row r="568" spans="2:20" ht="32.1" customHeight="1" thickTop="1" x14ac:dyDescent="0.25">
      <c r="B568" s="57"/>
      <c r="C568" s="58"/>
      <c r="D568" s="217" t="s">
        <v>697</v>
      </c>
      <c r="E568" s="218"/>
      <c r="F568" s="218"/>
      <c r="G568" s="218"/>
      <c r="H568" s="218"/>
      <c r="I568" s="218"/>
      <c r="J568" s="219"/>
      <c r="L568" s="57"/>
      <c r="M568" s="58"/>
      <c r="N568" s="217" t="s">
        <v>697</v>
      </c>
      <c r="O568" s="218"/>
      <c r="P568" s="218"/>
      <c r="Q568" s="218"/>
      <c r="R568" s="218"/>
      <c r="S568" s="218"/>
      <c r="T568" s="219"/>
    </row>
    <row r="569" spans="2:20" ht="6.95" customHeight="1" x14ac:dyDescent="0.25">
      <c r="B569" s="59"/>
      <c r="J569" s="60"/>
      <c r="L569" s="59"/>
      <c r="T569" s="60"/>
    </row>
    <row r="570" spans="2:20" ht="18" customHeight="1" x14ac:dyDescent="0.25">
      <c r="B570" s="61"/>
      <c r="C570" s="214" t="s">
        <v>698</v>
      </c>
      <c r="D570" s="215"/>
      <c r="E570" s="216"/>
      <c r="F570" s="62"/>
      <c r="G570" s="214" t="s">
        <v>1367</v>
      </c>
      <c r="H570" s="215"/>
      <c r="I570" s="216"/>
      <c r="J570" s="63"/>
      <c r="L570" s="61"/>
      <c r="M570" s="214" t="s">
        <v>698</v>
      </c>
      <c r="N570" s="215"/>
      <c r="O570" s="216"/>
      <c r="P570" s="62"/>
      <c r="Q570" s="214" t="s">
        <v>1368</v>
      </c>
      <c r="R570" s="215"/>
      <c r="S570" s="216"/>
      <c r="T570" s="63"/>
    </row>
    <row r="571" spans="2:20" ht="6.95" customHeight="1" x14ac:dyDescent="0.25">
      <c r="B571" s="59"/>
      <c r="C571" s="62"/>
      <c r="D571" s="62"/>
      <c r="E571" s="62"/>
      <c r="F571" s="62"/>
      <c r="G571" s="62"/>
      <c r="H571" s="62"/>
      <c r="I571" s="62"/>
      <c r="J571" s="60"/>
      <c r="L571" s="59"/>
      <c r="M571" s="62"/>
      <c r="N571" s="62"/>
      <c r="O571" s="62"/>
      <c r="P571" s="62"/>
      <c r="Q571" s="62"/>
      <c r="R571" s="62"/>
      <c r="S571" s="62"/>
      <c r="T571" s="60"/>
    </row>
    <row r="572" spans="2:20" ht="18" customHeight="1" x14ac:dyDescent="0.25">
      <c r="B572" s="61"/>
      <c r="C572" s="214" t="s">
        <v>699</v>
      </c>
      <c r="D572" s="215"/>
      <c r="E572" s="216"/>
      <c r="F572" s="62"/>
      <c r="G572" s="214" t="s">
        <v>1639</v>
      </c>
      <c r="H572" s="215"/>
      <c r="I572" s="216"/>
      <c r="J572" s="63"/>
      <c r="L572" s="61"/>
      <c r="M572" s="214" t="s">
        <v>699</v>
      </c>
      <c r="N572" s="215"/>
      <c r="O572" s="216"/>
      <c r="P572" s="62"/>
      <c r="Q572" s="214" t="s">
        <v>1639</v>
      </c>
      <c r="R572" s="215"/>
      <c r="S572" s="216"/>
      <c r="T572" s="63"/>
    </row>
    <row r="573" spans="2:20" ht="6.95" customHeight="1" x14ac:dyDescent="0.25">
      <c r="B573" s="59"/>
      <c r="C573" s="62"/>
      <c r="D573" s="62"/>
      <c r="E573" s="62"/>
      <c r="F573" s="62"/>
      <c r="G573" s="62"/>
      <c r="H573" s="62"/>
      <c r="I573" s="62"/>
      <c r="J573" s="60"/>
      <c r="L573" s="59"/>
      <c r="M573" s="62"/>
      <c r="N573" s="62"/>
      <c r="O573" s="62"/>
      <c r="P573" s="62"/>
      <c r="Q573" s="62"/>
      <c r="R573" s="62"/>
      <c r="S573" s="62"/>
      <c r="T573" s="60"/>
    </row>
    <row r="574" spans="2:20" ht="18" customHeight="1" x14ac:dyDescent="0.25">
      <c r="B574" s="61"/>
      <c r="C574" s="214" t="s">
        <v>701</v>
      </c>
      <c r="D574" s="215"/>
      <c r="E574" s="216"/>
      <c r="F574" s="62"/>
      <c r="G574" s="214" t="s">
        <v>986</v>
      </c>
      <c r="H574" s="215"/>
      <c r="I574" s="216"/>
      <c r="J574" s="63"/>
      <c r="L574" s="61"/>
      <c r="M574" s="214" t="s">
        <v>701</v>
      </c>
      <c r="N574" s="215"/>
      <c r="O574" s="216"/>
      <c r="P574" s="62"/>
      <c r="Q574" s="214" t="s">
        <v>986</v>
      </c>
      <c r="R574" s="215"/>
      <c r="S574" s="216"/>
      <c r="T574" s="63"/>
    </row>
    <row r="575" spans="2:20" ht="6.95" customHeight="1" x14ac:dyDescent="0.25">
      <c r="B575" s="59"/>
      <c r="C575" s="62"/>
      <c r="D575" s="62"/>
      <c r="E575" s="62"/>
      <c r="F575" s="62"/>
      <c r="G575" s="62"/>
      <c r="H575" s="62"/>
      <c r="I575" s="62"/>
      <c r="J575" s="60"/>
      <c r="L575" s="59"/>
      <c r="M575" s="62"/>
      <c r="N575" s="62"/>
      <c r="O575" s="62"/>
      <c r="P575" s="62"/>
      <c r="Q575" s="62"/>
      <c r="R575" s="62"/>
      <c r="S575" s="62"/>
      <c r="T575" s="60"/>
    </row>
    <row r="576" spans="2:20" ht="18" customHeight="1" x14ac:dyDescent="0.25">
      <c r="B576" s="61"/>
      <c r="C576" s="214" t="s">
        <v>703</v>
      </c>
      <c r="D576" s="215"/>
      <c r="E576" s="216"/>
      <c r="F576" s="62"/>
      <c r="G576" s="214" t="s">
        <v>109</v>
      </c>
      <c r="H576" s="215"/>
      <c r="I576" s="216"/>
      <c r="J576" s="63"/>
      <c r="L576" s="61"/>
      <c r="M576" s="214" t="s">
        <v>703</v>
      </c>
      <c r="N576" s="215"/>
      <c r="O576" s="216"/>
      <c r="P576" s="62"/>
      <c r="Q576" s="214" t="s">
        <v>109</v>
      </c>
      <c r="R576" s="215"/>
      <c r="S576" s="216"/>
      <c r="T576" s="63"/>
    </row>
    <row r="577" spans="2:20" ht="6.95" customHeight="1" x14ac:dyDescent="0.25">
      <c r="B577" s="59"/>
      <c r="C577" s="62"/>
      <c r="D577" s="62"/>
      <c r="E577" s="62"/>
      <c r="F577" s="62"/>
      <c r="G577" s="62"/>
      <c r="H577" s="62"/>
      <c r="I577" s="62"/>
      <c r="J577" s="60"/>
      <c r="L577" s="59"/>
      <c r="M577" s="62"/>
      <c r="N577" s="62"/>
      <c r="O577" s="62"/>
      <c r="P577" s="62"/>
      <c r="Q577" s="62"/>
      <c r="R577" s="62"/>
      <c r="S577" s="62"/>
      <c r="T577" s="60"/>
    </row>
    <row r="578" spans="2:20" ht="18" customHeight="1" x14ac:dyDescent="0.25">
      <c r="B578" s="61"/>
      <c r="C578" s="214" t="s">
        <v>705</v>
      </c>
      <c r="D578" s="215"/>
      <c r="E578" s="216"/>
      <c r="F578" s="62"/>
      <c r="G578" s="214" t="s">
        <v>109</v>
      </c>
      <c r="H578" s="215"/>
      <c r="I578" s="216"/>
      <c r="J578" s="63"/>
      <c r="L578" s="61"/>
      <c r="M578" s="214" t="s">
        <v>705</v>
      </c>
      <c r="N578" s="215"/>
      <c r="O578" s="216"/>
      <c r="P578" s="62"/>
      <c r="Q578" s="214" t="s">
        <v>109</v>
      </c>
      <c r="R578" s="215"/>
      <c r="S578" s="216"/>
      <c r="T578" s="63"/>
    </row>
    <row r="579" spans="2:20" ht="6.95" customHeight="1" x14ac:dyDescent="0.25">
      <c r="B579" s="59"/>
      <c r="C579" s="62"/>
      <c r="D579" s="62"/>
      <c r="E579" s="62"/>
      <c r="F579" s="62"/>
      <c r="G579" s="62"/>
      <c r="H579" s="62"/>
      <c r="I579" s="62"/>
      <c r="J579" s="60"/>
      <c r="L579" s="59"/>
      <c r="M579" s="62"/>
      <c r="N579" s="62"/>
      <c r="O579" s="62"/>
      <c r="P579" s="62"/>
      <c r="Q579" s="62"/>
      <c r="R579" s="62"/>
      <c r="S579" s="62"/>
      <c r="T579" s="60"/>
    </row>
    <row r="580" spans="2:20" ht="18" customHeight="1" x14ac:dyDescent="0.25">
      <c r="B580" s="61"/>
      <c r="C580" s="214" t="s">
        <v>708</v>
      </c>
      <c r="D580" s="215"/>
      <c r="E580" s="216"/>
      <c r="F580" s="62"/>
      <c r="G580" s="214" t="s">
        <v>109</v>
      </c>
      <c r="H580" s="215"/>
      <c r="I580" s="216"/>
      <c r="J580" s="63"/>
      <c r="L580" s="61"/>
      <c r="M580" s="214" t="s">
        <v>708</v>
      </c>
      <c r="N580" s="215"/>
      <c r="O580" s="216"/>
      <c r="P580" s="62"/>
      <c r="Q580" s="214" t="s">
        <v>109</v>
      </c>
      <c r="R580" s="215"/>
      <c r="S580" s="216"/>
      <c r="T580" s="63"/>
    </row>
    <row r="581" spans="2:20" ht="6.95" customHeight="1" x14ac:dyDescent="0.25">
      <c r="B581" s="59"/>
      <c r="C581" s="62"/>
      <c r="D581" s="62"/>
      <c r="E581" s="62"/>
      <c r="F581" s="62"/>
      <c r="G581" s="62"/>
      <c r="H581" s="62"/>
      <c r="I581" s="62"/>
      <c r="J581" s="60"/>
      <c r="L581" s="59"/>
      <c r="M581" s="62"/>
      <c r="N581" s="62"/>
      <c r="O581" s="62"/>
      <c r="P581" s="62"/>
      <c r="Q581" s="62"/>
      <c r="R581" s="62"/>
      <c r="S581" s="62"/>
      <c r="T581" s="60"/>
    </row>
    <row r="582" spans="2:20" ht="18" customHeight="1" x14ac:dyDescent="0.25">
      <c r="B582" s="61"/>
      <c r="C582" s="214" t="s">
        <v>711</v>
      </c>
      <c r="D582" s="215"/>
      <c r="E582" s="216"/>
      <c r="F582" s="62"/>
      <c r="G582" s="214" t="s">
        <v>712</v>
      </c>
      <c r="H582" s="215"/>
      <c r="I582" s="216"/>
      <c r="J582" s="63"/>
      <c r="L582" s="61"/>
      <c r="M582" s="214" t="s">
        <v>711</v>
      </c>
      <c r="N582" s="215"/>
      <c r="O582" s="216"/>
      <c r="P582" s="62"/>
      <c r="Q582" s="214" t="s">
        <v>712</v>
      </c>
      <c r="R582" s="215"/>
      <c r="S582" s="216"/>
      <c r="T582" s="63"/>
    </row>
    <row r="583" spans="2:20" ht="6.6" customHeight="1" x14ac:dyDescent="0.25">
      <c r="B583" s="59"/>
      <c r="C583" s="62"/>
      <c r="D583" s="62"/>
      <c r="E583" s="62"/>
      <c r="F583" s="62"/>
      <c r="G583" s="62"/>
      <c r="H583" s="62"/>
      <c r="I583" s="62"/>
      <c r="J583" s="60"/>
      <c r="L583" s="59"/>
      <c r="M583" s="62"/>
      <c r="N583" s="62"/>
      <c r="O583" s="62"/>
      <c r="P583" s="62"/>
      <c r="Q583" s="62"/>
      <c r="R583" s="62"/>
      <c r="S583" s="62"/>
      <c r="T583" s="60"/>
    </row>
    <row r="584" spans="2:20" ht="18" customHeight="1" x14ac:dyDescent="0.25">
      <c r="B584" s="61"/>
      <c r="C584" s="214" t="s">
        <v>1273</v>
      </c>
      <c r="D584" s="215"/>
      <c r="E584" s="216"/>
      <c r="F584" s="62"/>
      <c r="G584" s="214" t="s">
        <v>1369</v>
      </c>
      <c r="H584" s="215"/>
      <c r="I584" s="216"/>
      <c r="J584" s="63"/>
      <c r="L584" s="61"/>
      <c r="M584" s="214" t="s">
        <v>1273</v>
      </c>
      <c r="N584" s="215"/>
      <c r="O584" s="216"/>
      <c r="P584" s="62"/>
      <c r="Q584" s="214" t="s">
        <v>1370</v>
      </c>
      <c r="R584" s="215"/>
      <c r="S584" s="216"/>
      <c r="T584" s="63"/>
    </row>
    <row r="585" spans="2:20" ht="6.95" customHeight="1" x14ac:dyDescent="0.25">
      <c r="B585" s="59"/>
      <c r="C585" s="62"/>
      <c r="D585" s="62"/>
      <c r="E585" s="62"/>
      <c r="F585" s="62"/>
      <c r="G585" s="62"/>
      <c r="H585" s="62"/>
      <c r="I585" s="62"/>
      <c r="J585" s="60"/>
      <c r="L585" s="59"/>
      <c r="M585" s="62"/>
      <c r="N585" s="62"/>
      <c r="O585" s="62"/>
      <c r="P585" s="62"/>
      <c r="Q585" s="62"/>
      <c r="R585" s="62"/>
      <c r="S585" s="62"/>
      <c r="T585" s="60"/>
    </row>
    <row r="586" spans="2:20" ht="18" customHeight="1" x14ac:dyDescent="0.25">
      <c r="B586" s="61"/>
      <c r="C586" s="214" t="s">
        <v>713</v>
      </c>
      <c r="D586" s="215"/>
      <c r="E586" s="216"/>
      <c r="F586" s="62"/>
      <c r="G586" s="220" t="s">
        <v>1293</v>
      </c>
      <c r="H586" s="220"/>
      <c r="I586" s="220"/>
      <c r="J586" s="63"/>
      <c r="L586" s="61"/>
      <c r="M586" s="214" t="s">
        <v>713</v>
      </c>
      <c r="N586" s="215"/>
      <c r="O586" s="216"/>
      <c r="P586" s="62"/>
      <c r="Q586" s="220" t="s">
        <v>1293</v>
      </c>
      <c r="R586" s="220"/>
      <c r="S586" s="220"/>
      <c r="T586" s="63"/>
    </row>
    <row r="587" spans="2:20" ht="6.95" customHeight="1" x14ac:dyDescent="0.25">
      <c r="B587" s="59"/>
      <c r="C587" s="128"/>
      <c r="D587" s="128"/>
      <c r="E587" s="128"/>
      <c r="F587" s="62"/>
      <c r="G587" s="128"/>
      <c r="H587" s="128"/>
      <c r="I587" s="128"/>
      <c r="J587" s="63"/>
      <c r="L587" s="59"/>
      <c r="M587" s="128"/>
      <c r="N587" s="128"/>
      <c r="O587" s="128"/>
      <c r="P587" s="62"/>
      <c r="Q587" s="128"/>
      <c r="R587" s="128"/>
      <c r="S587" s="128"/>
      <c r="T587" s="63"/>
    </row>
    <row r="588" spans="2:20" ht="18" customHeight="1" x14ac:dyDescent="0.25">
      <c r="B588" s="59"/>
      <c r="C588" s="220" t="s">
        <v>715</v>
      </c>
      <c r="D588" s="220"/>
      <c r="E588" s="220"/>
      <c r="F588" s="62"/>
      <c r="G588" s="220" t="s">
        <v>1288</v>
      </c>
      <c r="H588" s="220"/>
      <c r="I588" s="220"/>
      <c r="J588" s="63"/>
      <c r="L588" s="59"/>
      <c r="M588" s="220" t="s">
        <v>715</v>
      </c>
      <c r="N588" s="220"/>
      <c r="O588" s="220"/>
      <c r="P588" s="62"/>
      <c r="Q588" s="220" t="s">
        <v>1288</v>
      </c>
      <c r="R588" s="220"/>
      <c r="S588" s="220"/>
      <c r="T588" s="63"/>
    </row>
    <row r="589" spans="2:20" ht="6.95" customHeight="1" thickBot="1" x14ac:dyDescent="0.3">
      <c r="B589" s="64"/>
      <c r="C589" s="65"/>
      <c r="D589" s="65"/>
      <c r="E589" s="65"/>
      <c r="F589" s="65"/>
      <c r="G589" s="65"/>
      <c r="H589" s="65"/>
      <c r="I589" s="65"/>
      <c r="J589" s="66"/>
      <c r="L589" s="64"/>
      <c r="M589" s="65"/>
      <c r="N589" s="65"/>
      <c r="O589" s="65"/>
      <c r="P589" s="65"/>
      <c r="Q589" s="65"/>
      <c r="R589" s="65"/>
      <c r="S589" s="65"/>
      <c r="T589" s="66"/>
    </row>
    <row r="590" spans="2:20" ht="32.1" customHeight="1" thickTop="1" x14ac:dyDescent="0.25">
      <c r="B590" s="57"/>
      <c r="C590" s="58"/>
      <c r="D590" s="217" t="s">
        <v>697</v>
      </c>
      <c r="E590" s="218"/>
      <c r="F590" s="218"/>
      <c r="G590" s="218"/>
      <c r="H590" s="218"/>
      <c r="I590" s="218"/>
      <c r="J590" s="219"/>
      <c r="L590" s="57"/>
      <c r="M590" s="58"/>
      <c r="N590" s="217" t="s">
        <v>697</v>
      </c>
      <c r="O590" s="218"/>
      <c r="P590" s="218"/>
      <c r="Q590" s="218"/>
      <c r="R590" s="218"/>
      <c r="S590" s="218"/>
      <c r="T590" s="219"/>
    </row>
    <row r="591" spans="2:20" ht="6.95" customHeight="1" x14ac:dyDescent="0.25">
      <c r="B591" s="59"/>
      <c r="J591" s="60"/>
      <c r="L591" s="59"/>
      <c r="T591" s="60"/>
    </row>
    <row r="592" spans="2:20" ht="18" customHeight="1" x14ac:dyDescent="0.25">
      <c r="B592" s="61"/>
      <c r="C592" s="214" t="s">
        <v>698</v>
      </c>
      <c r="D592" s="215"/>
      <c r="E592" s="216"/>
      <c r="F592" s="62"/>
      <c r="G592" s="214" t="s">
        <v>1371</v>
      </c>
      <c r="H592" s="215"/>
      <c r="I592" s="216"/>
      <c r="J592" s="63"/>
      <c r="L592" s="61"/>
      <c r="M592" s="214" t="s">
        <v>698</v>
      </c>
      <c r="N592" s="215"/>
      <c r="O592" s="216"/>
      <c r="P592" s="62"/>
      <c r="Q592" s="214" t="s">
        <v>1372</v>
      </c>
      <c r="R592" s="215"/>
      <c r="S592" s="216"/>
      <c r="T592" s="63"/>
    </row>
    <row r="593" spans="2:20" ht="6.95" customHeight="1" x14ac:dyDescent="0.25">
      <c r="B593" s="59"/>
      <c r="C593" s="62"/>
      <c r="D593" s="62"/>
      <c r="E593" s="62"/>
      <c r="F593" s="62"/>
      <c r="G593" s="62"/>
      <c r="H593" s="62"/>
      <c r="I593" s="62"/>
      <c r="J593" s="60"/>
      <c r="L593" s="59"/>
      <c r="M593" s="62"/>
      <c r="N593" s="62"/>
      <c r="O593" s="62"/>
      <c r="P593" s="62"/>
      <c r="Q593" s="62"/>
      <c r="R593" s="62"/>
      <c r="S593" s="62"/>
      <c r="T593" s="60"/>
    </row>
    <row r="594" spans="2:20" ht="18" customHeight="1" x14ac:dyDescent="0.25">
      <c r="B594" s="61"/>
      <c r="C594" s="214" t="s">
        <v>699</v>
      </c>
      <c r="D594" s="215"/>
      <c r="E594" s="216"/>
      <c r="F594" s="62"/>
      <c r="G594" s="214" t="s">
        <v>1639</v>
      </c>
      <c r="H594" s="215"/>
      <c r="I594" s="216"/>
      <c r="J594" s="63"/>
      <c r="L594" s="61"/>
      <c r="M594" s="214" t="s">
        <v>699</v>
      </c>
      <c r="N594" s="215"/>
      <c r="O594" s="216"/>
      <c r="P594" s="62"/>
      <c r="Q594" s="214" t="s">
        <v>1639</v>
      </c>
      <c r="R594" s="215"/>
      <c r="S594" s="216"/>
      <c r="T594" s="63"/>
    </row>
    <row r="595" spans="2:20" ht="6.95" customHeight="1" x14ac:dyDescent="0.25">
      <c r="B595" s="59"/>
      <c r="C595" s="62"/>
      <c r="D595" s="62"/>
      <c r="E595" s="62"/>
      <c r="F595" s="62"/>
      <c r="G595" s="62"/>
      <c r="H595" s="62"/>
      <c r="I595" s="62"/>
      <c r="J595" s="60"/>
      <c r="L595" s="59"/>
      <c r="M595" s="62"/>
      <c r="N595" s="62"/>
      <c r="O595" s="62"/>
      <c r="P595" s="62"/>
      <c r="Q595" s="62"/>
      <c r="R595" s="62"/>
      <c r="S595" s="62"/>
      <c r="T595" s="60"/>
    </row>
    <row r="596" spans="2:20" ht="18" customHeight="1" x14ac:dyDescent="0.25">
      <c r="B596" s="61"/>
      <c r="C596" s="214" t="s">
        <v>701</v>
      </c>
      <c r="D596" s="215"/>
      <c r="E596" s="216"/>
      <c r="F596" s="62"/>
      <c r="G596" s="214" t="s">
        <v>986</v>
      </c>
      <c r="H596" s="215"/>
      <c r="I596" s="216"/>
      <c r="J596" s="63"/>
      <c r="L596" s="61"/>
      <c r="M596" s="214" t="s">
        <v>701</v>
      </c>
      <c r="N596" s="215"/>
      <c r="O596" s="216"/>
      <c r="P596" s="62"/>
      <c r="Q596" s="214" t="s">
        <v>986</v>
      </c>
      <c r="R596" s="215"/>
      <c r="S596" s="216"/>
      <c r="T596" s="63"/>
    </row>
    <row r="597" spans="2:20" ht="6.95" customHeight="1" x14ac:dyDescent="0.25">
      <c r="B597" s="59"/>
      <c r="C597" s="62"/>
      <c r="D597" s="62"/>
      <c r="E597" s="62"/>
      <c r="F597" s="62"/>
      <c r="G597" s="62"/>
      <c r="H597" s="62"/>
      <c r="I597" s="62"/>
      <c r="J597" s="60"/>
      <c r="L597" s="59"/>
      <c r="M597" s="62"/>
      <c r="N597" s="62"/>
      <c r="O597" s="62"/>
      <c r="P597" s="62"/>
      <c r="Q597" s="62"/>
      <c r="R597" s="62"/>
      <c r="S597" s="62"/>
      <c r="T597" s="60"/>
    </row>
    <row r="598" spans="2:20" ht="18" customHeight="1" x14ac:dyDescent="0.25">
      <c r="B598" s="61"/>
      <c r="C598" s="214" t="s">
        <v>703</v>
      </c>
      <c r="D598" s="215"/>
      <c r="E598" s="216"/>
      <c r="F598" s="62"/>
      <c r="G598" s="214" t="s">
        <v>109</v>
      </c>
      <c r="H598" s="215"/>
      <c r="I598" s="216"/>
      <c r="J598" s="63"/>
      <c r="L598" s="61"/>
      <c r="M598" s="214" t="s">
        <v>703</v>
      </c>
      <c r="N598" s="215"/>
      <c r="O598" s="216"/>
      <c r="P598" s="62"/>
      <c r="Q598" s="214" t="s">
        <v>109</v>
      </c>
      <c r="R598" s="215"/>
      <c r="S598" s="216"/>
      <c r="T598" s="63"/>
    </row>
    <row r="599" spans="2:20" ht="6.95" customHeight="1" x14ac:dyDescent="0.25">
      <c r="B599" s="59"/>
      <c r="C599" s="62"/>
      <c r="D599" s="62"/>
      <c r="E599" s="62"/>
      <c r="F599" s="62"/>
      <c r="G599" s="62"/>
      <c r="H599" s="62"/>
      <c r="I599" s="62"/>
      <c r="J599" s="60"/>
      <c r="L599" s="59"/>
      <c r="M599" s="62"/>
      <c r="N599" s="62"/>
      <c r="O599" s="62"/>
      <c r="P599" s="62"/>
      <c r="Q599" s="62"/>
      <c r="R599" s="62"/>
      <c r="S599" s="62"/>
      <c r="T599" s="60"/>
    </row>
    <row r="600" spans="2:20" ht="18" customHeight="1" x14ac:dyDescent="0.25">
      <c r="B600" s="61"/>
      <c r="C600" s="214" t="s">
        <v>705</v>
      </c>
      <c r="D600" s="215"/>
      <c r="E600" s="216"/>
      <c r="F600" s="62"/>
      <c r="G600" s="214" t="s">
        <v>109</v>
      </c>
      <c r="H600" s="215"/>
      <c r="I600" s="216"/>
      <c r="J600" s="63"/>
      <c r="L600" s="61"/>
      <c r="M600" s="214" t="s">
        <v>705</v>
      </c>
      <c r="N600" s="215"/>
      <c r="O600" s="216"/>
      <c r="P600" s="62"/>
      <c r="Q600" s="214" t="s">
        <v>109</v>
      </c>
      <c r="R600" s="215"/>
      <c r="S600" s="216"/>
      <c r="T600" s="63"/>
    </row>
    <row r="601" spans="2:20" ht="6.95" customHeight="1" x14ac:dyDescent="0.25">
      <c r="B601" s="59"/>
      <c r="C601" s="62"/>
      <c r="D601" s="62"/>
      <c r="E601" s="62"/>
      <c r="F601" s="62"/>
      <c r="G601" s="62"/>
      <c r="H601" s="62"/>
      <c r="I601" s="62"/>
      <c r="J601" s="60"/>
      <c r="L601" s="59"/>
      <c r="M601" s="62"/>
      <c r="N601" s="62"/>
      <c r="O601" s="62"/>
      <c r="P601" s="62"/>
      <c r="Q601" s="62"/>
      <c r="R601" s="62"/>
      <c r="S601" s="62"/>
      <c r="T601" s="60"/>
    </row>
    <row r="602" spans="2:20" ht="18" customHeight="1" x14ac:dyDescent="0.25">
      <c r="B602" s="61"/>
      <c r="C602" s="214" t="s">
        <v>708</v>
      </c>
      <c r="D602" s="215"/>
      <c r="E602" s="216"/>
      <c r="F602" s="62"/>
      <c r="G602" s="214" t="s">
        <v>109</v>
      </c>
      <c r="H602" s="215"/>
      <c r="I602" s="216"/>
      <c r="J602" s="63"/>
      <c r="L602" s="61"/>
      <c r="M602" s="214" t="s">
        <v>708</v>
      </c>
      <c r="N602" s="215"/>
      <c r="O602" s="216"/>
      <c r="P602" s="62"/>
      <c r="Q602" s="214" t="s">
        <v>109</v>
      </c>
      <c r="R602" s="215"/>
      <c r="S602" s="216"/>
      <c r="T602" s="63"/>
    </row>
    <row r="603" spans="2:20" ht="6.95" customHeight="1" x14ac:dyDescent="0.25">
      <c r="B603" s="59"/>
      <c r="C603" s="62"/>
      <c r="D603" s="62"/>
      <c r="E603" s="62"/>
      <c r="F603" s="62"/>
      <c r="G603" s="62"/>
      <c r="H603" s="62"/>
      <c r="I603" s="62"/>
      <c r="J603" s="60"/>
      <c r="L603" s="59"/>
      <c r="M603" s="62"/>
      <c r="N603" s="62"/>
      <c r="O603" s="62"/>
      <c r="P603" s="62"/>
      <c r="Q603" s="62"/>
      <c r="R603" s="62"/>
      <c r="S603" s="62"/>
      <c r="T603" s="60"/>
    </row>
    <row r="604" spans="2:20" ht="18" customHeight="1" x14ac:dyDescent="0.25">
      <c r="B604" s="61"/>
      <c r="C604" s="214" t="s">
        <v>711</v>
      </c>
      <c r="D604" s="215"/>
      <c r="E604" s="216"/>
      <c r="F604" s="62"/>
      <c r="G604" s="214" t="s">
        <v>712</v>
      </c>
      <c r="H604" s="215"/>
      <c r="I604" s="216"/>
      <c r="J604" s="63"/>
      <c r="L604" s="61"/>
      <c r="M604" s="214" t="s">
        <v>711</v>
      </c>
      <c r="N604" s="215"/>
      <c r="O604" s="216"/>
      <c r="P604" s="62"/>
      <c r="Q604" s="214" t="s">
        <v>712</v>
      </c>
      <c r="R604" s="215"/>
      <c r="S604" s="216"/>
      <c r="T604" s="63"/>
    </row>
    <row r="605" spans="2:20" ht="6.6" customHeight="1" x14ac:dyDescent="0.25">
      <c r="B605" s="59"/>
      <c r="C605" s="62"/>
      <c r="D605" s="62"/>
      <c r="E605" s="62"/>
      <c r="F605" s="62"/>
      <c r="G605" s="62"/>
      <c r="H605" s="62"/>
      <c r="I605" s="62"/>
      <c r="J605" s="60"/>
      <c r="L605" s="59"/>
      <c r="M605" s="62"/>
      <c r="N605" s="62"/>
      <c r="O605" s="62"/>
      <c r="P605" s="62"/>
      <c r="Q605" s="62"/>
      <c r="R605" s="62"/>
      <c r="S605" s="62"/>
      <c r="T605" s="60"/>
    </row>
    <row r="606" spans="2:20" ht="18" customHeight="1" x14ac:dyDescent="0.25">
      <c r="B606" s="61"/>
      <c r="C606" s="214" t="s">
        <v>1273</v>
      </c>
      <c r="D606" s="215"/>
      <c r="E606" s="216"/>
      <c r="F606" s="62"/>
      <c r="G606" s="214" t="s">
        <v>1373</v>
      </c>
      <c r="H606" s="215"/>
      <c r="I606" s="216"/>
      <c r="J606" s="63"/>
      <c r="L606" s="61"/>
      <c r="M606" s="214" t="s">
        <v>1273</v>
      </c>
      <c r="N606" s="215"/>
      <c r="O606" s="216"/>
      <c r="P606" s="62"/>
      <c r="Q606" s="214" t="s">
        <v>1374</v>
      </c>
      <c r="R606" s="215"/>
      <c r="S606" s="216"/>
      <c r="T606" s="63"/>
    </row>
    <row r="607" spans="2:20" ht="6.95" customHeight="1" x14ac:dyDescent="0.25">
      <c r="B607" s="59"/>
      <c r="C607" s="62"/>
      <c r="D607" s="62"/>
      <c r="E607" s="62"/>
      <c r="F607" s="62"/>
      <c r="G607" s="62"/>
      <c r="H607" s="62"/>
      <c r="I607" s="62"/>
      <c r="J607" s="60"/>
      <c r="L607" s="59"/>
      <c r="M607" s="62"/>
      <c r="N607" s="62"/>
      <c r="O607" s="62"/>
      <c r="P607" s="62"/>
      <c r="Q607" s="62"/>
      <c r="R607" s="62"/>
      <c r="S607" s="62"/>
      <c r="T607" s="60"/>
    </row>
    <row r="608" spans="2:20" ht="18" customHeight="1" x14ac:dyDescent="0.25">
      <c r="B608" s="61"/>
      <c r="C608" s="214" t="s">
        <v>713</v>
      </c>
      <c r="D608" s="215"/>
      <c r="E608" s="216"/>
      <c r="F608" s="62"/>
      <c r="G608" s="220" t="s">
        <v>1293</v>
      </c>
      <c r="H608" s="220"/>
      <c r="I608" s="220"/>
      <c r="J608" s="63"/>
      <c r="L608" s="61"/>
      <c r="M608" s="214" t="s">
        <v>713</v>
      </c>
      <c r="N608" s="215"/>
      <c r="O608" s="216"/>
      <c r="P608" s="62"/>
      <c r="Q608" s="220" t="s">
        <v>1293</v>
      </c>
      <c r="R608" s="220"/>
      <c r="S608" s="220"/>
      <c r="T608" s="63"/>
    </row>
    <row r="609" spans="2:20" ht="6.95" customHeight="1" x14ac:dyDescent="0.25">
      <c r="B609" s="59"/>
      <c r="C609" s="128"/>
      <c r="D609" s="128"/>
      <c r="E609" s="128"/>
      <c r="F609" s="62"/>
      <c r="G609" s="128"/>
      <c r="H609" s="128"/>
      <c r="I609" s="128"/>
      <c r="J609" s="63"/>
      <c r="L609" s="59"/>
      <c r="M609" s="128"/>
      <c r="N609" s="128"/>
      <c r="O609" s="128"/>
      <c r="P609" s="62"/>
      <c r="Q609" s="128"/>
      <c r="R609" s="128"/>
      <c r="S609" s="128"/>
      <c r="T609" s="63"/>
    </row>
    <row r="610" spans="2:20" ht="18" customHeight="1" x14ac:dyDescent="0.25">
      <c r="B610" s="59"/>
      <c r="C610" s="220" t="s">
        <v>715</v>
      </c>
      <c r="D610" s="220"/>
      <c r="E610" s="220"/>
      <c r="F610" s="62"/>
      <c r="G610" s="220" t="s">
        <v>1288</v>
      </c>
      <c r="H610" s="220"/>
      <c r="I610" s="220"/>
      <c r="J610" s="63"/>
      <c r="L610" s="59"/>
      <c r="M610" s="220" t="s">
        <v>715</v>
      </c>
      <c r="N610" s="220"/>
      <c r="O610" s="220"/>
      <c r="P610" s="62"/>
      <c r="Q610" s="220" t="s">
        <v>1288</v>
      </c>
      <c r="R610" s="220"/>
      <c r="S610" s="220"/>
      <c r="T610" s="63"/>
    </row>
    <row r="611" spans="2:20" ht="6.95" customHeight="1" thickBot="1" x14ac:dyDescent="0.3">
      <c r="B611" s="64"/>
      <c r="C611" s="65"/>
      <c r="D611" s="65"/>
      <c r="E611" s="65"/>
      <c r="F611" s="65"/>
      <c r="G611" s="65"/>
      <c r="H611" s="65"/>
      <c r="I611" s="65"/>
      <c r="J611" s="66"/>
      <c r="L611" s="64"/>
      <c r="M611" s="65"/>
      <c r="N611" s="65"/>
      <c r="O611" s="65"/>
      <c r="P611" s="65"/>
      <c r="Q611" s="65"/>
      <c r="R611" s="65"/>
      <c r="S611" s="65"/>
      <c r="T611" s="66"/>
    </row>
    <row r="612" spans="2:20" ht="32.1" customHeight="1" thickTop="1" x14ac:dyDescent="0.25">
      <c r="B612" s="57"/>
      <c r="C612" s="58"/>
      <c r="D612" s="217" t="s">
        <v>697</v>
      </c>
      <c r="E612" s="218"/>
      <c r="F612" s="218"/>
      <c r="G612" s="218"/>
      <c r="H612" s="218"/>
      <c r="I612" s="218"/>
      <c r="J612" s="219"/>
      <c r="L612" s="57"/>
      <c r="M612" s="58"/>
      <c r="N612" s="217" t="s">
        <v>697</v>
      </c>
      <c r="O612" s="218"/>
      <c r="P612" s="218"/>
      <c r="Q612" s="218"/>
      <c r="R612" s="218"/>
      <c r="S612" s="218"/>
      <c r="T612" s="219"/>
    </row>
    <row r="613" spans="2:20" ht="6.95" customHeight="1" x14ac:dyDescent="0.25">
      <c r="B613" s="59"/>
      <c r="J613" s="60"/>
      <c r="L613" s="59"/>
      <c r="T613" s="60"/>
    </row>
    <row r="614" spans="2:20" ht="18" customHeight="1" x14ac:dyDescent="0.25">
      <c r="B614" s="61"/>
      <c r="C614" s="214" t="s">
        <v>698</v>
      </c>
      <c r="D614" s="215"/>
      <c r="E614" s="216"/>
      <c r="F614" s="62"/>
      <c r="G614" s="214" t="s">
        <v>1375</v>
      </c>
      <c r="H614" s="215"/>
      <c r="I614" s="216"/>
      <c r="J614" s="63"/>
      <c r="L614" s="61"/>
      <c r="M614" s="214" t="s">
        <v>698</v>
      </c>
      <c r="N614" s="215"/>
      <c r="O614" s="216"/>
      <c r="P614" s="62"/>
      <c r="Q614" s="214" t="s">
        <v>1376</v>
      </c>
      <c r="R614" s="215"/>
      <c r="S614" s="216"/>
      <c r="T614" s="63"/>
    </row>
    <row r="615" spans="2:20" ht="6.95" customHeight="1" x14ac:dyDescent="0.25">
      <c r="B615" s="59"/>
      <c r="C615" s="62"/>
      <c r="D615" s="62"/>
      <c r="E615" s="62"/>
      <c r="F615" s="62"/>
      <c r="G615" s="62"/>
      <c r="H615" s="62"/>
      <c r="I615" s="62"/>
      <c r="J615" s="60"/>
      <c r="L615" s="59"/>
      <c r="M615" s="62"/>
      <c r="N615" s="62"/>
      <c r="O615" s="62"/>
      <c r="P615" s="62"/>
      <c r="Q615" s="62"/>
      <c r="R615" s="62"/>
      <c r="S615" s="62"/>
      <c r="T615" s="60"/>
    </row>
    <row r="616" spans="2:20" ht="18" customHeight="1" x14ac:dyDescent="0.25">
      <c r="B616" s="61"/>
      <c r="C616" s="214" t="s">
        <v>699</v>
      </c>
      <c r="D616" s="215"/>
      <c r="E616" s="216"/>
      <c r="F616" s="62"/>
      <c r="G616" s="214" t="s">
        <v>1639</v>
      </c>
      <c r="H616" s="215"/>
      <c r="I616" s="216"/>
      <c r="J616" s="63"/>
      <c r="L616" s="61"/>
      <c r="M616" s="214" t="s">
        <v>699</v>
      </c>
      <c r="N616" s="215"/>
      <c r="O616" s="216"/>
      <c r="P616" s="62"/>
      <c r="Q616" s="214" t="s">
        <v>1639</v>
      </c>
      <c r="R616" s="215"/>
      <c r="S616" s="216"/>
      <c r="T616" s="63"/>
    </row>
    <row r="617" spans="2:20" ht="6.95" customHeight="1" x14ac:dyDescent="0.25">
      <c r="B617" s="59"/>
      <c r="C617" s="62"/>
      <c r="D617" s="62"/>
      <c r="E617" s="62"/>
      <c r="F617" s="62"/>
      <c r="G617" s="62"/>
      <c r="H617" s="62"/>
      <c r="I617" s="62"/>
      <c r="J617" s="60"/>
      <c r="L617" s="59"/>
      <c r="M617" s="62"/>
      <c r="N617" s="62"/>
      <c r="O617" s="62"/>
      <c r="P617" s="62"/>
      <c r="Q617" s="62"/>
      <c r="R617" s="62"/>
      <c r="S617" s="62"/>
      <c r="T617" s="60"/>
    </row>
    <row r="618" spans="2:20" ht="18" customHeight="1" x14ac:dyDescent="0.25">
      <c r="B618" s="61"/>
      <c r="C618" s="214" t="s">
        <v>701</v>
      </c>
      <c r="D618" s="215"/>
      <c r="E618" s="216"/>
      <c r="F618" s="62"/>
      <c r="G618" s="214" t="s">
        <v>986</v>
      </c>
      <c r="H618" s="215"/>
      <c r="I618" s="216"/>
      <c r="J618" s="63"/>
      <c r="L618" s="61"/>
      <c r="M618" s="214" t="s">
        <v>701</v>
      </c>
      <c r="N618" s="215"/>
      <c r="O618" s="216"/>
      <c r="P618" s="62"/>
      <c r="Q618" s="214" t="s">
        <v>986</v>
      </c>
      <c r="R618" s="215"/>
      <c r="S618" s="216"/>
      <c r="T618" s="63"/>
    </row>
    <row r="619" spans="2:20" ht="6.95" customHeight="1" x14ac:dyDescent="0.25">
      <c r="B619" s="59"/>
      <c r="C619" s="62"/>
      <c r="D619" s="62"/>
      <c r="E619" s="62"/>
      <c r="F619" s="62"/>
      <c r="G619" s="62"/>
      <c r="H619" s="62"/>
      <c r="I619" s="62"/>
      <c r="J619" s="60"/>
      <c r="L619" s="59"/>
      <c r="M619" s="62"/>
      <c r="N619" s="62"/>
      <c r="O619" s="62"/>
      <c r="P619" s="62"/>
      <c r="Q619" s="62"/>
      <c r="R619" s="62"/>
      <c r="S619" s="62"/>
      <c r="T619" s="60"/>
    </row>
    <row r="620" spans="2:20" ht="18" customHeight="1" x14ac:dyDescent="0.25">
      <c r="B620" s="61"/>
      <c r="C620" s="214" t="s">
        <v>703</v>
      </c>
      <c r="D620" s="215"/>
      <c r="E620" s="216"/>
      <c r="F620" s="62"/>
      <c r="G620" s="214" t="s">
        <v>109</v>
      </c>
      <c r="H620" s="215"/>
      <c r="I620" s="216"/>
      <c r="J620" s="63"/>
      <c r="L620" s="61"/>
      <c r="M620" s="214" t="s">
        <v>703</v>
      </c>
      <c r="N620" s="215"/>
      <c r="O620" s="216"/>
      <c r="P620" s="62"/>
      <c r="Q620" s="214" t="s">
        <v>109</v>
      </c>
      <c r="R620" s="215"/>
      <c r="S620" s="216"/>
      <c r="T620" s="63"/>
    </row>
    <row r="621" spans="2:20" ht="6.95" customHeight="1" x14ac:dyDescent="0.25">
      <c r="B621" s="59"/>
      <c r="C621" s="62"/>
      <c r="D621" s="62"/>
      <c r="E621" s="62"/>
      <c r="F621" s="62"/>
      <c r="G621" s="62"/>
      <c r="H621" s="62"/>
      <c r="I621" s="62"/>
      <c r="J621" s="60"/>
      <c r="L621" s="59"/>
      <c r="M621" s="62"/>
      <c r="N621" s="62"/>
      <c r="O621" s="62"/>
      <c r="P621" s="62"/>
      <c r="Q621" s="62"/>
      <c r="R621" s="62"/>
      <c r="S621" s="62"/>
      <c r="T621" s="60"/>
    </row>
    <row r="622" spans="2:20" ht="18" customHeight="1" x14ac:dyDescent="0.25">
      <c r="B622" s="61"/>
      <c r="C622" s="214" t="s">
        <v>705</v>
      </c>
      <c r="D622" s="215"/>
      <c r="E622" s="216"/>
      <c r="F622" s="62"/>
      <c r="G622" s="214" t="s">
        <v>109</v>
      </c>
      <c r="H622" s="215"/>
      <c r="I622" s="216"/>
      <c r="J622" s="63"/>
      <c r="L622" s="61"/>
      <c r="M622" s="214" t="s">
        <v>705</v>
      </c>
      <c r="N622" s="215"/>
      <c r="O622" s="216"/>
      <c r="P622" s="62"/>
      <c r="Q622" s="214" t="s">
        <v>109</v>
      </c>
      <c r="R622" s="215"/>
      <c r="S622" s="216"/>
      <c r="T622" s="63"/>
    </row>
    <row r="623" spans="2:20" ht="6.95" customHeight="1" x14ac:dyDescent="0.25">
      <c r="B623" s="59"/>
      <c r="C623" s="62"/>
      <c r="D623" s="62"/>
      <c r="E623" s="62"/>
      <c r="F623" s="62"/>
      <c r="G623" s="62"/>
      <c r="H623" s="62"/>
      <c r="I623" s="62"/>
      <c r="J623" s="60"/>
      <c r="L623" s="59"/>
      <c r="M623" s="62"/>
      <c r="N623" s="62"/>
      <c r="O623" s="62"/>
      <c r="P623" s="62"/>
      <c r="Q623" s="62"/>
      <c r="R623" s="62"/>
      <c r="S623" s="62"/>
      <c r="T623" s="60"/>
    </row>
    <row r="624" spans="2:20" ht="18" customHeight="1" x14ac:dyDescent="0.25">
      <c r="B624" s="61"/>
      <c r="C624" s="214" t="s">
        <v>708</v>
      </c>
      <c r="D624" s="215"/>
      <c r="E624" s="216"/>
      <c r="F624" s="62"/>
      <c r="G624" s="214" t="s">
        <v>109</v>
      </c>
      <c r="H624" s="215"/>
      <c r="I624" s="216"/>
      <c r="J624" s="63"/>
      <c r="L624" s="61"/>
      <c r="M624" s="214" t="s">
        <v>708</v>
      </c>
      <c r="N624" s="215"/>
      <c r="O624" s="216"/>
      <c r="P624" s="62"/>
      <c r="Q624" s="214" t="s">
        <v>109</v>
      </c>
      <c r="R624" s="215"/>
      <c r="S624" s="216"/>
      <c r="T624" s="63"/>
    </row>
    <row r="625" spans="2:30" ht="6.95" customHeight="1" x14ac:dyDescent="0.25">
      <c r="B625" s="59"/>
      <c r="C625" s="62"/>
      <c r="D625" s="62"/>
      <c r="E625" s="62"/>
      <c r="F625" s="62"/>
      <c r="G625" s="62"/>
      <c r="H625" s="62"/>
      <c r="I625" s="62"/>
      <c r="J625" s="60"/>
      <c r="L625" s="59"/>
      <c r="M625" s="62"/>
      <c r="N625" s="62"/>
      <c r="O625" s="62"/>
      <c r="P625" s="62"/>
      <c r="Q625" s="62"/>
      <c r="R625" s="62"/>
      <c r="S625" s="62"/>
      <c r="T625" s="60"/>
    </row>
    <row r="626" spans="2:30" ht="18" customHeight="1" x14ac:dyDescent="0.25">
      <c r="B626" s="61"/>
      <c r="C626" s="214" t="s">
        <v>711</v>
      </c>
      <c r="D626" s="215"/>
      <c r="E626" s="216"/>
      <c r="F626" s="62"/>
      <c r="G626" s="214" t="s">
        <v>712</v>
      </c>
      <c r="H626" s="215"/>
      <c r="I626" s="216"/>
      <c r="J626" s="63"/>
      <c r="L626" s="61"/>
      <c r="M626" s="214" t="s">
        <v>711</v>
      </c>
      <c r="N626" s="215"/>
      <c r="O626" s="216"/>
      <c r="P626" s="62"/>
      <c r="Q626" s="214" t="s">
        <v>712</v>
      </c>
      <c r="R626" s="215"/>
      <c r="S626" s="216"/>
      <c r="T626" s="63"/>
    </row>
    <row r="627" spans="2:30" ht="6.6" customHeight="1" x14ac:dyDescent="0.25">
      <c r="B627" s="59"/>
      <c r="C627" s="62"/>
      <c r="D627" s="62"/>
      <c r="E627" s="62"/>
      <c r="F627" s="62"/>
      <c r="G627" s="62"/>
      <c r="H627" s="62"/>
      <c r="I627" s="62"/>
      <c r="J627" s="60"/>
      <c r="L627" s="59"/>
      <c r="M627" s="62"/>
      <c r="N627" s="62"/>
      <c r="O627" s="62"/>
      <c r="P627" s="62"/>
      <c r="Q627" s="62"/>
      <c r="R627" s="62"/>
      <c r="S627" s="62"/>
      <c r="T627" s="60"/>
    </row>
    <row r="628" spans="2:30" ht="18" customHeight="1" x14ac:dyDescent="0.25">
      <c r="B628" s="61"/>
      <c r="C628" s="214" t="s">
        <v>1273</v>
      </c>
      <c r="D628" s="215"/>
      <c r="E628" s="216"/>
      <c r="F628" s="62"/>
      <c r="G628" s="214" t="s">
        <v>1377</v>
      </c>
      <c r="H628" s="215"/>
      <c r="I628" s="216"/>
      <c r="J628" s="63"/>
      <c r="L628" s="61"/>
      <c r="M628" s="214" t="s">
        <v>1273</v>
      </c>
      <c r="N628" s="215"/>
      <c r="O628" s="216"/>
      <c r="P628" s="62"/>
      <c r="Q628" s="214" t="s">
        <v>1378</v>
      </c>
      <c r="R628" s="215"/>
      <c r="S628" s="216"/>
      <c r="T628" s="63"/>
    </row>
    <row r="629" spans="2:30" ht="6.95" customHeight="1" x14ac:dyDescent="0.25">
      <c r="B629" s="59"/>
      <c r="C629" s="62"/>
      <c r="D629" s="62"/>
      <c r="E629" s="62"/>
      <c r="F629" s="62"/>
      <c r="G629" s="62"/>
      <c r="H629" s="62"/>
      <c r="I629" s="62"/>
      <c r="J629" s="60"/>
      <c r="L629" s="59"/>
      <c r="M629" s="62"/>
      <c r="N629" s="62"/>
      <c r="O629" s="62"/>
      <c r="P629" s="62"/>
      <c r="Q629" s="62"/>
      <c r="R629" s="62"/>
      <c r="S629" s="62"/>
      <c r="T629" s="60"/>
    </row>
    <row r="630" spans="2:30" ht="18" customHeight="1" x14ac:dyDescent="0.25">
      <c r="B630" s="61"/>
      <c r="C630" s="214" t="s">
        <v>713</v>
      </c>
      <c r="D630" s="215"/>
      <c r="E630" s="216"/>
      <c r="F630" s="62"/>
      <c r="G630" s="220" t="s">
        <v>1293</v>
      </c>
      <c r="H630" s="220"/>
      <c r="I630" s="220"/>
      <c r="J630" s="63"/>
      <c r="L630" s="61"/>
      <c r="M630" s="214" t="s">
        <v>713</v>
      </c>
      <c r="N630" s="215"/>
      <c r="O630" s="216"/>
      <c r="P630" s="62"/>
      <c r="Q630" s="220" t="s">
        <v>1293</v>
      </c>
      <c r="R630" s="220"/>
      <c r="S630" s="220"/>
      <c r="T630" s="63"/>
    </row>
    <row r="631" spans="2:30" ht="6.95" customHeight="1" x14ac:dyDescent="0.25">
      <c r="B631" s="59"/>
      <c r="C631" s="128"/>
      <c r="D631" s="128"/>
      <c r="E631" s="128"/>
      <c r="F631" s="62"/>
      <c r="G631" s="128"/>
      <c r="H631" s="128"/>
      <c r="I631" s="128"/>
      <c r="J631" s="63"/>
      <c r="L631" s="59"/>
      <c r="M631" s="128"/>
      <c r="N631" s="128"/>
      <c r="O631" s="128"/>
      <c r="P631" s="62"/>
      <c r="Q631" s="128"/>
      <c r="R631" s="128"/>
      <c r="S631" s="128"/>
      <c r="T631" s="63"/>
    </row>
    <row r="632" spans="2:30" ht="18" customHeight="1" x14ac:dyDescent="0.25">
      <c r="B632" s="59"/>
      <c r="C632" s="220" t="s">
        <v>715</v>
      </c>
      <c r="D632" s="220"/>
      <c r="E632" s="220"/>
      <c r="F632" s="62"/>
      <c r="G632" s="220" t="s">
        <v>1288</v>
      </c>
      <c r="H632" s="220"/>
      <c r="I632" s="220"/>
      <c r="J632" s="63"/>
      <c r="L632" s="59"/>
      <c r="M632" s="220" t="s">
        <v>715</v>
      </c>
      <c r="N632" s="220"/>
      <c r="O632" s="220"/>
      <c r="P632" s="62"/>
      <c r="Q632" s="220" t="s">
        <v>1288</v>
      </c>
      <c r="R632" s="220"/>
      <c r="S632" s="220"/>
      <c r="T632" s="63"/>
    </row>
    <row r="633" spans="2:30" ht="6.95" customHeight="1" thickBot="1" x14ac:dyDescent="0.3">
      <c r="B633" s="64"/>
      <c r="C633" s="65"/>
      <c r="D633" s="65"/>
      <c r="E633" s="65"/>
      <c r="F633" s="65"/>
      <c r="G633" s="65"/>
      <c r="H633" s="65"/>
      <c r="I633" s="65"/>
      <c r="J633" s="66"/>
      <c r="L633" s="64"/>
      <c r="M633" s="65"/>
      <c r="N633" s="65"/>
      <c r="O633" s="65"/>
      <c r="P633" s="65"/>
      <c r="Q633" s="65"/>
      <c r="R633" s="65"/>
      <c r="S633" s="65"/>
      <c r="T633" s="66"/>
    </row>
    <row r="634" spans="2:30" ht="32.1" customHeight="1" thickTop="1" x14ac:dyDescent="0.25">
      <c r="B634" s="57"/>
      <c r="C634" s="58"/>
      <c r="D634" s="217" t="s">
        <v>697</v>
      </c>
      <c r="E634" s="218"/>
      <c r="F634" s="218"/>
      <c r="G634" s="218"/>
      <c r="H634" s="218"/>
      <c r="I634" s="218"/>
      <c r="J634" s="219"/>
      <c r="L634" s="57"/>
      <c r="M634" s="58"/>
      <c r="N634" s="217" t="s">
        <v>697</v>
      </c>
      <c r="O634" s="218"/>
      <c r="P634" s="218"/>
      <c r="Q634" s="218"/>
      <c r="R634" s="218"/>
      <c r="S634" s="218"/>
      <c r="T634" s="219"/>
      <c r="V634" s="57"/>
      <c r="W634" s="58"/>
      <c r="X634" s="217" t="s">
        <v>697</v>
      </c>
      <c r="Y634" s="218"/>
      <c r="Z634" s="218"/>
      <c r="AA634" s="218"/>
      <c r="AB634" s="218"/>
      <c r="AC634" s="218"/>
      <c r="AD634" s="219"/>
    </row>
    <row r="635" spans="2:30" ht="6.95" customHeight="1" x14ac:dyDescent="0.25">
      <c r="B635" s="59"/>
      <c r="J635" s="60"/>
      <c r="L635" s="59"/>
      <c r="T635" s="60"/>
      <c r="V635" s="59"/>
      <c r="AD635" s="60"/>
    </row>
    <row r="636" spans="2:30" ht="18" customHeight="1" x14ac:dyDescent="0.25">
      <c r="B636" s="61"/>
      <c r="C636" s="214" t="s">
        <v>698</v>
      </c>
      <c r="D636" s="215"/>
      <c r="E636" s="216"/>
      <c r="F636" s="62"/>
      <c r="G636" s="214" t="s">
        <v>1379</v>
      </c>
      <c r="H636" s="215"/>
      <c r="I636" s="216"/>
      <c r="J636" s="63"/>
      <c r="L636" s="61"/>
      <c r="M636" s="214" t="s">
        <v>698</v>
      </c>
      <c r="N636" s="215"/>
      <c r="O636" s="216"/>
      <c r="P636" s="62"/>
      <c r="Q636" s="214" t="s">
        <v>1380</v>
      </c>
      <c r="R636" s="215"/>
      <c r="S636" s="216"/>
      <c r="T636" s="63"/>
      <c r="V636" s="61"/>
      <c r="W636" s="214" t="s">
        <v>698</v>
      </c>
      <c r="X636" s="215"/>
      <c r="Y636" s="216"/>
      <c r="Z636" s="62"/>
      <c r="AA636" s="214" t="s">
        <v>1380</v>
      </c>
      <c r="AB636" s="215"/>
      <c r="AC636" s="216"/>
      <c r="AD636" s="63"/>
    </row>
    <row r="637" spans="2:30" ht="6.95" customHeight="1" x14ac:dyDescent="0.25">
      <c r="B637" s="59"/>
      <c r="C637" s="62"/>
      <c r="D637" s="62"/>
      <c r="E637" s="62"/>
      <c r="F637" s="62"/>
      <c r="G637" s="62"/>
      <c r="H637" s="62"/>
      <c r="I637" s="62"/>
      <c r="J637" s="60"/>
      <c r="L637" s="59"/>
      <c r="M637" s="62"/>
      <c r="N637" s="62"/>
      <c r="O637" s="62"/>
      <c r="P637" s="62"/>
      <c r="Q637" s="62"/>
      <c r="R637" s="62"/>
      <c r="S637" s="62"/>
      <c r="T637" s="60"/>
      <c r="V637" s="59"/>
      <c r="W637" s="62"/>
      <c r="X637" s="62"/>
      <c r="Y637" s="62"/>
      <c r="Z637" s="62"/>
      <c r="AA637" s="62"/>
      <c r="AB637" s="62"/>
      <c r="AC637" s="62"/>
      <c r="AD637" s="60"/>
    </row>
    <row r="638" spans="2:30" ht="18" customHeight="1" x14ac:dyDescent="0.25">
      <c r="B638" s="61"/>
      <c r="C638" s="214" t="s">
        <v>699</v>
      </c>
      <c r="D638" s="215"/>
      <c r="E638" s="216"/>
      <c r="F638" s="62"/>
      <c r="G638" s="214" t="s">
        <v>1639</v>
      </c>
      <c r="H638" s="215"/>
      <c r="I638" s="216"/>
      <c r="J638" s="63"/>
      <c r="L638" s="61"/>
      <c r="M638" s="214" t="s">
        <v>699</v>
      </c>
      <c r="N638" s="215"/>
      <c r="O638" s="216"/>
      <c r="P638" s="62"/>
      <c r="Q638" s="214" t="s">
        <v>1639</v>
      </c>
      <c r="R638" s="215"/>
      <c r="S638" s="216"/>
      <c r="T638" s="63"/>
      <c r="V638" s="61"/>
      <c r="W638" s="214" t="s">
        <v>699</v>
      </c>
      <c r="X638" s="215"/>
      <c r="Y638" s="216"/>
      <c r="Z638" s="62"/>
      <c r="AA638" s="214" t="s">
        <v>1642</v>
      </c>
      <c r="AB638" s="215"/>
      <c r="AC638" s="216"/>
      <c r="AD638" s="63"/>
    </row>
    <row r="639" spans="2:30" ht="6.95" customHeight="1" x14ac:dyDescent="0.25">
      <c r="B639" s="59"/>
      <c r="C639" s="62"/>
      <c r="D639" s="62"/>
      <c r="E639" s="62"/>
      <c r="F639" s="62"/>
      <c r="G639" s="62"/>
      <c r="H639" s="62"/>
      <c r="I639" s="62"/>
      <c r="J639" s="60"/>
      <c r="L639" s="59"/>
      <c r="M639" s="62"/>
      <c r="N639" s="62"/>
      <c r="O639" s="62"/>
      <c r="P639" s="62"/>
      <c r="Q639" s="62"/>
      <c r="R639" s="62"/>
      <c r="S639" s="62"/>
      <c r="T639" s="60"/>
      <c r="V639" s="59"/>
      <c r="W639" s="62"/>
      <c r="X639" s="62"/>
      <c r="Y639" s="62"/>
      <c r="Z639" s="62"/>
      <c r="AA639" s="62"/>
      <c r="AB639" s="62"/>
      <c r="AC639" s="62"/>
      <c r="AD639" s="60"/>
    </row>
    <row r="640" spans="2:30" ht="18" customHeight="1" x14ac:dyDescent="0.25">
      <c r="B640" s="61"/>
      <c r="C640" s="214" t="s">
        <v>701</v>
      </c>
      <c r="D640" s="215"/>
      <c r="E640" s="216"/>
      <c r="F640" s="62"/>
      <c r="G640" s="214" t="s">
        <v>982</v>
      </c>
      <c r="H640" s="215"/>
      <c r="I640" s="216"/>
      <c r="J640" s="63"/>
      <c r="L640" s="61"/>
      <c r="M640" s="214" t="s">
        <v>701</v>
      </c>
      <c r="N640" s="215"/>
      <c r="O640" s="216"/>
      <c r="P640" s="62"/>
      <c r="Q640" s="214" t="s">
        <v>982</v>
      </c>
      <c r="R640" s="215"/>
      <c r="S640" s="216"/>
      <c r="T640" s="63"/>
      <c r="V640" s="61"/>
      <c r="W640" s="214" t="s">
        <v>701</v>
      </c>
      <c r="X640" s="215"/>
      <c r="Y640" s="216"/>
      <c r="Z640" s="62"/>
      <c r="AA640" s="214" t="s">
        <v>982</v>
      </c>
      <c r="AB640" s="215"/>
      <c r="AC640" s="216"/>
      <c r="AD640" s="63"/>
    </row>
    <row r="641" spans="2:30" ht="6.95" customHeight="1" x14ac:dyDescent="0.25">
      <c r="B641" s="59"/>
      <c r="C641" s="62"/>
      <c r="D641" s="62"/>
      <c r="E641" s="62"/>
      <c r="F641" s="62"/>
      <c r="G641" s="62"/>
      <c r="H641" s="62"/>
      <c r="I641" s="62"/>
      <c r="J641" s="60"/>
      <c r="L641" s="59"/>
      <c r="M641" s="62"/>
      <c r="N641" s="62"/>
      <c r="O641" s="62"/>
      <c r="P641" s="62"/>
      <c r="Q641" s="62"/>
      <c r="R641" s="62"/>
      <c r="S641" s="62"/>
      <c r="T641" s="60"/>
      <c r="V641" s="59"/>
      <c r="W641" s="62"/>
      <c r="X641" s="62"/>
      <c r="Y641" s="62"/>
      <c r="Z641" s="62"/>
      <c r="AA641" s="62"/>
      <c r="AB641" s="62"/>
      <c r="AC641" s="62"/>
      <c r="AD641" s="60"/>
    </row>
    <row r="642" spans="2:30" ht="18" customHeight="1" x14ac:dyDescent="0.25">
      <c r="B642" s="61"/>
      <c r="C642" s="214" t="s">
        <v>703</v>
      </c>
      <c r="D642" s="215"/>
      <c r="E642" s="216"/>
      <c r="F642" s="62"/>
      <c r="G642" s="214" t="s">
        <v>109</v>
      </c>
      <c r="H642" s="215"/>
      <c r="I642" s="216"/>
      <c r="J642" s="63"/>
      <c r="L642" s="61"/>
      <c r="M642" s="214" t="s">
        <v>703</v>
      </c>
      <c r="N642" s="215"/>
      <c r="O642" s="216"/>
      <c r="P642" s="62"/>
      <c r="Q642" s="214" t="s">
        <v>109</v>
      </c>
      <c r="R642" s="215"/>
      <c r="S642" s="216"/>
      <c r="T642" s="63"/>
      <c r="V642" s="61"/>
      <c r="W642" s="214" t="s">
        <v>703</v>
      </c>
      <c r="X642" s="215"/>
      <c r="Y642" s="216"/>
      <c r="Z642" s="62"/>
      <c r="AA642" s="214" t="s">
        <v>109</v>
      </c>
      <c r="AB642" s="215"/>
      <c r="AC642" s="216"/>
      <c r="AD642" s="63"/>
    </row>
    <row r="643" spans="2:30" ht="6.95" customHeight="1" x14ac:dyDescent="0.25">
      <c r="B643" s="59"/>
      <c r="C643" s="62"/>
      <c r="D643" s="62"/>
      <c r="E643" s="62"/>
      <c r="F643" s="62"/>
      <c r="G643" s="62"/>
      <c r="H643" s="62"/>
      <c r="I643" s="62"/>
      <c r="J643" s="60"/>
      <c r="L643" s="59"/>
      <c r="M643" s="62"/>
      <c r="N643" s="62"/>
      <c r="O643" s="62"/>
      <c r="P643" s="62"/>
      <c r="Q643" s="62"/>
      <c r="R643" s="62"/>
      <c r="S643" s="62"/>
      <c r="T643" s="60"/>
      <c r="V643" s="59"/>
      <c r="W643" s="62"/>
      <c r="X643" s="62"/>
      <c r="Y643" s="62"/>
      <c r="Z643" s="62"/>
      <c r="AA643" s="62"/>
      <c r="AB643" s="62"/>
      <c r="AC643" s="62"/>
      <c r="AD643" s="60"/>
    </row>
    <row r="644" spans="2:30" ht="18" customHeight="1" x14ac:dyDescent="0.25">
      <c r="B644" s="61"/>
      <c r="C644" s="214" t="s">
        <v>705</v>
      </c>
      <c r="D644" s="215"/>
      <c r="E644" s="216"/>
      <c r="F644" s="62"/>
      <c r="G644" s="214" t="s">
        <v>1381</v>
      </c>
      <c r="H644" s="215"/>
      <c r="I644" s="216"/>
      <c r="J644" s="63"/>
      <c r="L644" s="61"/>
      <c r="M644" s="214" t="s">
        <v>705</v>
      </c>
      <c r="N644" s="215"/>
      <c r="O644" s="216"/>
      <c r="P644" s="62"/>
      <c r="Q644" s="214" t="s">
        <v>1382</v>
      </c>
      <c r="R644" s="215"/>
      <c r="S644" s="216"/>
      <c r="T644" s="63"/>
      <c r="V644" s="61"/>
      <c r="W644" s="214" t="s">
        <v>705</v>
      </c>
      <c r="X644" s="215"/>
      <c r="Y644" s="216"/>
      <c r="Z644" s="62"/>
      <c r="AA644" s="214" t="s">
        <v>1382</v>
      </c>
      <c r="AB644" s="215"/>
      <c r="AC644" s="216"/>
      <c r="AD644" s="63"/>
    </row>
    <row r="645" spans="2:30" ht="6.95" customHeight="1" x14ac:dyDescent="0.25">
      <c r="B645" s="59"/>
      <c r="C645" s="62"/>
      <c r="D645" s="62"/>
      <c r="E645" s="62"/>
      <c r="F645" s="62"/>
      <c r="G645" s="62"/>
      <c r="H645" s="62"/>
      <c r="I645" s="62"/>
      <c r="J645" s="60"/>
      <c r="L645" s="59"/>
      <c r="M645" s="62"/>
      <c r="N645" s="62"/>
      <c r="O645" s="62"/>
      <c r="P645" s="62"/>
      <c r="Q645" s="62"/>
      <c r="R645" s="62"/>
      <c r="S645" s="62"/>
      <c r="T645" s="60"/>
      <c r="V645" s="59"/>
      <c r="W645" s="62"/>
      <c r="X645" s="62"/>
      <c r="Y645" s="62"/>
      <c r="Z645" s="62"/>
      <c r="AA645" s="62"/>
      <c r="AB645" s="62"/>
      <c r="AC645" s="62"/>
      <c r="AD645" s="60"/>
    </row>
    <row r="646" spans="2:30" ht="18" customHeight="1" x14ac:dyDescent="0.25">
      <c r="B646" s="61"/>
      <c r="C646" s="214" t="s">
        <v>708</v>
      </c>
      <c r="D646" s="215"/>
      <c r="E646" s="216"/>
      <c r="F646" s="62"/>
      <c r="G646" s="214" t="s">
        <v>971</v>
      </c>
      <c r="H646" s="215"/>
      <c r="I646" s="216"/>
      <c r="J646" s="63"/>
      <c r="L646" s="61"/>
      <c r="M646" s="214" t="s">
        <v>708</v>
      </c>
      <c r="N646" s="215"/>
      <c r="O646" s="216"/>
      <c r="P646" s="62"/>
      <c r="Q646" s="214" t="s">
        <v>972</v>
      </c>
      <c r="R646" s="215"/>
      <c r="S646" s="216"/>
      <c r="T646" s="63"/>
      <c r="V646" s="61"/>
      <c r="W646" s="214" t="s">
        <v>708</v>
      </c>
      <c r="X646" s="215"/>
      <c r="Y646" s="216"/>
      <c r="Z646" s="62"/>
      <c r="AA646" s="214" t="s">
        <v>972</v>
      </c>
      <c r="AB646" s="215"/>
      <c r="AC646" s="216"/>
      <c r="AD646" s="63"/>
    </row>
    <row r="647" spans="2:30" ht="6.6" customHeight="1" x14ac:dyDescent="0.25">
      <c r="B647" s="59"/>
      <c r="C647" s="62"/>
      <c r="D647" s="62"/>
      <c r="E647" s="62"/>
      <c r="F647" s="62"/>
      <c r="G647" s="62"/>
      <c r="H647" s="62"/>
      <c r="I647" s="62"/>
      <c r="J647" s="60"/>
      <c r="L647" s="59"/>
      <c r="M647" s="62"/>
      <c r="N647" s="62"/>
      <c r="O647" s="62"/>
      <c r="P647" s="62"/>
      <c r="Q647" s="62"/>
      <c r="R647" s="62"/>
      <c r="S647" s="62"/>
      <c r="T647" s="60"/>
      <c r="V647" s="59"/>
      <c r="W647" s="62"/>
      <c r="X647" s="62"/>
      <c r="Y647" s="62"/>
      <c r="Z647" s="62"/>
      <c r="AA647" s="62"/>
      <c r="AB647" s="62"/>
      <c r="AC647" s="62"/>
      <c r="AD647" s="60"/>
    </row>
    <row r="648" spans="2:30" ht="18" customHeight="1" x14ac:dyDescent="0.25">
      <c r="B648" s="61"/>
      <c r="C648" s="214" t="s">
        <v>711</v>
      </c>
      <c r="D648" s="215"/>
      <c r="E648" s="216"/>
      <c r="F648" s="62"/>
      <c r="G648" s="214" t="s">
        <v>712</v>
      </c>
      <c r="H648" s="215"/>
      <c r="I648" s="216"/>
      <c r="J648" s="63"/>
      <c r="L648" s="61"/>
      <c r="M648" s="214" t="s">
        <v>711</v>
      </c>
      <c r="N648" s="215"/>
      <c r="O648" s="216"/>
      <c r="P648" s="62"/>
      <c r="Q648" s="214" t="s">
        <v>712</v>
      </c>
      <c r="R648" s="215"/>
      <c r="S648" s="216"/>
      <c r="T648" s="63"/>
      <c r="V648" s="61"/>
      <c r="W648" s="214" t="s">
        <v>711</v>
      </c>
      <c r="X648" s="215"/>
      <c r="Y648" s="216"/>
      <c r="Z648" s="62"/>
      <c r="AA648" s="214" t="s">
        <v>712</v>
      </c>
      <c r="AB648" s="215"/>
      <c r="AC648" s="216"/>
      <c r="AD648" s="63"/>
    </row>
    <row r="649" spans="2:30" ht="6.95" customHeight="1" x14ac:dyDescent="0.25">
      <c r="B649" s="59"/>
      <c r="C649" s="62"/>
      <c r="D649" s="62"/>
      <c r="E649" s="62"/>
      <c r="F649" s="62"/>
      <c r="G649" s="62"/>
      <c r="H649" s="62"/>
      <c r="I649" s="62"/>
      <c r="J649" s="60"/>
      <c r="L649" s="59"/>
      <c r="M649" s="62"/>
      <c r="N649" s="62"/>
      <c r="O649" s="62"/>
      <c r="P649" s="62"/>
      <c r="Q649" s="62"/>
      <c r="R649" s="62"/>
      <c r="S649" s="62"/>
      <c r="T649" s="60"/>
      <c r="V649" s="59"/>
      <c r="W649" s="62"/>
      <c r="X649" s="62"/>
      <c r="Y649" s="62"/>
      <c r="Z649" s="62"/>
      <c r="AA649" s="62"/>
      <c r="AB649" s="62"/>
      <c r="AC649" s="62"/>
      <c r="AD649" s="60"/>
    </row>
    <row r="650" spans="2:30" ht="18" customHeight="1" x14ac:dyDescent="0.25">
      <c r="B650" s="61"/>
      <c r="C650" s="214" t="s">
        <v>1273</v>
      </c>
      <c r="D650" s="215"/>
      <c r="E650" s="216"/>
      <c r="F650" s="62"/>
      <c r="G650" s="214" t="s">
        <v>1383</v>
      </c>
      <c r="H650" s="215"/>
      <c r="I650" s="216"/>
      <c r="J650" s="63"/>
      <c r="L650" s="61"/>
      <c r="M650" s="214" t="s">
        <v>1273</v>
      </c>
      <c r="N650" s="215"/>
      <c r="O650" s="216"/>
      <c r="P650" s="62"/>
      <c r="Q650" s="214" t="s">
        <v>1384</v>
      </c>
      <c r="R650" s="215"/>
      <c r="S650" s="216"/>
      <c r="T650" s="63"/>
      <c r="V650" s="61"/>
      <c r="W650" s="214" t="s">
        <v>1273</v>
      </c>
      <c r="X650" s="215"/>
      <c r="Y650" s="216"/>
      <c r="Z650" s="62"/>
      <c r="AA650" s="214" t="s">
        <v>1384</v>
      </c>
      <c r="AB650" s="215"/>
      <c r="AC650" s="216"/>
      <c r="AD650" s="63"/>
    </row>
    <row r="651" spans="2:30" ht="6.95" customHeight="1" x14ac:dyDescent="0.25">
      <c r="B651" s="59"/>
      <c r="C651" s="62"/>
      <c r="D651" s="62"/>
      <c r="E651" s="62"/>
      <c r="F651" s="62"/>
      <c r="G651" s="62"/>
      <c r="H651" s="62"/>
      <c r="I651" s="62"/>
      <c r="J651" s="60"/>
      <c r="L651" s="59"/>
      <c r="M651" s="62"/>
      <c r="N651" s="62"/>
      <c r="O651" s="62"/>
      <c r="P651" s="62"/>
      <c r="Q651" s="62"/>
      <c r="R651" s="62"/>
      <c r="S651" s="62"/>
      <c r="T651" s="60"/>
      <c r="V651" s="59"/>
      <c r="W651" s="62"/>
      <c r="X651" s="62"/>
      <c r="Y651" s="62"/>
      <c r="Z651" s="62"/>
      <c r="AA651" s="62"/>
      <c r="AB651" s="62"/>
      <c r="AC651" s="62"/>
      <c r="AD651" s="60"/>
    </row>
    <row r="652" spans="2:30" ht="18" customHeight="1" x14ac:dyDescent="0.25">
      <c r="B652" s="61"/>
      <c r="C652" s="214" t="s">
        <v>713</v>
      </c>
      <c r="D652" s="215"/>
      <c r="E652" s="216"/>
      <c r="F652" s="62"/>
      <c r="G652" s="220" t="s">
        <v>1293</v>
      </c>
      <c r="H652" s="220"/>
      <c r="I652" s="220"/>
      <c r="J652" s="63"/>
      <c r="L652" s="61"/>
      <c r="M652" s="214" t="s">
        <v>713</v>
      </c>
      <c r="N652" s="215"/>
      <c r="O652" s="216"/>
      <c r="P652" s="62"/>
      <c r="Q652" s="220" t="s">
        <v>1293</v>
      </c>
      <c r="R652" s="220"/>
      <c r="S652" s="220"/>
      <c r="T652" s="63"/>
      <c r="V652" s="61"/>
      <c r="W652" s="214" t="s">
        <v>713</v>
      </c>
      <c r="X652" s="215"/>
      <c r="Y652" s="216"/>
      <c r="Z652" s="62"/>
      <c r="AA652" s="220" t="s">
        <v>1293</v>
      </c>
      <c r="AB652" s="220"/>
      <c r="AC652" s="220"/>
      <c r="AD652" s="63"/>
    </row>
    <row r="653" spans="2:30" ht="6.95" customHeight="1" x14ac:dyDescent="0.25">
      <c r="B653" s="59"/>
      <c r="C653" s="128"/>
      <c r="D653" s="128"/>
      <c r="E653" s="128"/>
      <c r="F653" s="62"/>
      <c r="G653" s="128"/>
      <c r="H653" s="128"/>
      <c r="I653" s="128"/>
      <c r="J653" s="63"/>
      <c r="L653" s="59"/>
      <c r="M653" s="128"/>
      <c r="N653" s="128"/>
      <c r="O653" s="128"/>
      <c r="P653" s="62"/>
      <c r="Q653" s="128"/>
      <c r="R653" s="128"/>
      <c r="S653" s="128"/>
      <c r="T653" s="63"/>
      <c r="V653" s="59"/>
      <c r="W653" s="128"/>
      <c r="X653" s="128"/>
      <c r="Y653" s="128"/>
      <c r="Z653" s="62"/>
      <c r="AA653" s="128"/>
      <c r="AB653" s="128"/>
      <c r="AC653" s="128"/>
      <c r="AD653" s="63"/>
    </row>
    <row r="654" spans="2:30" ht="18" customHeight="1" x14ac:dyDescent="0.25">
      <c r="B654" s="59"/>
      <c r="C654" s="220" t="s">
        <v>715</v>
      </c>
      <c r="D654" s="220"/>
      <c r="E654" s="220"/>
      <c r="F654" s="62"/>
      <c r="G654" s="220" t="s">
        <v>1288</v>
      </c>
      <c r="H654" s="220"/>
      <c r="I654" s="220"/>
      <c r="J654" s="63"/>
      <c r="L654" s="59"/>
      <c r="M654" s="220" t="s">
        <v>715</v>
      </c>
      <c r="N654" s="220"/>
      <c r="O654" s="220"/>
      <c r="P654" s="62"/>
      <c r="Q654" s="220" t="s">
        <v>1288</v>
      </c>
      <c r="R654" s="220"/>
      <c r="S654" s="220"/>
      <c r="T654" s="63"/>
      <c r="V654" s="59"/>
      <c r="W654" s="220" t="s">
        <v>715</v>
      </c>
      <c r="X654" s="220"/>
      <c r="Y654" s="220"/>
      <c r="Z654" s="62"/>
      <c r="AA654" s="220" t="s">
        <v>1288</v>
      </c>
      <c r="AB654" s="220"/>
      <c r="AC654" s="220"/>
      <c r="AD654" s="63"/>
    </row>
    <row r="655" spans="2:30" s="77" customFormat="1" ht="6.95" customHeight="1" thickBot="1" x14ac:dyDescent="0.3">
      <c r="B655" s="78"/>
      <c r="C655" s="79"/>
      <c r="D655" s="79"/>
      <c r="E655" s="79"/>
      <c r="F655" s="79"/>
      <c r="G655" s="79"/>
      <c r="H655" s="79"/>
      <c r="I655" s="79"/>
      <c r="J655" s="80"/>
      <c r="L655" s="78"/>
      <c r="M655" s="79"/>
      <c r="N655" s="79"/>
      <c r="O655" s="79"/>
      <c r="P655" s="79"/>
      <c r="Q655" s="79"/>
      <c r="R655" s="79"/>
      <c r="S655" s="79"/>
      <c r="T655" s="80"/>
      <c r="V655" s="78"/>
      <c r="W655" s="79"/>
      <c r="X655" s="79"/>
      <c r="Y655" s="79"/>
      <c r="Z655" s="79"/>
      <c r="AA655" s="79"/>
      <c r="AB655" s="79"/>
      <c r="AC655" s="79"/>
      <c r="AD655" s="80"/>
    </row>
    <row r="656" spans="2:30" ht="32.1" customHeight="1" thickTop="1" x14ac:dyDescent="0.25">
      <c r="B656" s="57"/>
      <c r="C656" s="58"/>
      <c r="D656" s="217" t="s">
        <v>697</v>
      </c>
      <c r="E656" s="218"/>
      <c r="F656" s="218"/>
      <c r="G656" s="218"/>
      <c r="H656" s="218"/>
      <c r="I656" s="218"/>
      <c r="J656" s="219"/>
      <c r="L656" s="57"/>
      <c r="M656" s="58"/>
      <c r="N656" s="217" t="s">
        <v>697</v>
      </c>
      <c r="O656" s="218"/>
      <c r="P656" s="218"/>
      <c r="Q656" s="218"/>
      <c r="R656" s="218"/>
      <c r="S656" s="218"/>
      <c r="T656" s="219"/>
    </row>
    <row r="657" spans="2:20" ht="6.95" customHeight="1" x14ac:dyDescent="0.25">
      <c r="B657" s="59"/>
      <c r="J657" s="60"/>
      <c r="L657" s="59"/>
      <c r="T657" s="60"/>
    </row>
    <row r="658" spans="2:20" ht="18" customHeight="1" x14ac:dyDescent="0.25">
      <c r="B658" s="61"/>
      <c r="C658" s="214" t="s">
        <v>698</v>
      </c>
      <c r="D658" s="215"/>
      <c r="E658" s="216"/>
      <c r="F658" s="62"/>
      <c r="G658" s="214" t="s">
        <v>1385</v>
      </c>
      <c r="H658" s="215"/>
      <c r="I658" s="216"/>
      <c r="J658" s="63"/>
      <c r="L658" s="61"/>
      <c r="M658" s="214" t="s">
        <v>698</v>
      </c>
      <c r="N658" s="215"/>
      <c r="O658" s="216"/>
      <c r="P658" s="62"/>
      <c r="Q658" s="214" t="s">
        <v>1386</v>
      </c>
      <c r="R658" s="215"/>
      <c r="S658" s="216"/>
      <c r="T658" s="63"/>
    </row>
    <row r="659" spans="2:20" ht="6.95" customHeight="1" x14ac:dyDescent="0.25">
      <c r="B659" s="59"/>
      <c r="C659" s="62"/>
      <c r="D659" s="62"/>
      <c r="E659" s="62"/>
      <c r="F659" s="62"/>
      <c r="G659" s="62"/>
      <c r="H659" s="62"/>
      <c r="I659" s="62"/>
      <c r="J659" s="60"/>
      <c r="L659" s="59"/>
      <c r="M659" s="62"/>
      <c r="N659" s="62"/>
      <c r="O659" s="62"/>
      <c r="P659" s="62"/>
      <c r="Q659" s="62"/>
      <c r="R659" s="62"/>
      <c r="S659" s="62"/>
      <c r="T659" s="60"/>
    </row>
    <row r="660" spans="2:20" ht="18" customHeight="1" x14ac:dyDescent="0.25">
      <c r="B660" s="61"/>
      <c r="C660" s="214" t="s">
        <v>699</v>
      </c>
      <c r="D660" s="215"/>
      <c r="E660" s="216"/>
      <c r="F660" s="62"/>
      <c r="G660" s="214" t="s">
        <v>1639</v>
      </c>
      <c r="H660" s="215"/>
      <c r="I660" s="216"/>
      <c r="J660" s="63"/>
      <c r="L660" s="61"/>
      <c r="M660" s="214" t="s">
        <v>699</v>
      </c>
      <c r="N660" s="215"/>
      <c r="O660" s="216"/>
      <c r="P660" s="62"/>
      <c r="Q660" s="214" t="s">
        <v>1639</v>
      </c>
      <c r="R660" s="215"/>
      <c r="S660" s="216"/>
      <c r="T660" s="63"/>
    </row>
    <row r="661" spans="2:20" ht="6.95" customHeight="1" x14ac:dyDescent="0.25">
      <c r="B661" s="59"/>
      <c r="C661" s="62"/>
      <c r="D661" s="62"/>
      <c r="E661" s="62"/>
      <c r="F661" s="62"/>
      <c r="G661" s="62"/>
      <c r="H661" s="62"/>
      <c r="I661" s="62"/>
      <c r="J661" s="60"/>
      <c r="L661" s="59"/>
      <c r="M661" s="62"/>
      <c r="N661" s="62"/>
      <c r="O661" s="62"/>
      <c r="P661" s="62"/>
      <c r="Q661" s="62"/>
      <c r="R661" s="62"/>
      <c r="S661" s="62"/>
      <c r="T661" s="60"/>
    </row>
    <row r="662" spans="2:20" ht="18" customHeight="1" x14ac:dyDescent="0.25">
      <c r="B662" s="61"/>
      <c r="C662" s="214" t="s">
        <v>701</v>
      </c>
      <c r="D662" s="215"/>
      <c r="E662" s="216"/>
      <c r="F662" s="62"/>
      <c r="G662" s="214" t="s">
        <v>1387</v>
      </c>
      <c r="H662" s="215"/>
      <c r="I662" s="216"/>
      <c r="J662" s="63"/>
      <c r="L662" s="61"/>
      <c r="M662" s="214" t="s">
        <v>701</v>
      </c>
      <c r="N662" s="215"/>
      <c r="O662" s="216"/>
      <c r="P662" s="62"/>
      <c r="Q662" s="214" t="s">
        <v>1388</v>
      </c>
      <c r="R662" s="215"/>
      <c r="S662" s="216"/>
      <c r="T662" s="63"/>
    </row>
    <row r="663" spans="2:20" ht="6.95" customHeight="1" x14ac:dyDescent="0.25">
      <c r="B663" s="59"/>
      <c r="C663" s="62"/>
      <c r="D663" s="62"/>
      <c r="E663" s="62"/>
      <c r="F663" s="62"/>
      <c r="G663" s="62"/>
      <c r="H663" s="62"/>
      <c r="I663" s="62"/>
      <c r="J663" s="60"/>
      <c r="L663" s="59"/>
      <c r="M663" s="62"/>
      <c r="N663" s="62"/>
      <c r="O663" s="62"/>
      <c r="P663" s="62"/>
      <c r="Q663" s="62"/>
      <c r="R663" s="62"/>
      <c r="S663" s="62"/>
      <c r="T663" s="60"/>
    </row>
    <row r="664" spans="2:20" ht="18" customHeight="1" x14ac:dyDescent="0.25">
      <c r="B664" s="61"/>
      <c r="C664" s="214" t="s">
        <v>703</v>
      </c>
      <c r="D664" s="215"/>
      <c r="E664" s="216"/>
      <c r="F664" s="62"/>
      <c r="G664" s="214" t="s">
        <v>109</v>
      </c>
      <c r="H664" s="215"/>
      <c r="I664" s="216"/>
      <c r="J664" s="63"/>
      <c r="L664" s="61"/>
      <c r="M664" s="214" t="s">
        <v>703</v>
      </c>
      <c r="N664" s="215"/>
      <c r="O664" s="216"/>
      <c r="P664" s="62"/>
      <c r="Q664" s="214" t="s">
        <v>109</v>
      </c>
      <c r="R664" s="215"/>
      <c r="S664" s="216"/>
      <c r="T664" s="63"/>
    </row>
    <row r="665" spans="2:20" ht="6.95" customHeight="1" x14ac:dyDescent="0.25">
      <c r="B665" s="59"/>
      <c r="C665" s="62"/>
      <c r="D665" s="62"/>
      <c r="E665" s="62"/>
      <c r="F665" s="62"/>
      <c r="G665" s="62"/>
      <c r="H665" s="62"/>
      <c r="I665" s="62"/>
      <c r="J665" s="60"/>
      <c r="L665" s="59"/>
      <c r="M665" s="62"/>
      <c r="N665" s="62"/>
      <c r="O665" s="62"/>
      <c r="P665" s="62"/>
      <c r="Q665" s="62"/>
      <c r="R665" s="62"/>
      <c r="S665" s="62"/>
      <c r="T665" s="60"/>
    </row>
    <row r="666" spans="2:20" ht="18" customHeight="1" x14ac:dyDescent="0.25">
      <c r="B666" s="61"/>
      <c r="C666" s="214" t="s">
        <v>705</v>
      </c>
      <c r="D666" s="215"/>
      <c r="E666" s="216"/>
      <c r="F666" s="62"/>
      <c r="G666" s="214" t="s">
        <v>109</v>
      </c>
      <c r="H666" s="215"/>
      <c r="I666" s="216"/>
      <c r="J666" s="63"/>
      <c r="L666" s="61"/>
      <c r="M666" s="214" t="s">
        <v>705</v>
      </c>
      <c r="N666" s="215"/>
      <c r="O666" s="216"/>
      <c r="P666" s="62"/>
      <c r="Q666" s="214" t="s">
        <v>109</v>
      </c>
      <c r="R666" s="215"/>
      <c r="S666" s="216"/>
      <c r="T666" s="63"/>
    </row>
    <row r="667" spans="2:20" ht="6.95" customHeight="1" x14ac:dyDescent="0.25">
      <c r="B667" s="59"/>
      <c r="C667" s="62"/>
      <c r="D667" s="62"/>
      <c r="E667" s="62"/>
      <c r="F667" s="62"/>
      <c r="G667" s="62"/>
      <c r="H667" s="62"/>
      <c r="I667" s="62"/>
      <c r="J667" s="60"/>
      <c r="L667" s="59"/>
      <c r="M667" s="62"/>
      <c r="N667" s="62"/>
      <c r="O667" s="62"/>
      <c r="P667" s="62"/>
      <c r="Q667" s="62"/>
      <c r="R667" s="62"/>
      <c r="S667" s="62"/>
      <c r="T667" s="60"/>
    </row>
    <row r="668" spans="2:20" ht="18" customHeight="1" x14ac:dyDescent="0.25">
      <c r="B668" s="61"/>
      <c r="C668" s="214" t="s">
        <v>708</v>
      </c>
      <c r="D668" s="215"/>
      <c r="E668" s="216"/>
      <c r="F668" s="62"/>
      <c r="G668" s="214" t="s">
        <v>109</v>
      </c>
      <c r="H668" s="215"/>
      <c r="I668" s="216"/>
      <c r="J668" s="63"/>
      <c r="L668" s="61"/>
      <c r="M668" s="214" t="s">
        <v>708</v>
      </c>
      <c r="N668" s="215"/>
      <c r="O668" s="216"/>
      <c r="P668" s="62"/>
      <c r="Q668" s="214" t="s">
        <v>109</v>
      </c>
      <c r="R668" s="215"/>
      <c r="S668" s="216"/>
      <c r="T668" s="63"/>
    </row>
    <row r="669" spans="2:20" ht="6.95" customHeight="1" x14ac:dyDescent="0.25">
      <c r="B669" s="59"/>
      <c r="C669" s="62"/>
      <c r="D669" s="62"/>
      <c r="E669" s="62"/>
      <c r="F669" s="62"/>
      <c r="G669" s="62"/>
      <c r="H669" s="62"/>
      <c r="I669" s="62"/>
      <c r="J669" s="60"/>
      <c r="L669" s="59"/>
      <c r="M669" s="62"/>
      <c r="N669" s="62"/>
      <c r="O669" s="62"/>
      <c r="P669" s="62"/>
      <c r="Q669" s="62"/>
      <c r="R669" s="62"/>
      <c r="S669" s="62"/>
      <c r="T669" s="60"/>
    </row>
    <row r="670" spans="2:20" ht="18" customHeight="1" x14ac:dyDescent="0.25">
      <c r="B670" s="61"/>
      <c r="C670" s="214" t="s">
        <v>711</v>
      </c>
      <c r="D670" s="215"/>
      <c r="E670" s="216"/>
      <c r="F670" s="62"/>
      <c r="G670" s="214" t="s">
        <v>712</v>
      </c>
      <c r="H670" s="215"/>
      <c r="I670" s="216"/>
      <c r="J670" s="63"/>
      <c r="L670" s="61"/>
      <c r="M670" s="214" t="s">
        <v>711</v>
      </c>
      <c r="N670" s="215"/>
      <c r="O670" s="216"/>
      <c r="P670" s="62"/>
      <c r="Q670" s="214" t="s">
        <v>712</v>
      </c>
      <c r="R670" s="215"/>
      <c r="S670" s="216"/>
      <c r="T670" s="63"/>
    </row>
    <row r="671" spans="2:20" ht="6.6" customHeight="1" x14ac:dyDescent="0.25">
      <c r="B671" s="59"/>
      <c r="C671" s="62"/>
      <c r="D671" s="62"/>
      <c r="E671" s="62"/>
      <c r="F671" s="62"/>
      <c r="G671" s="62"/>
      <c r="H671" s="62"/>
      <c r="I671" s="62"/>
      <c r="J671" s="60"/>
      <c r="L671" s="59"/>
      <c r="M671" s="62"/>
      <c r="N671" s="62"/>
      <c r="O671" s="62"/>
      <c r="P671" s="62"/>
      <c r="Q671" s="62"/>
      <c r="R671" s="62"/>
      <c r="S671" s="62"/>
      <c r="T671" s="60"/>
    </row>
    <row r="672" spans="2:20" ht="18" customHeight="1" x14ac:dyDescent="0.25">
      <c r="B672" s="61"/>
      <c r="C672" s="214" t="s">
        <v>1273</v>
      </c>
      <c r="D672" s="215"/>
      <c r="E672" s="216"/>
      <c r="F672" s="62"/>
      <c r="G672" s="214" t="s">
        <v>1389</v>
      </c>
      <c r="H672" s="215"/>
      <c r="I672" s="216"/>
      <c r="J672" s="63"/>
      <c r="L672" s="61"/>
      <c r="M672" s="214" t="s">
        <v>1273</v>
      </c>
      <c r="N672" s="215"/>
      <c r="O672" s="216"/>
      <c r="P672" s="62"/>
      <c r="Q672" s="214" t="s">
        <v>1390</v>
      </c>
      <c r="R672" s="215"/>
      <c r="S672" s="216"/>
      <c r="T672" s="63"/>
    </row>
    <row r="673" spans="2:20" ht="6.95" customHeight="1" x14ac:dyDescent="0.25">
      <c r="B673" s="59"/>
      <c r="C673" s="62"/>
      <c r="D673" s="62"/>
      <c r="E673" s="62"/>
      <c r="F673" s="62"/>
      <c r="G673" s="62"/>
      <c r="H673" s="62"/>
      <c r="I673" s="62"/>
      <c r="J673" s="60"/>
      <c r="L673" s="59"/>
      <c r="M673" s="62"/>
      <c r="N673" s="62"/>
      <c r="O673" s="62"/>
      <c r="P673" s="62"/>
      <c r="Q673" s="62"/>
      <c r="R673" s="62"/>
      <c r="S673" s="62"/>
      <c r="T673" s="60"/>
    </row>
    <row r="674" spans="2:20" ht="18" customHeight="1" x14ac:dyDescent="0.25">
      <c r="B674" s="61"/>
      <c r="C674" s="214" t="s">
        <v>713</v>
      </c>
      <c r="D674" s="215"/>
      <c r="E674" s="216"/>
      <c r="F674" s="62"/>
      <c r="G674" s="220" t="s">
        <v>1293</v>
      </c>
      <c r="H674" s="220"/>
      <c r="I674" s="220"/>
      <c r="J674" s="63"/>
      <c r="L674" s="61"/>
      <c r="M674" s="214" t="s">
        <v>713</v>
      </c>
      <c r="N674" s="215"/>
      <c r="O674" s="216"/>
      <c r="P674" s="62"/>
      <c r="Q674" s="220" t="s">
        <v>1293</v>
      </c>
      <c r="R674" s="220"/>
      <c r="S674" s="220"/>
      <c r="T674" s="63"/>
    </row>
    <row r="675" spans="2:20" ht="6.95" customHeight="1" x14ac:dyDescent="0.25">
      <c r="B675" s="59"/>
      <c r="C675" s="128"/>
      <c r="D675" s="128"/>
      <c r="E675" s="128"/>
      <c r="F675" s="62"/>
      <c r="G675" s="128"/>
      <c r="H675" s="128"/>
      <c r="I675" s="128"/>
      <c r="J675" s="63"/>
      <c r="L675" s="59"/>
      <c r="M675" s="128"/>
      <c r="N675" s="128"/>
      <c r="O675" s="128"/>
      <c r="P675" s="62"/>
      <c r="Q675" s="128"/>
      <c r="R675" s="128"/>
      <c r="S675" s="128"/>
      <c r="T675" s="63"/>
    </row>
    <row r="676" spans="2:20" ht="18" customHeight="1" x14ac:dyDescent="0.25">
      <c r="B676" s="59"/>
      <c r="C676" s="220" t="s">
        <v>715</v>
      </c>
      <c r="D676" s="220"/>
      <c r="E676" s="220"/>
      <c r="F676" s="62"/>
      <c r="G676" s="220" t="s">
        <v>1288</v>
      </c>
      <c r="H676" s="220"/>
      <c r="I676" s="220"/>
      <c r="J676" s="63"/>
      <c r="L676" s="59"/>
      <c r="M676" s="220" t="s">
        <v>715</v>
      </c>
      <c r="N676" s="220"/>
      <c r="O676" s="220"/>
      <c r="P676" s="62"/>
      <c r="Q676" s="220" t="s">
        <v>1288</v>
      </c>
      <c r="R676" s="220"/>
      <c r="S676" s="220"/>
      <c r="T676" s="63"/>
    </row>
    <row r="677" spans="2:20" ht="6.95" customHeight="1" thickBot="1" x14ac:dyDescent="0.3">
      <c r="B677" s="64"/>
      <c r="C677" s="65"/>
      <c r="D677" s="65"/>
      <c r="E677" s="65"/>
      <c r="F677" s="65"/>
      <c r="G677" s="65"/>
      <c r="H677" s="65"/>
      <c r="I677" s="65"/>
      <c r="J677" s="66"/>
      <c r="L677" s="64"/>
      <c r="M677" s="65"/>
      <c r="N677" s="65"/>
      <c r="O677" s="65"/>
      <c r="P677" s="65"/>
      <c r="Q677" s="65"/>
      <c r="R677" s="65"/>
      <c r="S677" s="65"/>
      <c r="T677" s="66"/>
    </row>
    <row r="678" spans="2:20" ht="32.1" customHeight="1" thickTop="1" x14ac:dyDescent="0.25">
      <c r="B678" s="57"/>
      <c r="C678" s="58"/>
      <c r="D678" s="217" t="s">
        <v>697</v>
      </c>
      <c r="E678" s="218"/>
      <c r="F678" s="218"/>
      <c r="G678" s="218"/>
      <c r="H678" s="218"/>
      <c r="I678" s="218"/>
      <c r="J678" s="219"/>
      <c r="L678" s="57"/>
      <c r="M678" s="58"/>
      <c r="N678" s="217" t="s">
        <v>697</v>
      </c>
      <c r="O678" s="218"/>
      <c r="P678" s="218"/>
      <c r="Q678" s="218"/>
      <c r="R678" s="218"/>
      <c r="S678" s="218"/>
      <c r="T678" s="219"/>
    </row>
    <row r="679" spans="2:20" ht="6.95" customHeight="1" x14ac:dyDescent="0.25">
      <c r="B679" s="59"/>
      <c r="J679" s="60"/>
      <c r="L679" s="59"/>
      <c r="T679" s="60"/>
    </row>
    <row r="680" spans="2:20" ht="18" customHeight="1" x14ac:dyDescent="0.25">
      <c r="B680" s="61"/>
      <c r="C680" s="214" t="s">
        <v>698</v>
      </c>
      <c r="D680" s="215"/>
      <c r="E680" s="216"/>
      <c r="F680" s="62"/>
      <c r="G680" s="214" t="s">
        <v>1391</v>
      </c>
      <c r="H680" s="215"/>
      <c r="I680" s="216"/>
      <c r="J680" s="63"/>
      <c r="L680" s="61"/>
      <c r="M680" s="214" t="s">
        <v>698</v>
      </c>
      <c r="N680" s="215"/>
      <c r="O680" s="216"/>
      <c r="P680" s="62"/>
      <c r="Q680" s="214" t="s">
        <v>1392</v>
      </c>
      <c r="R680" s="215"/>
      <c r="S680" s="216"/>
      <c r="T680" s="63"/>
    </row>
    <row r="681" spans="2:20" ht="6.95" customHeight="1" x14ac:dyDescent="0.25">
      <c r="B681" s="59"/>
      <c r="C681" s="62"/>
      <c r="D681" s="62"/>
      <c r="E681" s="62"/>
      <c r="F681" s="62"/>
      <c r="G681" s="62"/>
      <c r="H681" s="62"/>
      <c r="I681" s="62"/>
      <c r="J681" s="60"/>
      <c r="L681" s="59"/>
      <c r="M681" s="62"/>
      <c r="N681" s="62"/>
      <c r="O681" s="62"/>
      <c r="P681" s="62"/>
      <c r="Q681" s="62"/>
      <c r="R681" s="62"/>
      <c r="S681" s="62"/>
      <c r="T681" s="60"/>
    </row>
    <row r="682" spans="2:20" ht="18" customHeight="1" x14ac:dyDescent="0.25">
      <c r="B682" s="61"/>
      <c r="C682" s="214" t="s">
        <v>699</v>
      </c>
      <c r="D682" s="215"/>
      <c r="E682" s="216"/>
      <c r="F682" s="62"/>
      <c r="G682" s="214" t="s">
        <v>1639</v>
      </c>
      <c r="H682" s="215"/>
      <c r="I682" s="216"/>
      <c r="J682" s="63"/>
      <c r="L682" s="61"/>
      <c r="M682" s="214" t="s">
        <v>699</v>
      </c>
      <c r="N682" s="215"/>
      <c r="O682" s="216"/>
      <c r="P682" s="62"/>
      <c r="Q682" s="214" t="s">
        <v>1639</v>
      </c>
      <c r="R682" s="215"/>
      <c r="S682" s="216"/>
      <c r="T682" s="63"/>
    </row>
    <row r="683" spans="2:20" ht="6.95" customHeight="1" x14ac:dyDescent="0.25">
      <c r="B683" s="59"/>
      <c r="C683" s="62"/>
      <c r="D683" s="62"/>
      <c r="E683" s="62"/>
      <c r="F683" s="62"/>
      <c r="G683" s="62"/>
      <c r="H683" s="62"/>
      <c r="I683" s="62"/>
      <c r="J683" s="60"/>
      <c r="L683" s="59"/>
      <c r="M683" s="62"/>
      <c r="N683" s="62"/>
      <c r="O683" s="62"/>
      <c r="P683" s="62"/>
      <c r="Q683" s="62"/>
      <c r="R683" s="62"/>
      <c r="S683" s="62"/>
      <c r="T683" s="60"/>
    </row>
    <row r="684" spans="2:20" ht="18" customHeight="1" x14ac:dyDescent="0.25">
      <c r="B684" s="61"/>
      <c r="C684" s="214" t="s">
        <v>701</v>
      </c>
      <c r="D684" s="215"/>
      <c r="E684" s="216"/>
      <c r="F684" s="62"/>
      <c r="G684" s="214" t="s">
        <v>1388</v>
      </c>
      <c r="H684" s="215"/>
      <c r="I684" s="216"/>
      <c r="J684" s="63"/>
      <c r="L684" s="61"/>
      <c r="M684" s="214" t="s">
        <v>701</v>
      </c>
      <c r="N684" s="215"/>
      <c r="O684" s="216"/>
      <c r="P684" s="62"/>
      <c r="Q684" s="214" t="s">
        <v>1388</v>
      </c>
      <c r="R684" s="215"/>
      <c r="S684" s="216"/>
      <c r="T684" s="63"/>
    </row>
    <row r="685" spans="2:20" ht="6.95" customHeight="1" x14ac:dyDescent="0.25">
      <c r="B685" s="59"/>
      <c r="C685" s="62"/>
      <c r="D685" s="62"/>
      <c r="E685" s="62"/>
      <c r="F685" s="62"/>
      <c r="G685" s="62"/>
      <c r="H685" s="62"/>
      <c r="I685" s="62"/>
      <c r="J685" s="60"/>
      <c r="L685" s="59"/>
      <c r="M685" s="62"/>
      <c r="N685" s="62"/>
      <c r="O685" s="62"/>
      <c r="P685" s="62"/>
      <c r="Q685" s="62"/>
      <c r="R685" s="62"/>
      <c r="S685" s="62"/>
      <c r="T685" s="60"/>
    </row>
    <row r="686" spans="2:20" ht="18" customHeight="1" x14ac:dyDescent="0.25">
      <c r="B686" s="61"/>
      <c r="C686" s="214" t="s">
        <v>703</v>
      </c>
      <c r="D686" s="215"/>
      <c r="E686" s="216"/>
      <c r="F686" s="62"/>
      <c r="G686" s="214" t="s">
        <v>109</v>
      </c>
      <c r="H686" s="215"/>
      <c r="I686" s="216"/>
      <c r="J686" s="63"/>
      <c r="L686" s="61"/>
      <c r="M686" s="214" t="s">
        <v>703</v>
      </c>
      <c r="N686" s="215"/>
      <c r="O686" s="216"/>
      <c r="P686" s="62"/>
      <c r="Q686" s="214" t="s">
        <v>109</v>
      </c>
      <c r="R686" s="215"/>
      <c r="S686" s="216"/>
      <c r="T686" s="63"/>
    </row>
    <row r="687" spans="2:20" ht="6.95" customHeight="1" x14ac:dyDescent="0.25">
      <c r="B687" s="59"/>
      <c r="C687" s="62"/>
      <c r="D687" s="62"/>
      <c r="E687" s="62"/>
      <c r="F687" s="62"/>
      <c r="G687" s="62"/>
      <c r="H687" s="62"/>
      <c r="I687" s="62"/>
      <c r="J687" s="60"/>
      <c r="L687" s="59"/>
      <c r="M687" s="62"/>
      <c r="N687" s="62"/>
      <c r="O687" s="62"/>
      <c r="P687" s="62"/>
      <c r="Q687" s="62"/>
      <c r="R687" s="62"/>
      <c r="S687" s="62"/>
      <c r="T687" s="60"/>
    </row>
    <row r="688" spans="2:20" ht="18" customHeight="1" x14ac:dyDescent="0.25">
      <c r="B688" s="61"/>
      <c r="C688" s="214" t="s">
        <v>705</v>
      </c>
      <c r="D688" s="215"/>
      <c r="E688" s="216"/>
      <c r="F688" s="62"/>
      <c r="G688" s="214" t="s">
        <v>109</v>
      </c>
      <c r="H688" s="215"/>
      <c r="I688" s="216"/>
      <c r="J688" s="63"/>
      <c r="L688" s="61"/>
      <c r="M688" s="214" t="s">
        <v>705</v>
      </c>
      <c r="N688" s="215"/>
      <c r="O688" s="216"/>
      <c r="P688" s="62"/>
      <c r="Q688" s="214" t="s">
        <v>109</v>
      </c>
      <c r="R688" s="215"/>
      <c r="S688" s="216"/>
      <c r="T688" s="63"/>
    </row>
    <row r="689" spans="2:20" ht="6.95" customHeight="1" x14ac:dyDescent="0.25">
      <c r="B689" s="59"/>
      <c r="C689" s="62"/>
      <c r="D689" s="62"/>
      <c r="E689" s="62"/>
      <c r="F689" s="62"/>
      <c r="G689" s="62"/>
      <c r="H689" s="62"/>
      <c r="I689" s="62"/>
      <c r="J689" s="60"/>
      <c r="L689" s="59"/>
      <c r="M689" s="62"/>
      <c r="N689" s="62"/>
      <c r="O689" s="62"/>
      <c r="P689" s="62"/>
      <c r="Q689" s="62"/>
      <c r="R689" s="62"/>
      <c r="S689" s="62"/>
      <c r="T689" s="60"/>
    </row>
    <row r="690" spans="2:20" ht="18" customHeight="1" x14ac:dyDescent="0.25">
      <c r="B690" s="61"/>
      <c r="C690" s="214" t="s">
        <v>708</v>
      </c>
      <c r="D690" s="215"/>
      <c r="E690" s="216"/>
      <c r="F690" s="62"/>
      <c r="G690" s="214" t="s">
        <v>109</v>
      </c>
      <c r="H690" s="215"/>
      <c r="I690" s="216"/>
      <c r="J690" s="63"/>
      <c r="L690" s="61"/>
      <c r="M690" s="214" t="s">
        <v>708</v>
      </c>
      <c r="N690" s="215"/>
      <c r="O690" s="216"/>
      <c r="P690" s="62"/>
      <c r="Q690" s="214" t="s">
        <v>109</v>
      </c>
      <c r="R690" s="215"/>
      <c r="S690" s="216"/>
      <c r="T690" s="63"/>
    </row>
    <row r="691" spans="2:20" ht="6.95" customHeight="1" x14ac:dyDescent="0.25">
      <c r="B691" s="59"/>
      <c r="C691" s="62"/>
      <c r="D691" s="62"/>
      <c r="E691" s="62"/>
      <c r="F691" s="62"/>
      <c r="G691" s="62"/>
      <c r="H691" s="62"/>
      <c r="I691" s="62"/>
      <c r="J691" s="60"/>
      <c r="L691" s="59"/>
      <c r="M691" s="62"/>
      <c r="N691" s="62"/>
      <c r="O691" s="62"/>
      <c r="P691" s="62"/>
      <c r="Q691" s="62"/>
      <c r="R691" s="62"/>
      <c r="S691" s="62"/>
      <c r="T691" s="60"/>
    </row>
    <row r="692" spans="2:20" ht="18" customHeight="1" x14ac:dyDescent="0.25">
      <c r="B692" s="61"/>
      <c r="C692" s="214" t="s">
        <v>711</v>
      </c>
      <c r="D692" s="215"/>
      <c r="E692" s="216"/>
      <c r="F692" s="62"/>
      <c r="G692" s="214" t="s">
        <v>712</v>
      </c>
      <c r="H692" s="215"/>
      <c r="I692" s="216"/>
      <c r="J692" s="63"/>
      <c r="L692" s="61"/>
      <c r="M692" s="214" t="s">
        <v>711</v>
      </c>
      <c r="N692" s="215"/>
      <c r="O692" s="216"/>
      <c r="P692" s="62"/>
      <c r="Q692" s="214" t="s">
        <v>712</v>
      </c>
      <c r="R692" s="215"/>
      <c r="S692" s="216"/>
      <c r="T692" s="63"/>
    </row>
    <row r="693" spans="2:20" ht="6.6" customHeight="1" x14ac:dyDescent="0.25">
      <c r="B693" s="59"/>
      <c r="C693" s="62"/>
      <c r="D693" s="62"/>
      <c r="E693" s="62"/>
      <c r="F693" s="62"/>
      <c r="G693" s="62"/>
      <c r="H693" s="62"/>
      <c r="I693" s="62"/>
      <c r="J693" s="60"/>
      <c r="L693" s="59"/>
      <c r="M693" s="62"/>
      <c r="N693" s="62"/>
      <c r="O693" s="62"/>
      <c r="P693" s="62"/>
      <c r="Q693" s="62"/>
      <c r="R693" s="62"/>
      <c r="S693" s="62"/>
      <c r="T693" s="60"/>
    </row>
    <row r="694" spans="2:20" ht="18" customHeight="1" x14ac:dyDescent="0.25">
      <c r="B694" s="61"/>
      <c r="C694" s="214" t="s">
        <v>1273</v>
      </c>
      <c r="D694" s="215"/>
      <c r="E694" s="216"/>
      <c r="F694" s="62"/>
      <c r="G694" s="214" t="s">
        <v>1393</v>
      </c>
      <c r="H694" s="215"/>
      <c r="I694" s="216"/>
      <c r="J694" s="63"/>
      <c r="L694" s="61"/>
      <c r="M694" s="214" t="s">
        <v>1273</v>
      </c>
      <c r="N694" s="215"/>
      <c r="O694" s="216"/>
      <c r="P694" s="62"/>
      <c r="Q694" s="214" t="s">
        <v>1394</v>
      </c>
      <c r="R694" s="215"/>
      <c r="S694" s="216"/>
      <c r="T694" s="63"/>
    </row>
    <row r="695" spans="2:20" ht="6.95" customHeight="1" x14ac:dyDescent="0.25">
      <c r="B695" s="59"/>
      <c r="C695" s="62"/>
      <c r="D695" s="62"/>
      <c r="E695" s="62"/>
      <c r="F695" s="62"/>
      <c r="G695" s="62"/>
      <c r="H695" s="62"/>
      <c r="I695" s="62"/>
      <c r="J695" s="60"/>
      <c r="L695" s="59"/>
      <c r="M695" s="62"/>
      <c r="N695" s="62"/>
      <c r="O695" s="62"/>
      <c r="P695" s="62"/>
      <c r="Q695" s="62"/>
      <c r="R695" s="62"/>
      <c r="S695" s="62"/>
      <c r="T695" s="60"/>
    </row>
    <row r="696" spans="2:20" ht="18" customHeight="1" x14ac:dyDescent="0.25">
      <c r="B696" s="61"/>
      <c r="C696" s="214" t="s">
        <v>713</v>
      </c>
      <c r="D696" s="215"/>
      <c r="E696" s="216"/>
      <c r="F696" s="62"/>
      <c r="G696" s="220" t="s">
        <v>1293</v>
      </c>
      <c r="H696" s="220"/>
      <c r="I696" s="220"/>
      <c r="J696" s="63"/>
      <c r="L696" s="61"/>
      <c r="M696" s="214" t="s">
        <v>713</v>
      </c>
      <c r="N696" s="215"/>
      <c r="O696" s="216"/>
      <c r="P696" s="62"/>
      <c r="Q696" s="220" t="s">
        <v>1293</v>
      </c>
      <c r="R696" s="220"/>
      <c r="S696" s="220"/>
      <c r="T696" s="63"/>
    </row>
    <row r="697" spans="2:20" ht="6.95" customHeight="1" x14ac:dyDescent="0.25">
      <c r="B697" s="59"/>
      <c r="C697" s="128"/>
      <c r="D697" s="128"/>
      <c r="E697" s="128"/>
      <c r="F697" s="62"/>
      <c r="G697" s="128"/>
      <c r="H697" s="128"/>
      <c r="I697" s="128"/>
      <c r="J697" s="63"/>
      <c r="L697" s="59"/>
      <c r="M697" s="128"/>
      <c r="N697" s="128"/>
      <c r="O697" s="128"/>
      <c r="P697" s="62"/>
      <c r="Q697" s="128"/>
      <c r="R697" s="128"/>
      <c r="S697" s="128"/>
      <c r="T697" s="63"/>
    </row>
    <row r="698" spans="2:20" ht="18" customHeight="1" x14ac:dyDescent="0.25">
      <c r="B698" s="59"/>
      <c r="C698" s="220" t="s">
        <v>715</v>
      </c>
      <c r="D698" s="220"/>
      <c r="E698" s="220"/>
      <c r="F698" s="62"/>
      <c r="G698" s="220" t="s">
        <v>1288</v>
      </c>
      <c r="H698" s="220"/>
      <c r="I698" s="220"/>
      <c r="J698" s="63"/>
      <c r="L698" s="59"/>
      <c r="M698" s="220" t="s">
        <v>715</v>
      </c>
      <c r="N698" s="220"/>
      <c r="O698" s="220"/>
      <c r="P698" s="62"/>
      <c r="Q698" s="220" t="s">
        <v>1288</v>
      </c>
      <c r="R698" s="220"/>
      <c r="S698" s="220"/>
      <c r="T698" s="63"/>
    </row>
    <row r="699" spans="2:20" ht="6.95" customHeight="1" thickBot="1" x14ac:dyDescent="0.3">
      <c r="B699" s="64"/>
      <c r="C699" s="65"/>
      <c r="D699" s="65"/>
      <c r="E699" s="65"/>
      <c r="F699" s="65"/>
      <c r="G699" s="65"/>
      <c r="H699" s="65"/>
      <c r="I699" s="65"/>
      <c r="J699" s="66"/>
      <c r="L699" s="64"/>
      <c r="M699" s="65"/>
      <c r="N699" s="65"/>
      <c r="O699" s="65"/>
      <c r="P699" s="65"/>
      <c r="Q699" s="65"/>
      <c r="R699" s="65"/>
      <c r="S699" s="65"/>
      <c r="T699" s="66"/>
    </row>
    <row r="700" spans="2:20" ht="32.1" customHeight="1" thickTop="1" x14ac:dyDescent="0.25">
      <c r="B700" s="57"/>
      <c r="C700" s="58"/>
      <c r="D700" s="217" t="s">
        <v>697</v>
      </c>
      <c r="E700" s="218"/>
      <c r="F700" s="218"/>
      <c r="G700" s="218"/>
      <c r="H700" s="218"/>
      <c r="I700" s="218"/>
      <c r="J700" s="219"/>
      <c r="L700" s="57"/>
      <c r="M700" s="58"/>
      <c r="N700" s="217" t="s">
        <v>697</v>
      </c>
      <c r="O700" s="218"/>
      <c r="P700" s="218"/>
      <c r="Q700" s="218"/>
      <c r="R700" s="218"/>
      <c r="S700" s="218"/>
      <c r="T700" s="219"/>
    </row>
    <row r="701" spans="2:20" ht="6.95" customHeight="1" x14ac:dyDescent="0.25">
      <c r="B701" s="59"/>
      <c r="J701" s="60"/>
      <c r="L701" s="59"/>
      <c r="T701" s="60"/>
    </row>
    <row r="702" spans="2:20" ht="18" customHeight="1" x14ac:dyDescent="0.25">
      <c r="B702" s="61"/>
      <c r="C702" s="214" t="s">
        <v>698</v>
      </c>
      <c r="D702" s="215"/>
      <c r="E702" s="216"/>
      <c r="F702" s="62"/>
      <c r="G702" s="214" t="s">
        <v>1395</v>
      </c>
      <c r="H702" s="215"/>
      <c r="I702" s="216"/>
      <c r="J702" s="63"/>
      <c r="L702" s="61"/>
      <c r="M702" s="214" t="s">
        <v>698</v>
      </c>
      <c r="N702" s="215"/>
      <c r="O702" s="216"/>
      <c r="P702" s="62"/>
      <c r="Q702" s="214" t="s">
        <v>1396</v>
      </c>
      <c r="R702" s="215"/>
      <c r="S702" s="216"/>
      <c r="T702" s="63"/>
    </row>
    <row r="703" spans="2:20" ht="6.95" customHeight="1" x14ac:dyDescent="0.25">
      <c r="B703" s="59"/>
      <c r="C703" s="62"/>
      <c r="D703" s="62"/>
      <c r="E703" s="62"/>
      <c r="F703" s="62"/>
      <c r="G703" s="62"/>
      <c r="H703" s="62"/>
      <c r="I703" s="62"/>
      <c r="J703" s="60"/>
      <c r="L703" s="59"/>
      <c r="M703" s="62"/>
      <c r="N703" s="62"/>
      <c r="O703" s="62"/>
      <c r="P703" s="62"/>
      <c r="Q703" s="62"/>
      <c r="R703" s="62"/>
      <c r="S703" s="62"/>
      <c r="T703" s="60"/>
    </row>
    <row r="704" spans="2:20" ht="18" customHeight="1" x14ac:dyDescent="0.25">
      <c r="B704" s="61"/>
      <c r="C704" s="214" t="s">
        <v>699</v>
      </c>
      <c r="D704" s="215"/>
      <c r="E704" s="216"/>
      <c r="F704" s="62"/>
      <c r="G704" s="214" t="s">
        <v>1639</v>
      </c>
      <c r="H704" s="215"/>
      <c r="I704" s="216"/>
      <c r="J704" s="63"/>
      <c r="L704" s="61"/>
      <c r="M704" s="214" t="s">
        <v>699</v>
      </c>
      <c r="N704" s="215"/>
      <c r="O704" s="216"/>
      <c r="P704" s="62"/>
      <c r="Q704" s="214" t="s">
        <v>1640</v>
      </c>
      <c r="R704" s="215"/>
      <c r="S704" s="216"/>
      <c r="T704" s="63"/>
    </row>
    <row r="705" spans="2:20" ht="6.95" customHeight="1" x14ac:dyDescent="0.25">
      <c r="B705" s="59"/>
      <c r="C705" s="62"/>
      <c r="D705" s="62"/>
      <c r="E705" s="62"/>
      <c r="F705" s="62"/>
      <c r="G705" s="62"/>
      <c r="H705" s="62"/>
      <c r="I705" s="62"/>
      <c r="J705" s="60"/>
      <c r="L705" s="59"/>
      <c r="M705" s="62"/>
      <c r="N705" s="62"/>
      <c r="O705" s="62"/>
      <c r="P705" s="62"/>
      <c r="Q705" s="62"/>
      <c r="R705" s="62"/>
      <c r="S705" s="62"/>
      <c r="T705" s="60"/>
    </row>
    <row r="706" spans="2:20" ht="18" customHeight="1" x14ac:dyDescent="0.25">
      <c r="B706" s="61"/>
      <c r="C706" s="214" t="s">
        <v>701</v>
      </c>
      <c r="D706" s="215"/>
      <c r="E706" s="216"/>
      <c r="F706" s="62"/>
      <c r="G706" s="214" t="s">
        <v>1388</v>
      </c>
      <c r="H706" s="215"/>
      <c r="I706" s="216"/>
      <c r="J706" s="63"/>
      <c r="L706" s="61"/>
      <c r="M706" s="214" t="s">
        <v>701</v>
      </c>
      <c r="N706" s="215"/>
      <c r="O706" s="216"/>
      <c r="P706" s="62"/>
      <c r="Q706" s="214" t="s">
        <v>982</v>
      </c>
      <c r="R706" s="215"/>
      <c r="S706" s="216"/>
      <c r="T706" s="63"/>
    </row>
    <row r="707" spans="2:20" ht="6.95" customHeight="1" x14ac:dyDescent="0.25">
      <c r="B707" s="59"/>
      <c r="C707" s="62"/>
      <c r="D707" s="62"/>
      <c r="E707" s="62"/>
      <c r="F707" s="62"/>
      <c r="G707" s="62"/>
      <c r="H707" s="62"/>
      <c r="I707" s="62"/>
      <c r="J707" s="60"/>
      <c r="L707" s="59"/>
      <c r="M707" s="62"/>
      <c r="N707" s="62"/>
      <c r="O707" s="62"/>
      <c r="P707" s="62"/>
      <c r="Q707" s="62"/>
      <c r="R707" s="62"/>
      <c r="S707" s="62"/>
      <c r="T707" s="60"/>
    </row>
    <row r="708" spans="2:20" ht="18" customHeight="1" x14ac:dyDescent="0.25">
      <c r="B708" s="61"/>
      <c r="C708" s="214" t="s">
        <v>703</v>
      </c>
      <c r="D708" s="215"/>
      <c r="E708" s="216"/>
      <c r="F708" s="62"/>
      <c r="G708" s="214" t="s">
        <v>109</v>
      </c>
      <c r="H708" s="215"/>
      <c r="I708" s="216"/>
      <c r="J708" s="63"/>
      <c r="L708" s="61"/>
      <c r="M708" s="214" t="s">
        <v>703</v>
      </c>
      <c r="N708" s="215"/>
      <c r="O708" s="216"/>
      <c r="P708" s="62"/>
      <c r="Q708" s="214" t="s">
        <v>109</v>
      </c>
      <c r="R708" s="215"/>
      <c r="S708" s="216"/>
      <c r="T708" s="63"/>
    </row>
    <row r="709" spans="2:20" ht="6.95" customHeight="1" x14ac:dyDescent="0.25">
      <c r="B709" s="59"/>
      <c r="C709" s="62"/>
      <c r="D709" s="62"/>
      <c r="E709" s="62"/>
      <c r="F709" s="62"/>
      <c r="G709" s="62"/>
      <c r="H709" s="62"/>
      <c r="I709" s="62"/>
      <c r="J709" s="60"/>
      <c r="L709" s="59"/>
      <c r="M709" s="62"/>
      <c r="N709" s="62"/>
      <c r="O709" s="62"/>
      <c r="P709" s="62"/>
      <c r="Q709" s="62"/>
      <c r="R709" s="62"/>
      <c r="S709" s="62"/>
      <c r="T709" s="60"/>
    </row>
    <row r="710" spans="2:20" ht="18" customHeight="1" x14ac:dyDescent="0.25">
      <c r="B710" s="61"/>
      <c r="C710" s="214" t="s">
        <v>705</v>
      </c>
      <c r="D710" s="215"/>
      <c r="E710" s="216"/>
      <c r="F710" s="62"/>
      <c r="G710" s="214" t="s">
        <v>109</v>
      </c>
      <c r="H710" s="215"/>
      <c r="I710" s="216"/>
      <c r="J710" s="63"/>
      <c r="L710" s="61"/>
      <c r="M710" s="214" t="s">
        <v>705</v>
      </c>
      <c r="N710" s="215"/>
      <c r="O710" s="216"/>
      <c r="P710" s="62"/>
      <c r="Q710" s="214" t="s">
        <v>1397</v>
      </c>
      <c r="R710" s="215"/>
      <c r="S710" s="216"/>
      <c r="T710" s="63"/>
    </row>
    <row r="711" spans="2:20" ht="6.95" customHeight="1" x14ac:dyDescent="0.25">
      <c r="B711" s="59"/>
      <c r="C711" s="62"/>
      <c r="D711" s="62"/>
      <c r="E711" s="62"/>
      <c r="F711" s="62"/>
      <c r="G711" s="62"/>
      <c r="H711" s="62"/>
      <c r="I711" s="62"/>
      <c r="J711" s="60"/>
      <c r="L711" s="59"/>
      <c r="M711" s="62"/>
      <c r="N711" s="62"/>
      <c r="O711" s="62"/>
      <c r="P711" s="62"/>
      <c r="Q711" s="62"/>
      <c r="R711" s="62"/>
      <c r="S711" s="62"/>
      <c r="T711" s="60"/>
    </row>
    <row r="712" spans="2:20" ht="18" customHeight="1" x14ac:dyDescent="0.25">
      <c r="B712" s="61"/>
      <c r="C712" s="214" t="s">
        <v>708</v>
      </c>
      <c r="D712" s="215"/>
      <c r="E712" s="216"/>
      <c r="F712" s="62"/>
      <c r="G712" s="214" t="s">
        <v>109</v>
      </c>
      <c r="H712" s="215"/>
      <c r="I712" s="216"/>
      <c r="J712" s="63"/>
      <c r="L712" s="61"/>
      <c r="M712" s="214" t="s">
        <v>708</v>
      </c>
      <c r="N712" s="215"/>
      <c r="O712" s="216"/>
      <c r="P712" s="62"/>
      <c r="Q712" s="214" t="s">
        <v>1398</v>
      </c>
      <c r="R712" s="215"/>
      <c r="S712" s="216"/>
      <c r="T712" s="63"/>
    </row>
    <row r="713" spans="2:20" ht="6.95" customHeight="1" x14ac:dyDescent="0.25">
      <c r="B713" s="59"/>
      <c r="C713" s="62"/>
      <c r="D713" s="62"/>
      <c r="E713" s="62"/>
      <c r="F713" s="62"/>
      <c r="G713" s="62"/>
      <c r="H713" s="62"/>
      <c r="I713" s="62"/>
      <c r="J713" s="60"/>
      <c r="L713" s="59"/>
      <c r="M713" s="62"/>
      <c r="N713" s="62"/>
      <c r="O713" s="62"/>
      <c r="P713" s="62"/>
      <c r="Q713" s="62"/>
      <c r="R713" s="62"/>
      <c r="S713" s="62"/>
      <c r="T713" s="60"/>
    </row>
    <row r="714" spans="2:20" ht="18" customHeight="1" x14ac:dyDescent="0.25">
      <c r="B714" s="61"/>
      <c r="C714" s="214" t="s">
        <v>711</v>
      </c>
      <c r="D714" s="215"/>
      <c r="E714" s="216"/>
      <c r="F714" s="62"/>
      <c r="G714" s="214" t="s">
        <v>712</v>
      </c>
      <c r="H714" s="215"/>
      <c r="I714" s="216"/>
      <c r="J714" s="63"/>
      <c r="L714" s="61"/>
      <c r="M714" s="214" t="s">
        <v>711</v>
      </c>
      <c r="N714" s="215"/>
      <c r="O714" s="216"/>
      <c r="P714" s="62"/>
      <c r="Q714" s="214" t="s">
        <v>712</v>
      </c>
      <c r="R714" s="215"/>
      <c r="S714" s="216"/>
      <c r="T714" s="63"/>
    </row>
    <row r="715" spans="2:20" ht="6.6" customHeight="1" x14ac:dyDescent="0.25">
      <c r="B715" s="59"/>
      <c r="C715" s="62"/>
      <c r="D715" s="62"/>
      <c r="E715" s="62"/>
      <c r="F715" s="62"/>
      <c r="G715" s="62"/>
      <c r="H715" s="62"/>
      <c r="I715" s="62"/>
      <c r="J715" s="60"/>
      <c r="L715" s="59"/>
      <c r="M715" s="62"/>
      <c r="N715" s="62"/>
      <c r="O715" s="62"/>
      <c r="P715" s="62"/>
      <c r="Q715" s="62"/>
      <c r="R715" s="62"/>
      <c r="S715" s="62"/>
      <c r="T715" s="60"/>
    </row>
    <row r="716" spans="2:20" ht="18" customHeight="1" x14ac:dyDescent="0.25">
      <c r="B716" s="61"/>
      <c r="C716" s="214" t="s">
        <v>1273</v>
      </c>
      <c r="D716" s="215"/>
      <c r="E716" s="216"/>
      <c r="F716" s="62"/>
      <c r="G716" s="214" t="s">
        <v>1399</v>
      </c>
      <c r="H716" s="215"/>
      <c r="I716" s="216"/>
      <c r="J716" s="63"/>
      <c r="L716" s="61"/>
      <c r="M716" s="214" t="s">
        <v>1273</v>
      </c>
      <c r="N716" s="215"/>
      <c r="O716" s="216"/>
      <c r="P716" s="62"/>
      <c r="Q716" s="214" t="s">
        <v>1400</v>
      </c>
      <c r="R716" s="215"/>
      <c r="S716" s="216"/>
      <c r="T716" s="63"/>
    </row>
    <row r="717" spans="2:20" ht="6.95" customHeight="1" x14ac:dyDescent="0.25">
      <c r="B717" s="59"/>
      <c r="C717" s="62"/>
      <c r="D717" s="62"/>
      <c r="E717" s="62"/>
      <c r="F717" s="62"/>
      <c r="G717" s="62"/>
      <c r="H717" s="62"/>
      <c r="I717" s="62"/>
      <c r="J717" s="60"/>
      <c r="L717" s="59"/>
      <c r="M717" s="62"/>
      <c r="N717" s="62"/>
      <c r="O717" s="62"/>
      <c r="P717" s="62"/>
      <c r="Q717" s="62"/>
      <c r="R717" s="62"/>
      <c r="S717" s="62"/>
      <c r="T717" s="60"/>
    </row>
    <row r="718" spans="2:20" ht="18" customHeight="1" x14ac:dyDescent="0.25">
      <c r="B718" s="61"/>
      <c r="C718" s="214" t="s">
        <v>713</v>
      </c>
      <c r="D718" s="215"/>
      <c r="E718" s="216"/>
      <c r="F718" s="62"/>
      <c r="G718" s="220" t="s">
        <v>1293</v>
      </c>
      <c r="H718" s="220"/>
      <c r="I718" s="220"/>
      <c r="J718" s="63"/>
      <c r="L718" s="61"/>
      <c r="M718" s="214" t="s">
        <v>713</v>
      </c>
      <c r="N718" s="215"/>
      <c r="O718" s="216"/>
      <c r="P718" s="62"/>
      <c r="Q718" s="220" t="s">
        <v>1293</v>
      </c>
      <c r="R718" s="220"/>
      <c r="S718" s="220"/>
      <c r="T718" s="63"/>
    </row>
    <row r="719" spans="2:20" ht="6.95" customHeight="1" x14ac:dyDescent="0.25">
      <c r="B719" s="59"/>
      <c r="C719" s="128"/>
      <c r="D719" s="128"/>
      <c r="E719" s="128"/>
      <c r="F719" s="62"/>
      <c r="G719" s="128"/>
      <c r="H719" s="128"/>
      <c r="I719" s="128"/>
      <c r="J719" s="63"/>
      <c r="L719" s="59"/>
      <c r="M719" s="128"/>
      <c r="N719" s="128"/>
      <c r="O719" s="128"/>
      <c r="P719" s="62"/>
      <c r="Q719" s="128"/>
      <c r="R719" s="128"/>
      <c r="S719" s="128"/>
      <c r="T719" s="63"/>
    </row>
    <row r="720" spans="2:20" ht="18" customHeight="1" x14ac:dyDescent="0.25">
      <c r="B720" s="59"/>
      <c r="C720" s="220" t="s">
        <v>715</v>
      </c>
      <c r="D720" s="220"/>
      <c r="E720" s="220"/>
      <c r="F720" s="62"/>
      <c r="G720" s="220" t="s">
        <v>1288</v>
      </c>
      <c r="H720" s="220"/>
      <c r="I720" s="220"/>
      <c r="J720" s="63"/>
      <c r="L720" s="59"/>
      <c r="M720" s="220" t="s">
        <v>715</v>
      </c>
      <c r="N720" s="220"/>
      <c r="O720" s="220"/>
      <c r="P720" s="62"/>
      <c r="Q720" s="220" t="s">
        <v>1288</v>
      </c>
      <c r="R720" s="220"/>
      <c r="S720" s="220"/>
      <c r="T720" s="63"/>
    </row>
    <row r="721" spans="2:20" ht="6.95" customHeight="1" thickBot="1" x14ac:dyDescent="0.3">
      <c r="B721" s="64"/>
      <c r="C721" s="65"/>
      <c r="D721" s="65"/>
      <c r="E721" s="65"/>
      <c r="F721" s="65"/>
      <c r="G721" s="65"/>
      <c r="H721" s="65"/>
      <c r="I721" s="65"/>
      <c r="J721" s="66"/>
      <c r="L721" s="64"/>
      <c r="M721" s="65"/>
      <c r="N721" s="65"/>
      <c r="O721" s="65"/>
      <c r="P721" s="65"/>
      <c r="Q721" s="65"/>
      <c r="R721" s="65"/>
      <c r="S721" s="65"/>
      <c r="T721" s="66"/>
    </row>
    <row r="722" spans="2:20" ht="32.1" customHeight="1" thickTop="1" x14ac:dyDescent="0.25">
      <c r="B722" s="57"/>
      <c r="C722" s="58"/>
      <c r="D722" s="217" t="s">
        <v>697</v>
      </c>
      <c r="E722" s="218"/>
      <c r="F722" s="218"/>
      <c r="G722" s="218"/>
      <c r="H722" s="218"/>
      <c r="I722" s="218"/>
      <c r="J722" s="219"/>
      <c r="L722" s="57"/>
      <c r="M722" s="58"/>
      <c r="N722" s="217" t="s">
        <v>697</v>
      </c>
      <c r="O722" s="218"/>
      <c r="P722" s="218"/>
      <c r="Q722" s="218"/>
      <c r="R722" s="218"/>
      <c r="S722" s="218"/>
      <c r="T722" s="219"/>
    </row>
    <row r="723" spans="2:20" ht="6.95" customHeight="1" x14ac:dyDescent="0.25">
      <c r="B723" s="59"/>
      <c r="J723" s="60"/>
      <c r="L723" s="59"/>
      <c r="T723" s="60"/>
    </row>
    <row r="724" spans="2:20" ht="18" customHeight="1" x14ac:dyDescent="0.25">
      <c r="B724" s="61"/>
      <c r="C724" s="214" t="s">
        <v>698</v>
      </c>
      <c r="D724" s="215"/>
      <c r="E724" s="216"/>
      <c r="F724" s="62"/>
      <c r="G724" s="214" t="s">
        <v>1401</v>
      </c>
      <c r="H724" s="215"/>
      <c r="I724" s="216"/>
      <c r="J724" s="63"/>
      <c r="L724" s="61"/>
      <c r="M724" s="214" t="s">
        <v>698</v>
      </c>
      <c r="N724" s="215"/>
      <c r="O724" s="216"/>
      <c r="P724" s="62"/>
      <c r="Q724" s="214"/>
      <c r="R724" s="215"/>
      <c r="S724" s="216"/>
      <c r="T724" s="63"/>
    </row>
    <row r="725" spans="2:20" ht="6.95" customHeight="1" x14ac:dyDescent="0.25">
      <c r="B725" s="59"/>
      <c r="C725" s="62"/>
      <c r="D725" s="62"/>
      <c r="E725" s="62"/>
      <c r="F725" s="62"/>
      <c r="G725" s="62"/>
      <c r="H725" s="62"/>
      <c r="I725" s="62"/>
      <c r="J725" s="60"/>
      <c r="L725" s="59"/>
      <c r="M725" s="62"/>
      <c r="N725" s="62"/>
      <c r="O725" s="62"/>
      <c r="P725" s="62"/>
      <c r="Q725" s="62"/>
      <c r="R725" s="62"/>
      <c r="S725" s="62"/>
      <c r="T725" s="60"/>
    </row>
    <row r="726" spans="2:20" ht="18" customHeight="1" x14ac:dyDescent="0.25">
      <c r="B726" s="61"/>
      <c r="C726" s="214" t="s">
        <v>699</v>
      </c>
      <c r="D726" s="215"/>
      <c r="E726" s="216"/>
      <c r="F726" s="62"/>
      <c r="G726" s="214" t="s">
        <v>1639</v>
      </c>
      <c r="H726" s="215"/>
      <c r="I726" s="216"/>
      <c r="J726" s="63"/>
      <c r="L726" s="61"/>
      <c r="M726" s="214" t="s">
        <v>699</v>
      </c>
      <c r="N726" s="215"/>
      <c r="O726" s="216"/>
      <c r="P726" s="62"/>
      <c r="Q726" s="214"/>
      <c r="R726" s="215"/>
      <c r="S726" s="216"/>
      <c r="T726" s="63"/>
    </row>
    <row r="727" spans="2:20" ht="6.95" customHeight="1" x14ac:dyDescent="0.25">
      <c r="B727" s="59"/>
      <c r="C727" s="62"/>
      <c r="D727" s="62"/>
      <c r="E727" s="62"/>
      <c r="F727" s="62"/>
      <c r="G727" s="62"/>
      <c r="H727" s="62"/>
      <c r="I727" s="62"/>
      <c r="J727" s="60"/>
      <c r="L727" s="59"/>
      <c r="M727" s="62"/>
      <c r="N727" s="62"/>
      <c r="O727" s="62"/>
      <c r="P727" s="62"/>
      <c r="Q727" s="62"/>
      <c r="R727" s="62"/>
      <c r="S727" s="62"/>
      <c r="T727" s="60"/>
    </row>
    <row r="728" spans="2:20" ht="18" customHeight="1" x14ac:dyDescent="0.25">
      <c r="B728" s="61"/>
      <c r="C728" s="214" t="s">
        <v>701</v>
      </c>
      <c r="D728" s="215"/>
      <c r="E728" s="216"/>
      <c r="F728" s="62"/>
      <c r="G728" s="214" t="s">
        <v>1402</v>
      </c>
      <c r="H728" s="215"/>
      <c r="I728" s="216"/>
      <c r="J728" s="63"/>
      <c r="L728" s="61"/>
      <c r="M728" s="214" t="s">
        <v>701</v>
      </c>
      <c r="N728" s="215"/>
      <c r="O728" s="216"/>
      <c r="P728" s="62"/>
      <c r="Q728" s="214"/>
      <c r="R728" s="215"/>
      <c r="S728" s="216"/>
      <c r="T728" s="63"/>
    </row>
    <row r="729" spans="2:20" ht="6.95" customHeight="1" x14ac:dyDescent="0.25">
      <c r="B729" s="59"/>
      <c r="C729" s="62"/>
      <c r="D729" s="62"/>
      <c r="E729" s="62"/>
      <c r="F729" s="62"/>
      <c r="G729" s="62"/>
      <c r="H729" s="62"/>
      <c r="I729" s="62"/>
      <c r="J729" s="60"/>
      <c r="L729" s="59"/>
      <c r="M729" s="62"/>
      <c r="N729" s="62"/>
      <c r="O729" s="62"/>
      <c r="P729" s="62"/>
      <c r="Q729" s="62"/>
      <c r="R729" s="62"/>
      <c r="S729" s="62"/>
      <c r="T729" s="60"/>
    </row>
    <row r="730" spans="2:20" ht="18" customHeight="1" x14ac:dyDescent="0.25">
      <c r="B730" s="61"/>
      <c r="C730" s="214" t="s">
        <v>703</v>
      </c>
      <c r="D730" s="215"/>
      <c r="E730" s="216"/>
      <c r="F730" s="62"/>
      <c r="G730" s="214" t="s">
        <v>109</v>
      </c>
      <c r="H730" s="215"/>
      <c r="I730" s="216"/>
      <c r="J730" s="63"/>
      <c r="L730" s="61"/>
      <c r="M730" s="214" t="s">
        <v>703</v>
      </c>
      <c r="N730" s="215"/>
      <c r="O730" s="216"/>
      <c r="P730" s="62"/>
      <c r="Q730" s="214"/>
      <c r="R730" s="215"/>
      <c r="S730" s="216"/>
      <c r="T730" s="63"/>
    </row>
    <row r="731" spans="2:20" ht="6.95" customHeight="1" x14ac:dyDescent="0.25">
      <c r="B731" s="59"/>
      <c r="C731" s="62"/>
      <c r="D731" s="62"/>
      <c r="E731" s="62"/>
      <c r="F731" s="62"/>
      <c r="G731" s="62"/>
      <c r="H731" s="62"/>
      <c r="I731" s="62"/>
      <c r="J731" s="60"/>
      <c r="L731" s="59"/>
      <c r="M731" s="62"/>
      <c r="N731" s="62"/>
      <c r="O731" s="62"/>
      <c r="P731" s="62"/>
      <c r="Q731" s="62"/>
      <c r="R731" s="62"/>
      <c r="S731" s="62"/>
      <c r="T731" s="60"/>
    </row>
    <row r="732" spans="2:20" ht="18" customHeight="1" x14ac:dyDescent="0.25">
      <c r="B732" s="61"/>
      <c r="C732" s="214" t="s">
        <v>705</v>
      </c>
      <c r="D732" s="215"/>
      <c r="E732" s="216"/>
      <c r="F732" s="62"/>
      <c r="G732" s="214" t="s">
        <v>109</v>
      </c>
      <c r="H732" s="215"/>
      <c r="I732" s="216"/>
      <c r="J732" s="63"/>
      <c r="L732" s="61"/>
      <c r="M732" s="214" t="s">
        <v>705</v>
      </c>
      <c r="N732" s="215"/>
      <c r="O732" s="216"/>
      <c r="P732" s="62"/>
      <c r="Q732" s="214"/>
      <c r="R732" s="215"/>
      <c r="S732" s="216"/>
      <c r="T732" s="63"/>
    </row>
    <row r="733" spans="2:20" ht="6.95" customHeight="1" x14ac:dyDescent="0.25">
      <c r="B733" s="59"/>
      <c r="C733" s="62"/>
      <c r="D733" s="62"/>
      <c r="E733" s="62"/>
      <c r="F733" s="62"/>
      <c r="G733" s="62"/>
      <c r="H733" s="62"/>
      <c r="I733" s="62"/>
      <c r="J733" s="60"/>
      <c r="L733" s="59"/>
      <c r="M733" s="62"/>
      <c r="N733" s="62"/>
      <c r="O733" s="62"/>
      <c r="P733" s="62"/>
      <c r="Q733" s="62"/>
      <c r="R733" s="62"/>
      <c r="S733" s="62"/>
      <c r="T733" s="60"/>
    </row>
    <row r="734" spans="2:20" ht="18" customHeight="1" x14ac:dyDescent="0.25">
      <c r="B734" s="61"/>
      <c r="C734" s="214" t="s">
        <v>708</v>
      </c>
      <c r="D734" s="215"/>
      <c r="E734" s="216"/>
      <c r="F734" s="62"/>
      <c r="G734" s="214" t="s">
        <v>109</v>
      </c>
      <c r="H734" s="215"/>
      <c r="I734" s="216"/>
      <c r="J734" s="63"/>
      <c r="L734" s="61"/>
      <c r="M734" s="214" t="s">
        <v>708</v>
      </c>
      <c r="N734" s="215"/>
      <c r="O734" s="216"/>
      <c r="P734" s="62"/>
      <c r="Q734" s="214"/>
      <c r="R734" s="215"/>
      <c r="S734" s="216"/>
      <c r="T734" s="63"/>
    </row>
    <row r="735" spans="2:20" ht="6.95" customHeight="1" x14ac:dyDescent="0.25">
      <c r="B735" s="59"/>
      <c r="C735" s="62"/>
      <c r="D735" s="62"/>
      <c r="E735" s="62"/>
      <c r="F735" s="62"/>
      <c r="G735" s="62"/>
      <c r="H735" s="62"/>
      <c r="I735" s="62"/>
      <c r="J735" s="60"/>
      <c r="L735" s="59"/>
      <c r="M735" s="62"/>
      <c r="N735" s="62"/>
      <c r="O735" s="62"/>
      <c r="P735" s="62"/>
      <c r="Q735" s="62"/>
      <c r="R735" s="62"/>
      <c r="S735" s="62"/>
      <c r="T735" s="60"/>
    </row>
    <row r="736" spans="2:20" ht="18" customHeight="1" x14ac:dyDescent="0.25">
      <c r="B736" s="61"/>
      <c r="C736" s="214" t="s">
        <v>711</v>
      </c>
      <c r="D736" s="215"/>
      <c r="E736" s="216"/>
      <c r="F736" s="62"/>
      <c r="G736" s="214" t="s">
        <v>712</v>
      </c>
      <c r="H736" s="215"/>
      <c r="I736" s="216"/>
      <c r="J736" s="63"/>
      <c r="L736" s="61"/>
      <c r="M736" s="214" t="s">
        <v>711</v>
      </c>
      <c r="N736" s="215"/>
      <c r="O736" s="216"/>
      <c r="P736" s="62"/>
      <c r="Q736" s="214"/>
      <c r="R736" s="215"/>
      <c r="S736" s="216"/>
      <c r="T736" s="63"/>
    </row>
    <row r="737" spans="2:20" ht="6.6" customHeight="1" x14ac:dyDescent="0.25">
      <c r="B737" s="59"/>
      <c r="C737" s="62"/>
      <c r="D737" s="62"/>
      <c r="E737" s="62"/>
      <c r="F737" s="62"/>
      <c r="G737" s="62"/>
      <c r="H737" s="62"/>
      <c r="I737" s="62"/>
      <c r="J737" s="60"/>
      <c r="L737" s="59"/>
      <c r="M737" s="62"/>
      <c r="N737" s="62"/>
      <c r="O737" s="62"/>
      <c r="P737" s="62"/>
      <c r="Q737" s="62"/>
      <c r="R737" s="62"/>
      <c r="S737" s="62"/>
      <c r="T737" s="60"/>
    </row>
    <row r="738" spans="2:20" ht="18" customHeight="1" x14ac:dyDescent="0.25">
      <c r="B738" s="61"/>
      <c r="C738" s="214" t="s">
        <v>1273</v>
      </c>
      <c r="D738" s="215"/>
      <c r="E738" s="216"/>
      <c r="F738" s="62"/>
      <c r="G738" s="214" t="s">
        <v>1403</v>
      </c>
      <c r="H738" s="215"/>
      <c r="I738" s="216"/>
      <c r="J738" s="63"/>
      <c r="L738" s="61"/>
      <c r="M738" s="214" t="s">
        <v>1273</v>
      </c>
      <c r="N738" s="215"/>
      <c r="O738" s="216"/>
      <c r="P738" s="62"/>
      <c r="Q738" s="214"/>
      <c r="R738" s="215"/>
      <c r="S738" s="216"/>
      <c r="T738" s="63"/>
    </row>
    <row r="739" spans="2:20" ht="6.95" customHeight="1" x14ac:dyDescent="0.25">
      <c r="B739" s="59"/>
      <c r="C739" s="62"/>
      <c r="D739" s="62"/>
      <c r="E739" s="62"/>
      <c r="F739" s="62"/>
      <c r="G739" s="62"/>
      <c r="H739" s="62"/>
      <c r="I739" s="62"/>
      <c r="J739" s="60"/>
      <c r="L739" s="59"/>
      <c r="M739" s="62"/>
      <c r="N739" s="62"/>
      <c r="O739" s="62"/>
      <c r="P739" s="62"/>
      <c r="Q739" s="62"/>
      <c r="R739" s="62"/>
      <c r="S739" s="62"/>
      <c r="T739" s="60"/>
    </row>
    <row r="740" spans="2:20" ht="18" customHeight="1" x14ac:dyDescent="0.25">
      <c r="B740" s="61"/>
      <c r="C740" s="214" t="s">
        <v>713</v>
      </c>
      <c r="D740" s="215"/>
      <c r="E740" s="216"/>
      <c r="F740" s="62"/>
      <c r="G740" s="220" t="s">
        <v>1293</v>
      </c>
      <c r="H740" s="220"/>
      <c r="I740" s="220"/>
      <c r="J740" s="63"/>
      <c r="L740" s="61"/>
      <c r="M740" s="214" t="s">
        <v>713</v>
      </c>
      <c r="N740" s="215"/>
      <c r="O740" s="216"/>
      <c r="P740" s="62"/>
      <c r="Q740" s="220"/>
      <c r="R740" s="220"/>
      <c r="S740" s="220"/>
      <c r="T740" s="63"/>
    </row>
    <row r="741" spans="2:20" ht="6.95" customHeight="1" x14ac:dyDescent="0.25">
      <c r="B741" s="59"/>
      <c r="C741" s="128"/>
      <c r="D741" s="128"/>
      <c r="E741" s="128"/>
      <c r="F741" s="62"/>
      <c r="G741" s="128"/>
      <c r="H741" s="128"/>
      <c r="I741" s="128"/>
      <c r="J741" s="63"/>
      <c r="L741" s="59"/>
      <c r="M741" s="128"/>
      <c r="N741" s="128"/>
      <c r="O741" s="128"/>
      <c r="P741" s="62"/>
      <c r="Q741" s="128"/>
      <c r="R741" s="128"/>
      <c r="S741" s="128"/>
      <c r="T741" s="63"/>
    </row>
    <row r="742" spans="2:20" ht="18" customHeight="1" x14ac:dyDescent="0.25">
      <c r="B742" s="59"/>
      <c r="C742" s="220" t="s">
        <v>715</v>
      </c>
      <c r="D742" s="220"/>
      <c r="E742" s="220"/>
      <c r="F742" s="62"/>
      <c r="G742" s="220" t="s">
        <v>1288</v>
      </c>
      <c r="H742" s="220"/>
      <c r="I742" s="220"/>
      <c r="J742" s="63"/>
      <c r="L742" s="59"/>
      <c r="M742" s="220" t="s">
        <v>715</v>
      </c>
      <c r="N742" s="220"/>
      <c r="O742" s="220"/>
      <c r="P742" s="62"/>
      <c r="Q742" s="220"/>
      <c r="R742" s="220"/>
      <c r="S742" s="220"/>
      <c r="T742" s="63"/>
    </row>
    <row r="743" spans="2:20" ht="6.95" customHeight="1" thickBot="1" x14ac:dyDescent="0.3">
      <c r="B743" s="64"/>
      <c r="C743" s="65"/>
      <c r="D743" s="65"/>
      <c r="E743" s="65"/>
      <c r="F743" s="65"/>
      <c r="G743" s="65"/>
      <c r="H743" s="65"/>
      <c r="I743" s="65"/>
      <c r="J743" s="66"/>
      <c r="L743" s="64"/>
      <c r="M743" s="65"/>
      <c r="N743" s="65"/>
      <c r="O743" s="65"/>
      <c r="P743" s="65"/>
      <c r="Q743" s="65"/>
      <c r="R743" s="65"/>
      <c r="S743" s="65"/>
      <c r="T743" s="66"/>
    </row>
    <row r="744" spans="2:20" ht="32.1" customHeight="1" thickTop="1" x14ac:dyDescent="0.25">
      <c r="B744" s="57"/>
      <c r="C744" s="58"/>
      <c r="D744" s="217" t="s">
        <v>697</v>
      </c>
      <c r="E744" s="218"/>
      <c r="F744" s="218"/>
      <c r="G744" s="218"/>
      <c r="H744" s="218"/>
      <c r="I744" s="218"/>
      <c r="J744" s="219"/>
      <c r="L744" s="57"/>
      <c r="M744" s="58"/>
      <c r="N744" s="217" t="s">
        <v>697</v>
      </c>
      <c r="O744" s="218"/>
      <c r="P744" s="218"/>
      <c r="Q744" s="218"/>
      <c r="R744" s="218"/>
      <c r="S744" s="218"/>
      <c r="T744" s="219"/>
    </row>
    <row r="745" spans="2:20" ht="6.95" customHeight="1" x14ac:dyDescent="0.25">
      <c r="B745" s="59"/>
      <c r="J745" s="60"/>
      <c r="L745" s="59"/>
      <c r="T745" s="60"/>
    </row>
    <row r="746" spans="2:20" ht="18" customHeight="1" x14ac:dyDescent="0.25">
      <c r="B746" s="61"/>
      <c r="C746" s="214" t="s">
        <v>698</v>
      </c>
      <c r="D746" s="215"/>
      <c r="E746" s="216"/>
      <c r="F746" s="62"/>
      <c r="G746" s="214" t="s">
        <v>1404</v>
      </c>
      <c r="H746" s="215"/>
      <c r="I746" s="216"/>
      <c r="J746" s="63"/>
      <c r="L746" s="61"/>
      <c r="M746" s="214" t="s">
        <v>698</v>
      </c>
      <c r="N746" s="215"/>
      <c r="O746" s="216"/>
      <c r="P746" s="62"/>
      <c r="Q746" s="214" t="s">
        <v>1405</v>
      </c>
      <c r="R746" s="215"/>
      <c r="S746" s="216"/>
      <c r="T746" s="63"/>
    </row>
    <row r="747" spans="2:20" ht="6.95" customHeight="1" x14ac:dyDescent="0.25">
      <c r="B747" s="59"/>
      <c r="C747" s="62"/>
      <c r="D747" s="62"/>
      <c r="E747" s="62"/>
      <c r="F747" s="62"/>
      <c r="G747" s="62"/>
      <c r="H747" s="62"/>
      <c r="I747" s="62"/>
      <c r="J747" s="60"/>
      <c r="L747" s="59"/>
      <c r="M747" s="62"/>
      <c r="N747" s="62"/>
      <c r="O747" s="62"/>
      <c r="P747" s="62"/>
      <c r="Q747" s="62"/>
      <c r="R747" s="62"/>
      <c r="S747" s="62"/>
      <c r="T747" s="60"/>
    </row>
    <row r="748" spans="2:20" ht="18" customHeight="1" x14ac:dyDescent="0.25">
      <c r="B748" s="61"/>
      <c r="C748" s="214" t="s">
        <v>699</v>
      </c>
      <c r="D748" s="215"/>
      <c r="E748" s="216"/>
      <c r="F748" s="62"/>
      <c r="G748" s="214" t="s">
        <v>1639</v>
      </c>
      <c r="H748" s="215"/>
      <c r="I748" s="216"/>
      <c r="J748" s="63"/>
      <c r="L748" s="61"/>
      <c r="M748" s="214" t="s">
        <v>699</v>
      </c>
      <c r="N748" s="215"/>
      <c r="O748" s="216"/>
      <c r="P748" s="62"/>
      <c r="Q748" s="214" t="s">
        <v>1639</v>
      </c>
      <c r="R748" s="215"/>
      <c r="S748" s="216"/>
      <c r="T748" s="63"/>
    </row>
    <row r="749" spans="2:20" ht="6.95" customHeight="1" x14ac:dyDescent="0.25">
      <c r="B749" s="59"/>
      <c r="C749" s="62"/>
      <c r="D749" s="62"/>
      <c r="E749" s="62"/>
      <c r="F749" s="62"/>
      <c r="G749" s="62"/>
      <c r="H749" s="62"/>
      <c r="I749" s="62"/>
      <c r="J749" s="60"/>
      <c r="L749" s="59"/>
      <c r="M749" s="62"/>
      <c r="N749" s="62"/>
      <c r="O749" s="62"/>
      <c r="P749" s="62"/>
      <c r="Q749" s="62"/>
      <c r="R749" s="62"/>
      <c r="S749" s="62"/>
      <c r="T749" s="60"/>
    </row>
    <row r="750" spans="2:20" ht="18" customHeight="1" x14ac:dyDescent="0.25">
      <c r="B750" s="61"/>
      <c r="C750" s="214" t="s">
        <v>701</v>
      </c>
      <c r="D750" s="215"/>
      <c r="E750" s="216"/>
      <c r="F750" s="62"/>
      <c r="G750" s="214" t="s">
        <v>986</v>
      </c>
      <c r="H750" s="215"/>
      <c r="I750" s="216"/>
      <c r="J750" s="63"/>
      <c r="L750" s="61"/>
      <c r="M750" s="214" t="s">
        <v>701</v>
      </c>
      <c r="N750" s="215"/>
      <c r="O750" s="216"/>
      <c r="P750" s="62"/>
      <c r="Q750" s="214" t="s">
        <v>986</v>
      </c>
      <c r="R750" s="215"/>
      <c r="S750" s="216"/>
      <c r="T750" s="63"/>
    </row>
    <row r="751" spans="2:20" ht="6.95" customHeight="1" x14ac:dyDescent="0.25">
      <c r="B751" s="59"/>
      <c r="C751" s="62"/>
      <c r="D751" s="62"/>
      <c r="E751" s="62"/>
      <c r="F751" s="62"/>
      <c r="G751" s="62"/>
      <c r="H751" s="62"/>
      <c r="I751" s="62"/>
      <c r="J751" s="60"/>
      <c r="L751" s="59"/>
      <c r="M751" s="62"/>
      <c r="N751" s="62"/>
      <c r="O751" s="62"/>
      <c r="P751" s="62"/>
      <c r="Q751" s="62"/>
      <c r="R751" s="62"/>
      <c r="S751" s="62"/>
      <c r="T751" s="60"/>
    </row>
    <row r="752" spans="2:20" ht="18" customHeight="1" x14ac:dyDescent="0.25">
      <c r="B752" s="61"/>
      <c r="C752" s="214" t="s">
        <v>703</v>
      </c>
      <c r="D752" s="215"/>
      <c r="E752" s="216"/>
      <c r="F752" s="62"/>
      <c r="G752" s="214" t="s">
        <v>109</v>
      </c>
      <c r="H752" s="215"/>
      <c r="I752" s="216"/>
      <c r="J752" s="63"/>
      <c r="L752" s="61"/>
      <c r="M752" s="214" t="s">
        <v>703</v>
      </c>
      <c r="N752" s="215"/>
      <c r="O752" s="216"/>
      <c r="P752" s="62"/>
      <c r="Q752" s="214" t="s">
        <v>109</v>
      </c>
      <c r="R752" s="215"/>
      <c r="S752" s="216"/>
      <c r="T752" s="63"/>
    </row>
    <row r="753" spans="2:20" ht="6.95" customHeight="1" x14ac:dyDescent="0.25">
      <c r="B753" s="59"/>
      <c r="C753" s="62"/>
      <c r="D753" s="62"/>
      <c r="E753" s="62"/>
      <c r="F753" s="62"/>
      <c r="G753" s="62"/>
      <c r="H753" s="62"/>
      <c r="I753" s="62"/>
      <c r="J753" s="60"/>
      <c r="L753" s="59"/>
      <c r="M753" s="62"/>
      <c r="N753" s="62"/>
      <c r="O753" s="62"/>
      <c r="P753" s="62"/>
      <c r="Q753" s="62"/>
      <c r="R753" s="62"/>
      <c r="S753" s="62"/>
      <c r="T753" s="60"/>
    </row>
    <row r="754" spans="2:20" ht="18" customHeight="1" x14ac:dyDescent="0.25">
      <c r="B754" s="61"/>
      <c r="C754" s="214" t="s">
        <v>705</v>
      </c>
      <c r="D754" s="215"/>
      <c r="E754" s="216"/>
      <c r="F754" s="62"/>
      <c r="G754" s="214" t="s">
        <v>109</v>
      </c>
      <c r="H754" s="215"/>
      <c r="I754" s="216"/>
      <c r="J754" s="63"/>
      <c r="L754" s="61"/>
      <c r="M754" s="214" t="s">
        <v>705</v>
      </c>
      <c r="N754" s="215"/>
      <c r="O754" s="216"/>
      <c r="P754" s="62"/>
      <c r="Q754" s="214" t="s">
        <v>109</v>
      </c>
      <c r="R754" s="215"/>
      <c r="S754" s="216"/>
      <c r="T754" s="63"/>
    </row>
    <row r="755" spans="2:20" ht="6.95" customHeight="1" x14ac:dyDescent="0.25">
      <c r="B755" s="59"/>
      <c r="C755" s="62"/>
      <c r="D755" s="62"/>
      <c r="E755" s="62"/>
      <c r="F755" s="62"/>
      <c r="G755" s="62"/>
      <c r="H755" s="62"/>
      <c r="I755" s="62"/>
      <c r="J755" s="60"/>
      <c r="L755" s="59"/>
      <c r="M755" s="62"/>
      <c r="N755" s="62"/>
      <c r="O755" s="62"/>
      <c r="P755" s="62"/>
      <c r="Q755" s="62"/>
      <c r="R755" s="62"/>
      <c r="S755" s="62"/>
      <c r="T755" s="60"/>
    </row>
    <row r="756" spans="2:20" ht="18" customHeight="1" x14ac:dyDescent="0.25">
      <c r="B756" s="61"/>
      <c r="C756" s="214" t="s">
        <v>708</v>
      </c>
      <c r="D756" s="215"/>
      <c r="E756" s="216"/>
      <c r="F756" s="62"/>
      <c r="G756" s="214" t="s">
        <v>109</v>
      </c>
      <c r="H756" s="215"/>
      <c r="I756" s="216"/>
      <c r="J756" s="63"/>
      <c r="L756" s="61"/>
      <c r="M756" s="214" t="s">
        <v>708</v>
      </c>
      <c r="N756" s="215"/>
      <c r="O756" s="216"/>
      <c r="P756" s="62"/>
      <c r="Q756" s="214" t="s">
        <v>109</v>
      </c>
      <c r="R756" s="215"/>
      <c r="S756" s="216"/>
      <c r="T756" s="63"/>
    </row>
    <row r="757" spans="2:20" ht="6.95" customHeight="1" x14ac:dyDescent="0.25">
      <c r="B757" s="59"/>
      <c r="C757" s="62"/>
      <c r="D757" s="62"/>
      <c r="E757" s="62"/>
      <c r="F757" s="62"/>
      <c r="G757" s="62"/>
      <c r="H757" s="62"/>
      <c r="I757" s="62"/>
      <c r="J757" s="60"/>
      <c r="L757" s="59"/>
      <c r="M757" s="62"/>
      <c r="N757" s="62"/>
      <c r="O757" s="62"/>
      <c r="P757" s="62"/>
      <c r="Q757" s="62"/>
      <c r="R757" s="62"/>
      <c r="S757" s="62"/>
      <c r="T757" s="60"/>
    </row>
    <row r="758" spans="2:20" ht="18" customHeight="1" x14ac:dyDescent="0.25">
      <c r="B758" s="61"/>
      <c r="C758" s="214" t="s">
        <v>711</v>
      </c>
      <c r="D758" s="215"/>
      <c r="E758" s="216"/>
      <c r="F758" s="62"/>
      <c r="G758" s="214" t="s">
        <v>712</v>
      </c>
      <c r="H758" s="215"/>
      <c r="I758" s="216"/>
      <c r="J758" s="63"/>
      <c r="L758" s="61"/>
      <c r="M758" s="214" t="s">
        <v>711</v>
      </c>
      <c r="N758" s="215"/>
      <c r="O758" s="216"/>
      <c r="P758" s="62"/>
      <c r="Q758" s="214" t="s">
        <v>712</v>
      </c>
      <c r="R758" s="215"/>
      <c r="S758" s="216"/>
      <c r="T758" s="63"/>
    </row>
    <row r="759" spans="2:20" ht="6.6" customHeight="1" x14ac:dyDescent="0.25">
      <c r="B759" s="59"/>
      <c r="C759" s="62"/>
      <c r="D759" s="62"/>
      <c r="E759" s="62"/>
      <c r="F759" s="62"/>
      <c r="G759" s="62"/>
      <c r="H759" s="62"/>
      <c r="I759" s="62"/>
      <c r="J759" s="60"/>
      <c r="L759" s="59"/>
      <c r="M759" s="62"/>
      <c r="N759" s="62"/>
      <c r="O759" s="62"/>
      <c r="P759" s="62"/>
      <c r="Q759" s="62"/>
      <c r="R759" s="62"/>
      <c r="S759" s="62"/>
      <c r="T759" s="60"/>
    </row>
    <row r="760" spans="2:20" ht="18" customHeight="1" x14ac:dyDescent="0.25">
      <c r="B760" s="61"/>
      <c r="C760" s="214" t="s">
        <v>1273</v>
      </c>
      <c r="D760" s="215"/>
      <c r="E760" s="216"/>
      <c r="F760" s="62"/>
      <c r="G760" s="214" t="s">
        <v>1406</v>
      </c>
      <c r="H760" s="215"/>
      <c r="I760" s="216"/>
      <c r="J760" s="63"/>
      <c r="L760" s="61"/>
      <c r="M760" s="214" t="s">
        <v>1273</v>
      </c>
      <c r="N760" s="215"/>
      <c r="O760" s="216"/>
      <c r="P760" s="62"/>
      <c r="Q760" s="214" t="s">
        <v>1407</v>
      </c>
      <c r="R760" s="215"/>
      <c r="S760" s="216"/>
      <c r="T760" s="63"/>
    </row>
    <row r="761" spans="2:20" ht="6.95" customHeight="1" x14ac:dyDescent="0.25">
      <c r="B761" s="59"/>
      <c r="C761" s="62"/>
      <c r="D761" s="62"/>
      <c r="E761" s="62"/>
      <c r="F761" s="62"/>
      <c r="G761" s="62"/>
      <c r="H761" s="62"/>
      <c r="I761" s="62"/>
      <c r="J761" s="60"/>
      <c r="L761" s="59"/>
      <c r="M761" s="62"/>
      <c r="N761" s="62"/>
      <c r="O761" s="62"/>
      <c r="P761" s="62"/>
      <c r="Q761" s="62"/>
      <c r="R761" s="62"/>
      <c r="S761" s="62"/>
      <c r="T761" s="60"/>
    </row>
    <row r="762" spans="2:20" ht="18" customHeight="1" x14ac:dyDescent="0.25">
      <c r="B762" s="61"/>
      <c r="C762" s="214" t="s">
        <v>713</v>
      </c>
      <c r="D762" s="215"/>
      <c r="E762" s="216"/>
      <c r="F762" s="62"/>
      <c r="G762" s="220" t="s">
        <v>1293</v>
      </c>
      <c r="H762" s="220"/>
      <c r="I762" s="220"/>
      <c r="J762" s="63"/>
      <c r="L762" s="61"/>
      <c r="M762" s="214" t="s">
        <v>713</v>
      </c>
      <c r="N762" s="215"/>
      <c r="O762" s="216"/>
      <c r="P762" s="62"/>
      <c r="Q762" s="220" t="s">
        <v>1293</v>
      </c>
      <c r="R762" s="220"/>
      <c r="S762" s="220"/>
      <c r="T762" s="63"/>
    </row>
    <row r="763" spans="2:20" ht="6.95" customHeight="1" x14ac:dyDescent="0.25">
      <c r="B763" s="59"/>
      <c r="C763" s="128"/>
      <c r="D763" s="128"/>
      <c r="E763" s="128"/>
      <c r="F763" s="62"/>
      <c r="G763" s="128"/>
      <c r="H763" s="128"/>
      <c r="I763" s="128"/>
      <c r="J763" s="63"/>
      <c r="L763" s="59"/>
      <c r="M763" s="128"/>
      <c r="N763" s="128"/>
      <c r="O763" s="128"/>
      <c r="P763" s="62"/>
      <c r="Q763" s="128"/>
      <c r="R763" s="128"/>
      <c r="S763" s="128"/>
      <c r="T763" s="63"/>
    </row>
    <row r="764" spans="2:20" ht="18" customHeight="1" x14ac:dyDescent="0.25">
      <c r="B764" s="59"/>
      <c r="C764" s="220" t="s">
        <v>715</v>
      </c>
      <c r="D764" s="220"/>
      <c r="E764" s="220"/>
      <c r="F764" s="62"/>
      <c r="G764" s="220" t="s">
        <v>1288</v>
      </c>
      <c r="H764" s="220"/>
      <c r="I764" s="220"/>
      <c r="J764" s="63"/>
      <c r="L764" s="59"/>
      <c r="M764" s="220" t="s">
        <v>715</v>
      </c>
      <c r="N764" s="220"/>
      <c r="O764" s="220"/>
      <c r="P764" s="62"/>
      <c r="Q764" s="220" t="s">
        <v>1288</v>
      </c>
      <c r="R764" s="220"/>
      <c r="S764" s="220"/>
      <c r="T764" s="63"/>
    </row>
    <row r="765" spans="2:20" ht="6.95" customHeight="1" thickBot="1" x14ac:dyDescent="0.3">
      <c r="B765" s="64"/>
      <c r="C765" s="65"/>
      <c r="D765" s="65"/>
      <c r="E765" s="65"/>
      <c r="F765" s="65"/>
      <c r="G765" s="65"/>
      <c r="H765" s="65"/>
      <c r="I765" s="65"/>
      <c r="J765" s="66"/>
      <c r="L765" s="64"/>
      <c r="M765" s="65"/>
      <c r="N765" s="65"/>
      <c r="O765" s="65"/>
      <c r="P765" s="65"/>
      <c r="Q765" s="65"/>
      <c r="R765" s="65"/>
      <c r="S765" s="65"/>
      <c r="T765" s="66"/>
    </row>
    <row r="766" spans="2:20" ht="32.1" customHeight="1" thickTop="1" x14ac:dyDescent="0.25">
      <c r="B766" s="57"/>
      <c r="C766" s="58"/>
      <c r="D766" s="217" t="s">
        <v>697</v>
      </c>
      <c r="E766" s="218"/>
      <c r="F766" s="218"/>
      <c r="G766" s="218"/>
      <c r="H766" s="218"/>
      <c r="I766" s="218"/>
      <c r="J766" s="219"/>
      <c r="L766" s="57"/>
      <c r="M766" s="58"/>
      <c r="N766" s="217" t="s">
        <v>697</v>
      </c>
      <c r="O766" s="218"/>
      <c r="P766" s="218"/>
      <c r="Q766" s="218"/>
      <c r="R766" s="218"/>
      <c r="S766" s="218"/>
      <c r="T766" s="219"/>
    </row>
    <row r="767" spans="2:20" ht="6.95" customHeight="1" x14ac:dyDescent="0.25">
      <c r="B767" s="59"/>
      <c r="J767" s="60"/>
      <c r="L767" s="59"/>
      <c r="T767" s="60"/>
    </row>
    <row r="768" spans="2:20" ht="18" customHeight="1" x14ac:dyDescent="0.25">
      <c r="B768" s="61"/>
      <c r="C768" s="214" t="s">
        <v>698</v>
      </c>
      <c r="D768" s="215"/>
      <c r="E768" s="216"/>
      <c r="F768" s="62"/>
      <c r="G768" s="214" t="s">
        <v>1408</v>
      </c>
      <c r="H768" s="215"/>
      <c r="I768" s="216"/>
      <c r="J768" s="63"/>
      <c r="L768" s="61"/>
      <c r="M768" s="214" t="s">
        <v>698</v>
      </c>
      <c r="N768" s="215"/>
      <c r="O768" s="216"/>
      <c r="P768" s="62"/>
      <c r="Q768" s="214" t="s">
        <v>1409</v>
      </c>
      <c r="R768" s="215"/>
      <c r="S768" s="216"/>
      <c r="T768" s="63"/>
    </row>
    <row r="769" spans="2:20" ht="6.95" customHeight="1" x14ac:dyDescent="0.25">
      <c r="B769" s="59"/>
      <c r="C769" s="62"/>
      <c r="D769" s="62"/>
      <c r="E769" s="62"/>
      <c r="F769" s="62"/>
      <c r="G769" s="62"/>
      <c r="H769" s="62"/>
      <c r="I769" s="62"/>
      <c r="J769" s="60"/>
      <c r="L769" s="59"/>
      <c r="M769" s="62"/>
      <c r="N769" s="62"/>
      <c r="O769" s="62"/>
      <c r="P769" s="62"/>
      <c r="Q769" s="62"/>
      <c r="R769" s="62"/>
      <c r="S769" s="62"/>
      <c r="T769" s="60"/>
    </row>
    <row r="770" spans="2:20" ht="18" customHeight="1" x14ac:dyDescent="0.25">
      <c r="B770" s="61"/>
      <c r="C770" s="214" t="s">
        <v>699</v>
      </c>
      <c r="D770" s="215"/>
      <c r="E770" s="216"/>
      <c r="F770" s="62"/>
      <c r="G770" s="214" t="s">
        <v>1639</v>
      </c>
      <c r="H770" s="215"/>
      <c r="I770" s="216"/>
      <c r="J770" s="63"/>
      <c r="L770" s="61"/>
      <c r="M770" s="214" t="s">
        <v>699</v>
      </c>
      <c r="N770" s="215"/>
      <c r="O770" s="216"/>
      <c r="P770" s="62"/>
      <c r="Q770" s="214" t="s">
        <v>1639</v>
      </c>
      <c r="R770" s="215"/>
      <c r="S770" s="216"/>
      <c r="T770" s="63"/>
    </row>
    <row r="771" spans="2:20" ht="6.95" customHeight="1" x14ac:dyDescent="0.25">
      <c r="B771" s="59"/>
      <c r="C771" s="62"/>
      <c r="D771" s="62"/>
      <c r="E771" s="62"/>
      <c r="F771" s="62"/>
      <c r="G771" s="62"/>
      <c r="H771" s="62"/>
      <c r="I771" s="62"/>
      <c r="J771" s="60"/>
      <c r="L771" s="59"/>
      <c r="M771" s="62"/>
      <c r="N771" s="62"/>
      <c r="O771" s="62"/>
      <c r="P771" s="62"/>
      <c r="Q771" s="62"/>
      <c r="R771" s="62"/>
      <c r="S771" s="62"/>
      <c r="T771" s="60"/>
    </row>
    <row r="772" spans="2:20" ht="18" customHeight="1" x14ac:dyDescent="0.25">
      <c r="B772" s="61"/>
      <c r="C772" s="214" t="s">
        <v>701</v>
      </c>
      <c r="D772" s="215"/>
      <c r="E772" s="216"/>
      <c r="F772" s="62"/>
      <c r="G772" s="214" t="s">
        <v>986</v>
      </c>
      <c r="H772" s="215"/>
      <c r="I772" s="216"/>
      <c r="J772" s="63"/>
      <c r="L772" s="61"/>
      <c r="M772" s="214" t="s">
        <v>701</v>
      </c>
      <c r="N772" s="215"/>
      <c r="O772" s="216"/>
      <c r="P772" s="62"/>
      <c r="Q772" s="214" t="s">
        <v>986</v>
      </c>
      <c r="R772" s="215"/>
      <c r="S772" s="216"/>
      <c r="T772" s="63"/>
    </row>
    <row r="773" spans="2:20" ht="6.95" customHeight="1" x14ac:dyDescent="0.25">
      <c r="B773" s="59"/>
      <c r="C773" s="62"/>
      <c r="D773" s="62"/>
      <c r="E773" s="62"/>
      <c r="F773" s="62"/>
      <c r="G773" s="62"/>
      <c r="H773" s="62"/>
      <c r="I773" s="62"/>
      <c r="J773" s="60"/>
      <c r="L773" s="59"/>
      <c r="M773" s="62"/>
      <c r="N773" s="62"/>
      <c r="O773" s="62"/>
      <c r="P773" s="62"/>
      <c r="Q773" s="62"/>
      <c r="R773" s="62"/>
      <c r="S773" s="62"/>
      <c r="T773" s="60"/>
    </row>
    <row r="774" spans="2:20" ht="18" customHeight="1" x14ac:dyDescent="0.25">
      <c r="B774" s="61"/>
      <c r="C774" s="214" t="s">
        <v>703</v>
      </c>
      <c r="D774" s="215"/>
      <c r="E774" s="216"/>
      <c r="F774" s="62"/>
      <c r="G774" s="214" t="s">
        <v>109</v>
      </c>
      <c r="H774" s="215"/>
      <c r="I774" s="216"/>
      <c r="J774" s="63"/>
      <c r="L774" s="61"/>
      <c r="M774" s="214" t="s">
        <v>703</v>
      </c>
      <c r="N774" s="215"/>
      <c r="O774" s="216"/>
      <c r="P774" s="62"/>
      <c r="Q774" s="214" t="s">
        <v>109</v>
      </c>
      <c r="R774" s="215"/>
      <c r="S774" s="216"/>
      <c r="T774" s="63"/>
    </row>
    <row r="775" spans="2:20" ht="6.95" customHeight="1" x14ac:dyDescent="0.25">
      <c r="B775" s="59"/>
      <c r="C775" s="62"/>
      <c r="D775" s="62"/>
      <c r="E775" s="62"/>
      <c r="F775" s="62"/>
      <c r="G775" s="62"/>
      <c r="H775" s="62"/>
      <c r="I775" s="62"/>
      <c r="J775" s="60"/>
      <c r="L775" s="59"/>
      <c r="M775" s="62"/>
      <c r="N775" s="62"/>
      <c r="O775" s="62"/>
      <c r="P775" s="62"/>
      <c r="Q775" s="62"/>
      <c r="R775" s="62"/>
      <c r="S775" s="62"/>
      <c r="T775" s="60"/>
    </row>
    <row r="776" spans="2:20" ht="18" customHeight="1" x14ac:dyDescent="0.25">
      <c r="B776" s="61"/>
      <c r="C776" s="214" t="s">
        <v>705</v>
      </c>
      <c r="D776" s="215"/>
      <c r="E776" s="216"/>
      <c r="F776" s="62"/>
      <c r="G776" s="214" t="s">
        <v>109</v>
      </c>
      <c r="H776" s="215"/>
      <c r="I776" s="216"/>
      <c r="J776" s="63"/>
      <c r="L776" s="61"/>
      <c r="M776" s="214" t="s">
        <v>705</v>
      </c>
      <c r="N776" s="215"/>
      <c r="O776" s="216"/>
      <c r="P776" s="62"/>
      <c r="Q776" s="214" t="s">
        <v>109</v>
      </c>
      <c r="R776" s="215"/>
      <c r="S776" s="216"/>
      <c r="T776" s="63"/>
    </row>
    <row r="777" spans="2:20" ht="6.95" customHeight="1" x14ac:dyDescent="0.25">
      <c r="B777" s="59"/>
      <c r="C777" s="62"/>
      <c r="D777" s="62"/>
      <c r="E777" s="62"/>
      <c r="F777" s="62"/>
      <c r="G777" s="62"/>
      <c r="H777" s="62"/>
      <c r="I777" s="62"/>
      <c r="J777" s="60"/>
      <c r="L777" s="59"/>
      <c r="M777" s="62"/>
      <c r="N777" s="62"/>
      <c r="O777" s="62"/>
      <c r="P777" s="62"/>
      <c r="Q777" s="62"/>
      <c r="R777" s="62"/>
      <c r="S777" s="62"/>
      <c r="T777" s="60"/>
    </row>
    <row r="778" spans="2:20" ht="18" customHeight="1" x14ac:dyDescent="0.25">
      <c r="B778" s="61"/>
      <c r="C778" s="214" t="s">
        <v>708</v>
      </c>
      <c r="D778" s="215"/>
      <c r="E778" s="216"/>
      <c r="F778" s="62"/>
      <c r="G778" s="214" t="s">
        <v>109</v>
      </c>
      <c r="H778" s="215"/>
      <c r="I778" s="216"/>
      <c r="J778" s="63"/>
      <c r="L778" s="61"/>
      <c r="M778" s="214" t="s">
        <v>708</v>
      </c>
      <c r="N778" s="215"/>
      <c r="O778" s="216"/>
      <c r="P778" s="62"/>
      <c r="Q778" s="214" t="s">
        <v>109</v>
      </c>
      <c r="R778" s="215"/>
      <c r="S778" s="216"/>
      <c r="T778" s="63"/>
    </row>
    <row r="779" spans="2:20" ht="6.6" customHeight="1" x14ac:dyDescent="0.25">
      <c r="B779" s="59"/>
      <c r="C779" s="62"/>
      <c r="D779" s="62"/>
      <c r="E779" s="62"/>
      <c r="F779" s="62"/>
      <c r="G779" s="62"/>
      <c r="H779" s="62"/>
      <c r="I779" s="62"/>
      <c r="J779" s="60"/>
      <c r="L779" s="59"/>
      <c r="M779" s="62"/>
      <c r="N779" s="62"/>
      <c r="O779" s="62"/>
      <c r="P779" s="62"/>
      <c r="Q779" s="62"/>
      <c r="R779" s="62"/>
      <c r="S779" s="62"/>
      <c r="T779" s="60"/>
    </row>
    <row r="780" spans="2:20" ht="18" customHeight="1" x14ac:dyDescent="0.25">
      <c r="B780" s="61"/>
      <c r="C780" s="214" t="s">
        <v>711</v>
      </c>
      <c r="D780" s="215"/>
      <c r="E780" s="216"/>
      <c r="F780" s="62"/>
      <c r="G780" s="214" t="s">
        <v>712</v>
      </c>
      <c r="H780" s="215"/>
      <c r="I780" s="216"/>
      <c r="J780" s="63"/>
      <c r="L780" s="61"/>
      <c r="M780" s="214" t="s">
        <v>711</v>
      </c>
      <c r="N780" s="215"/>
      <c r="O780" s="216"/>
      <c r="P780" s="62"/>
      <c r="Q780" s="214" t="s">
        <v>712</v>
      </c>
      <c r="R780" s="215"/>
      <c r="S780" s="216"/>
      <c r="T780" s="63"/>
    </row>
    <row r="781" spans="2:20" ht="6.95" customHeight="1" x14ac:dyDescent="0.25">
      <c r="B781" s="59"/>
      <c r="C781" s="62"/>
      <c r="D781" s="62"/>
      <c r="E781" s="62"/>
      <c r="F781" s="62"/>
      <c r="G781" s="62"/>
      <c r="H781" s="62"/>
      <c r="I781" s="62"/>
      <c r="J781" s="60"/>
      <c r="L781" s="59"/>
      <c r="M781" s="62"/>
      <c r="N781" s="62"/>
      <c r="O781" s="62"/>
      <c r="P781" s="62"/>
      <c r="Q781" s="62"/>
      <c r="R781" s="62"/>
      <c r="S781" s="62"/>
      <c r="T781" s="60"/>
    </row>
    <row r="782" spans="2:20" ht="18" customHeight="1" x14ac:dyDescent="0.25">
      <c r="B782" s="61"/>
      <c r="C782" s="214" t="s">
        <v>1273</v>
      </c>
      <c r="D782" s="215"/>
      <c r="E782" s="216"/>
      <c r="F782" s="62"/>
      <c r="G782" s="214" t="s">
        <v>1410</v>
      </c>
      <c r="H782" s="215"/>
      <c r="I782" s="216"/>
      <c r="J782" s="63"/>
      <c r="L782" s="61"/>
      <c r="M782" s="214" t="s">
        <v>1273</v>
      </c>
      <c r="N782" s="215"/>
      <c r="O782" s="216"/>
      <c r="P782" s="62"/>
      <c r="Q782" s="214" t="s">
        <v>1411</v>
      </c>
      <c r="R782" s="215"/>
      <c r="S782" s="216"/>
      <c r="T782" s="63"/>
    </row>
    <row r="783" spans="2:20" ht="6.95" customHeight="1" x14ac:dyDescent="0.25">
      <c r="B783" s="59"/>
      <c r="C783" s="62"/>
      <c r="D783" s="62"/>
      <c r="E783" s="62"/>
      <c r="F783" s="62"/>
      <c r="G783" s="62"/>
      <c r="H783" s="62"/>
      <c r="I783" s="62"/>
      <c r="J783" s="60"/>
      <c r="L783" s="59"/>
      <c r="M783" s="62"/>
      <c r="N783" s="62"/>
      <c r="O783" s="62"/>
      <c r="P783" s="62"/>
      <c r="Q783" s="62"/>
      <c r="R783" s="62"/>
      <c r="S783" s="62"/>
      <c r="T783" s="60"/>
    </row>
    <row r="784" spans="2:20" ht="18" customHeight="1" x14ac:dyDescent="0.25">
      <c r="B784" s="61"/>
      <c r="C784" s="214" t="s">
        <v>713</v>
      </c>
      <c r="D784" s="215"/>
      <c r="E784" s="216"/>
      <c r="F784" s="62"/>
      <c r="G784" s="214" t="s">
        <v>1293</v>
      </c>
      <c r="H784" s="215"/>
      <c r="I784" s="216"/>
      <c r="J784" s="63"/>
      <c r="L784" s="61"/>
      <c r="M784" s="214" t="s">
        <v>713</v>
      </c>
      <c r="N784" s="215"/>
      <c r="O784" s="216"/>
      <c r="P784" s="62"/>
      <c r="Q784" s="214" t="s">
        <v>1293</v>
      </c>
      <c r="R784" s="215"/>
      <c r="S784" s="216"/>
      <c r="T784" s="63"/>
    </row>
    <row r="785" spans="2:20" ht="6.95" customHeight="1" x14ac:dyDescent="0.25">
      <c r="B785" s="59"/>
      <c r="C785" s="128"/>
      <c r="D785" s="128"/>
      <c r="E785" s="128"/>
      <c r="F785" s="62"/>
      <c r="G785" s="128"/>
      <c r="H785" s="128"/>
      <c r="I785" s="128"/>
      <c r="J785" s="63"/>
      <c r="L785" s="59"/>
      <c r="M785" s="128"/>
      <c r="N785" s="128"/>
      <c r="O785" s="128"/>
      <c r="P785" s="62"/>
      <c r="Q785" s="128"/>
      <c r="R785" s="128"/>
      <c r="S785" s="128"/>
      <c r="T785" s="63"/>
    </row>
    <row r="786" spans="2:20" ht="18" customHeight="1" x14ac:dyDescent="0.25">
      <c r="B786" s="59"/>
      <c r="C786" s="214" t="s">
        <v>715</v>
      </c>
      <c r="D786" s="215"/>
      <c r="E786" s="216"/>
      <c r="F786" s="62"/>
      <c r="G786" s="214" t="s">
        <v>1288</v>
      </c>
      <c r="H786" s="215"/>
      <c r="I786" s="216"/>
      <c r="J786" s="63"/>
      <c r="L786" s="59"/>
      <c r="M786" s="214" t="s">
        <v>715</v>
      </c>
      <c r="N786" s="215"/>
      <c r="O786" s="216"/>
      <c r="P786" s="62"/>
      <c r="Q786" s="214" t="s">
        <v>1288</v>
      </c>
      <c r="R786" s="215"/>
      <c r="S786" s="216"/>
      <c r="T786" s="63"/>
    </row>
    <row r="787" spans="2:20" ht="6.95" customHeight="1" thickBot="1" x14ac:dyDescent="0.3">
      <c r="B787" s="64"/>
      <c r="C787" s="65"/>
      <c r="D787" s="65"/>
      <c r="E787" s="65"/>
      <c r="F787" s="65"/>
      <c r="G787" s="65"/>
      <c r="H787" s="65"/>
      <c r="I787" s="65"/>
      <c r="J787" s="66"/>
      <c r="L787" s="64"/>
      <c r="M787" s="65"/>
      <c r="N787" s="65"/>
      <c r="O787" s="65"/>
      <c r="P787" s="65"/>
      <c r="Q787" s="65"/>
      <c r="R787" s="65"/>
      <c r="S787" s="65"/>
      <c r="T787" s="66"/>
    </row>
    <row r="788" spans="2:20" ht="32.1" customHeight="1" thickTop="1" x14ac:dyDescent="0.25">
      <c r="B788" s="57"/>
      <c r="C788" s="58"/>
      <c r="D788" s="217" t="s">
        <v>697</v>
      </c>
      <c r="E788" s="218"/>
      <c r="F788" s="218"/>
      <c r="G788" s="218"/>
      <c r="H788" s="218"/>
      <c r="I788" s="218"/>
      <c r="J788" s="219"/>
      <c r="L788" s="57"/>
      <c r="M788" s="58"/>
      <c r="N788" s="217" t="s">
        <v>697</v>
      </c>
      <c r="O788" s="218"/>
      <c r="P788" s="218"/>
      <c r="Q788" s="218"/>
      <c r="R788" s="218"/>
      <c r="S788" s="218"/>
      <c r="T788" s="219"/>
    </row>
    <row r="789" spans="2:20" ht="6.95" customHeight="1" x14ac:dyDescent="0.25">
      <c r="B789" s="59"/>
      <c r="J789" s="60"/>
      <c r="L789" s="59"/>
      <c r="T789" s="60"/>
    </row>
    <row r="790" spans="2:20" ht="18" customHeight="1" x14ac:dyDescent="0.25">
      <c r="B790" s="61"/>
      <c r="C790" s="214" t="s">
        <v>698</v>
      </c>
      <c r="D790" s="215"/>
      <c r="E790" s="216"/>
      <c r="F790" s="62"/>
      <c r="G790" s="214" t="s">
        <v>1412</v>
      </c>
      <c r="H790" s="215"/>
      <c r="I790" s="216"/>
      <c r="J790" s="63"/>
      <c r="L790" s="61"/>
      <c r="M790" s="214" t="s">
        <v>698</v>
      </c>
      <c r="N790" s="215"/>
      <c r="O790" s="216"/>
      <c r="P790" s="62"/>
      <c r="Q790" s="214" t="s">
        <v>1413</v>
      </c>
      <c r="R790" s="215"/>
      <c r="S790" s="216"/>
      <c r="T790" s="63"/>
    </row>
    <row r="791" spans="2:20" ht="6.95" customHeight="1" x14ac:dyDescent="0.25">
      <c r="B791" s="59"/>
      <c r="C791" s="62"/>
      <c r="D791" s="62"/>
      <c r="E791" s="62"/>
      <c r="F791" s="62"/>
      <c r="G791" s="62"/>
      <c r="H791" s="62"/>
      <c r="I791" s="62"/>
      <c r="J791" s="60"/>
      <c r="L791" s="59"/>
      <c r="M791" s="62"/>
      <c r="N791" s="62"/>
      <c r="O791" s="62"/>
      <c r="P791" s="62"/>
      <c r="Q791" s="62"/>
      <c r="R791" s="62"/>
      <c r="S791" s="62"/>
      <c r="T791" s="60"/>
    </row>
    <row r="792" spans="2:20" ht="18" customHeight="1" x14ac:dyDescent="0.25">
      <c r="B792" s="61"/>
      <c r="C792" s="214" t="s">
        <v>699</v>
      </c>
      <c r="D792" s="215"/>
      <c r="E792" s="216"/>
      <c r="F792" s="62"/>
      <c r="G792" s="214" t="s">
        <v>1639</v>
      </c>
      <c r="H792" s="215"/>
      <c r="I792" s="216"/>
      <c r="J792" s="63"/>
      <c r="L792" s="61"/>
      <c r="M792" s="214" t="s">
        <v>699</v>
      </c>
      <c r="N792" s="215"/>
      <c r="O792" s="216"/>
      <c r="P792" s="62"/>
      <c r="Q792" s="214" t="s">
        <v>1639</v>
      </c>
      <c r="R792" s="215"/>
      <c r="S792" s="216"/>
      <c r="T792" s="63"/>
    </row>
    <row r="793" spans="2:20" ht="6.95" customHeight="1" x14ac:dyDescent="0.25">
      <c r="B793" s="59"/>
      <c r="C793" s="62"/>
      <c r="D793" s="62"/>
      <c r="E793" s="62"/>
      <c r="F793" s="62"/>
      <c r="G793" s="62"/>
      <c r="H793" s="62"/>
      <c r="I793" s="62"/>
      <c r="J793" s="60"/>
      <c r="L793" s="59"/>
      <c r="M793" s="62"/>
      <c r="N793" s="62"/>
      <c r="O793" s="62"/>
      <c r="P793" s="62"/>
      <c r="Q793" s="62"/>
      <c r="R793" s="62"/>
      <c r="S793" s="62"/>
      <c r="T793" s="60"/>
    </row>
    <row r="794" spans="2:20" ht="18" customHeight="1" x14ac:dyDescent="0.25">
      <c r="B794" s="61"/>
      <c r="C794" s="214" t="s">
        <v>701</v>
      </c>
      <c r="D794" s="215"/>
      <c r="E794" s="216"/>
      <c r="F794" s="62"/>
      <c r="G794" s="214" t="s">
        <v>986</v>
      </c>
      <c r="H794" s="215"/>
      <c r="I794" s="216"/>
      <c r="J794" s="63"/>
      <c r="L794" s="61"/>
      <c r="M794" s="214" t="s">
        <v>701</v>
      </c>
      <c r="N794" s="215"/>
      <c r="O794" s="216"/>
      <c r="P794" s="62"/>
      <c r="Q794" s="214" t="s">
        <v>986</v>
      </c>
      <c r="R794" s="215"/>
      <c r="S794" s="216"/>
      <c r="T794" s="63"/>
    </row>
    <row r="795" spans="2:20" ht="6.95" customHeight="1" x14ac:dyDescent="0.25">
      <c r="B795" s="59"/>
      <c r="C795" s="62"/>
      <c r="D795" s="62"/>
      <c r="E795" s="62"/>
      <c r="F795" s="62"/>
      <c r="G795" s="62"/>
      <c r="H795" s="62"/>
      <c r="I795" s="62"/>
      <c r="J795" s="60"/>
      <c r="L795" s="59"/>
      <c r="M795" s="62"/>
      <c r="N795" s="62"/>
      <c r="O795" s="62"/>
      <c r="P795" s="62"/>
      <c r="Q795" s="62"/>
      <c r="R795" s="62"/>
      <c r="S795" s="62"/>
      <c r="T795" s="60"/>
    </row>
    <row r="796" spans="2:20" ht="18" customHeight="1" x14ac:dyDescent="0.25">
      <c r="B796" s="61"/>
      <c r="C796" s="214" t="s">
        <v>703</v>
      </c>
      <c r="D796" s="215"/>
      <c r="E796" s="216"/>
      <c r="F796" s="62"/>
      <c r="G796" s="214" t="s">
        <v>109</v>
      </c>
      <c r="H796" s="215"/>
      <c r="I796" s="216"/>
      <c r="J796" s="63"/>
      <c r="L796" s="61"/>
      <c r="M796" s="214" t="s">
        <v>703</v>
      </c>
      <c r="N796" s="215"/>
      <c r="O796" s="216"/>
      <c r="P796" s="62"/>
      <c r="Q796" s="214" t="s">
        <v>109</v>
      </c>
      <c r="R796" s="215"/>
      <c r="S796" s="216"/>
      <c r="T796" s="63"/>
    </row>
    <row r="797" spans="2:20" ht="6.95" customHeight="1" x14ac:dyDescent="0.25">
      <c r="B797" s="59"/>
      <c r="C797" s="62"/>
      <c r="D797" s="62"/>
      <c r="E797" s="62"/>
      <c r="F797" s="62"/>
      <c r="G797" s="62"/>
      <c r="H797" s="62"/>
      <c r="I797" s="62"/>
      <c r="J797" s="60"/>
      <c r="L797" s="59"/>
      <c r="M797" s="62"/>
      <c r="N797" s="62"/>
      <c r="O797" s="62"/>
      <c r="P797" s="62"/>
      <c r="Q797" s="62"/>
      <c r="R797" s="62"/>
      <c r="S797" s="62"/>
      <c r="T797" s="60"/>
    </row>
    <row r="798" spans="2:20" ht="18" customHeight="1" x14ac:dyDescent="0.25">
      <c r="B798" s="61"/>
      <c r="C798" s="214" t="s">
        <v>705</v>
      </c>
      <c r="D798" s="215"/>
      <c r="E798" s="216"/>
      <c r="F798" s="62"/>
      <c r="G798" s="214" t="s">
        <v>109</v>
      </c>
      <c r="H798" s="215"/>
      <c r="I798" s="216"/>
      <c r="J798" s="63"/>
      <c r="L798" s="61"/>
      <c r="M798" s="214" t="s">
        <v>705</v>
      </c>
      <c r="N798" s="215"/>
      <c r="O798" s="216"/>
      <c r="P798" s="62"/>
      <c r="Q798" s="214" t="s">
        <v>109</v>
      </c>
      <c r="R798" s="215"/>
      <c r="S798" s="216"/>
      <c r="T798" s="63"/>
    </row>
    <row r="799" spans="2:20" ht="6.6" customHeight="1" x14ac:dyDescent="0.25">
      <c r="B799" s="59"/>
      <c r="C799" s="62"/>
      <c r="D799" s="62"/>
      <c r="E799" s="62"/>
      <c r="F799" s="62"/>
      <c r="G799" s="62"/>
      <c r="H799" s="62"/>
      <c r="I799" s="62"/>
      <c r="J799" s="60"/>
      <c r="L799" s="59"/>
      <c r="M799" s="62"/>
      <c r="N799" s="62"/>
      <c r="O799" s="62"/>
      <c r="P799" s="62"/>
      <c r="Q799" s="62"/>
      <c r="R799" s="62"/>
      <c r="S799" s="62"/>
      <c r="T799" s="60"/>
    </row>
    <row r="800" spans="2:20" ht="18" customHeight="1" x14ac:dyDescent="0.25">
      <c r="B800" s="61"/>
      <c r="C800" s="214" t="s">
        <v>708</v>
      </c>
      <c r="D800" s="215"/>
      <c r="E800" s="216"/>
      <c r="F800" s="62"/>
      <c r="G800" s="214" t="s">
        <v>109</v>
      </c>
      <c r="H800" s="215"/>
      <c r="I800" s="216"/>
      <c r="J800" s="63"/>
      <c r="L800" s="61"/>
      <c r="M800" s="214" t="s">
        <v>708</v>
      </c>
      <c r="N800" s="215"/>
      <c r="O800" s="216"/>
      <c r="P800" s="62"/>
      <c r="Q800" s="214" t="s">
        <v>109</v>
      </c>
      <c r="R800" s="215"/>
      <c r="S800" s="216"/>
      <c r="T800" s="63"/>
    </row>
    <row r="801" spans="2:20" ht="6.95" customHeight="1" x14ac:dyDescent="0.25">
      <c r="B801" s="59"/>
      <c r="C801" s="62"/>
      <c r="D801" s="62"/>
      <c r="E801" s="62"/>
      <c r="F801" s="62"/>
      <c r="G801" s="62"/>
      <c r="H801" s="62"/>
      <c r="I801" s="62"/>
      <c r="J801" s="60"/>
      <c r="L801" s="59"/>
      <c r="M801" s="62"/>
      <c r="N801" s="62"/>
      <c r="O801" s="62"/>
      <c r="P801" s="62"/>
      <c r="Q801" s="62"/>
      <c r="R801" s="62"/>
      <c r="S801" s="62"/>
      <c r="T801" s="60"/>
    </row>
    <row r="802" spans="2:20" ht="18" customHeight="1" x14ac:dyDescent="0.25">
      <c r="B802" s="61"/>
      <c r="C802" s="214" t="s">
        <v>711</v>
      </c>
      <c r="D802" s="215"/>
      <c r="E802" s="216"/>
      <c r="F802" s="62"/>
      <c r="G802" s="214" t="s">
        <v>712</v>
      </c>
      <c r="H802" s="215"/>
      <c r="I802" s="216"/>
      <c r="J802" s="63"/>
      <c r="L802" s="61"/>
      <c r="M802" s="214" t="s">
        <v>711</v>
      </c>
      <c r="N802" s="215"/>
      <c r="O802" s="216"/>
      <c r="P802" s="62"/>
      <c r="Q802" s="214" t="s">
        <v>712</v>
      </c>
      <c r="R802" s="215"/>
      <c r="S802" s="216"/>
      <c r="T802" s="63"/>
    </row>
    <row r="803" spans="2:20" ht="6.95" customHeight="1" x14ac:dyDescent="0.25">
      <c r="B803" s="59"/>
      <c r="C803" s="62"/>
      <c r="D803" s="62"/>
      <c r="E803" s="62"/>
      <c r="F803" s="62"/>
      <c r="G803" s="62"/>
      <c r="H803" s="62"/>
      <c r="I803" s="62"/>
      <c r="J803" s="60"/>
      <c r="L803" s="59"/>
      <c r="M803" s="62"/>
      <c r="N803" s="62"/>
      <c r="O803" s="62"/>
      <c r="P803" s="62"/>
      <c r="Q803" s="62"/>
      <c r="R803" s="62"/>
      <c r="S803" s="62"/>
      <c r="T803" s="60"/>
    </row>
    <row r="804" spans="2:20" ht="18" customHeight="1" x14ac:dyDescent="0.25">
      <c r="B804" s="61"/>
      <c r="C804" s="214" t="s">
        <v>1273</v>
      </c>
      <c r="D804" s="215"/>
      <c r="E804" s="216"/>
      <c r="F804" s="62"/>
      <c r="G804" s="214" t="s">
        <v>1414</v>
      </c>
      <c r="H804" s="215"/>
      <c r="I804" s="216"/>
      <c r="J804" s="63"/>
      <c r="L804" s="61"/>
      <c r="M804" s="214" t="s">
        <v>1273</v>
      </c>
      <c r="N804" s="215"/>
      <c r="O804" s="216"/>
      <c r="P804" s="62"/>
      <c r="Q804" s="214" t="s">
        <v>1415</v>
      </c>
      <c r="R804" s="215"/>
      <c r="S804" s="216"/>
      <c r="T804" s="63"/>
    </row>
    <row r="805" spans="2:20" ht="6.95" customHeight="1" x14ac:dyDescent="0.25">
      <c r="B805" s="59"/>
      <c r="C805" s="62"/>
      <c r="D805" s="62"/>
      <c r="E805" s="62"/>
      <c r="F805" s="62"/>
      <c r="G805" s="62"/>
      <c r="H805" s="62"/>
      <c r="I805" s="62"/>
      <c r="J805" s="60"/>
      <c r="L805" s="59"/>
      <c r="M805" s="62"/>
      <c r="N805" s="62"/>
      <c r="O805" s="62"/>
      <c r="P805" s="62"/>
      <c r="Q805" s="62"/>
      <c r="R805" s="62"/>
      <c r="S805" s="62"/>
      <c r="T805" s="60"/>
    </row>
    <row r="806" spans="2:20" ht="18" customHeight="1" x14ac:dyDescent="0.25">
      <c r="B806" s="61"/>
      <c r="C806" s="214" t="s">
        <v>713</v>
      </c>
      <c r="D806" s="215"/>
      <c r="E806" s="216"/>
      <c r="F806" s="62"/>
      <c r="G806" s="220" t="s">
        <v>1293</v>
      </c>
      <c r="H806" s="220"/>
      <c r="I806" s="220"/>
      <c r="J806" s="63"/>
      <c r="L806" s="61"/>
      <c r="M806" s="214" t="s">
        <v>713</v>
      </c>
      <c r="N806" s="215"/>
      <c r="O806" s="216"/>
      <c r="P806" s="62"/>
      <c r="Q806" s="220" t="s">
        <v>1293</v>
      </c>
      <c r="R806" s="220"/>
      <c r="S806" s="220"/>
      <c r="T806" s="63"/>
    </row>
    <row r="807" spans="2:20" ht="6.95" customHeight="1" x14ac:dyDescent="0.25">
      <c r="B807" s="59"/>
      <c r="C807" s="128"/>
      <c r="D807" s="128"/>
      <c r="E807" s="128"/>
      <c r="F807" s="62"/>
      <c r="G807" s="128"/>
      <c r="H807" s="128"/>
      <c r="I807" s="128"/>
      <c r="J807" s="63"/>
      <c r="L807" s="59"/>
      <c r="M807" s="128"/>
      <c r="N807" s="128"/>
      <c r="O807" s="128"/>
      <c r="P807" s="62"/>
      <c r="Q807" s="128"/>
      <c r="R807" s="128"/>
      <c r="S807" s="128"/>
      <c r="T807" s="63"/>
    </row>
    <row r="808" spans="2:20" ht="18" customHeight="1" x14ac:dyDescent="0.25">
      <c r="B808" s="59"/>
      <c r="C808" s="220" t="s">
        <v>715</v>
      </c>
      <c r="D808" s="220"/>
      <c r="E808" s="220"/>
      <c r="F808" s="62"/>
      <c r="G808" s="220" t="s">
        <v>1288</v>
      </c>
      <c r="H808" s="220"/>
      <c r="I808" s="220"/>
      <c r="J808" s="63"/>
      <c r="L808" s="59"/>
      <c r="M808" s="220" t="s">
        <v>715</v>
      </c>
      <c r="N808" s="220"/>
      <c r="O808" s="220"/>
      <c r="P808" s="62"/>
      <c r="Q808" s="220" t="s">
        <v>1288</v>
      </c>
      <c r="R808" s="220"/>
      <c r="S808" s="220"/>
      <c r="T808" s="63"/>
    </row>
    <row r="809" spans="2:20" ht="6.95" customHeight="1" thickBot="1" x14ac:dyDescent="0.3">
      <c r="B809" s="64"/>
      <c r="C809" s="65"/>
      <c r="D809" s="65"/>
      <c r="E809" s="65"/>
      <c r="F809" s="65"/>
      <c r="G809" s="65"/>
      <c r="H809" s="65"/>
      <c r="I809" s="65"/>
      <c r="J809" s="66"/>
      <c r="L809" s="64"/>
      <c r="M809" s="65"/>
      <c r="N809" s="65"/>
      <c r="O809" s="65"/>
      <c r="P809" s="65"/>
      <c r="Q809" s="65"/>
      <c r="R809" s="65"/>
      <c r="S809" s="65"/>
      <c r="T809" s="66"/>
    </row>
    <row r="810" spans="2:20" ht="32.1" customHeight="1" thickTop="1" x14ac:dyDescent="0.25">
      <c r="B810" s="57"/>
      <c r="C810" s="58"/>
      <c r="D810" s="217" t="s">
        <v>697</v>
      </c>
      <c r="E810" s="218"/>
      <c r="F810" s="218"/>
      <c r="G810" s="218"/>
      <c r="H810" s="218"/>
      <c r="I810" s="218"/>
      <c r="J810" s="219"/>
      <c r="L810" s="57"/>
      <c r="M810" s="58"/>
      <c r="N810" s="217" t="s">
        <v>697</v>
      </c>
      <c r="O810" s="218"/>
      <c r="P810" s="218"/>
      <c r="Q810" s="218"/>
      <c r="R810" s="218"/>
      <c r="S810" s="218"/>
      <c r="T810" s="219"/>
    </row>
    <row r="811" spans="2:20" ht="6.95" customHeight="1" x14ac:dyDescent="0.25">
      <c r="B811" s="59"/>
      <c r="J811" s="60"/>
      <c r="L811" s="59"/>
      <c r="T811" s="60"/>
    </row>
    <row r="812" spans="2:20" ht="18" customHeight="1" x14ac:dyDescent="0.25">
      <c r="B812" s="61"/>
      <c r="C812" s="214" t="s">
        <v>698</v>
      </c>
      <c r="D812" s="215"/>
      <c r="E812" s="216"/>
      <c r="F812" s="62"/>
      <c r="G812" s="214" t="s">
        <v>1416</v>
      </c>
      <c r="H812" s="215"/>
      <c r="I812" s="216"/>
      <c r="J812" s="63"/>
      <c r="L812" s="61"/>
      <c r="M812" s="214" t="s">
        <v>698</v>
      </c>
      <c r="N812" s="215"/>
      <c r="O812" s="216"/>
      <c r="P812" s="62"/>
      <c r="Q812" s="214" t="s">
        <v>1417</v>
      </c>
      <c r="R812" s="215"/>
      <c r="S812" s="216"/>
      <c r="T812" s="63"/>
    </row>
    <row r="813" spans="2:20" ht="6.95" customHeight="1" x14ac:dyDescent="0.25">
      <c r="B813" s="59"/>
      <c r="C813" s="62"/>
      <c r="D813" s="62"/>
      <c r="E813" s="62"/>
      <c r="F813" s="62"/>
      <c r="G813" s="62"/>
      <c r="H813" s="62"/>
      <c r="I813" s="62"/>
      <c r="J813" s="60"/>
      <c r="L813" s="59"/>
      <c r="M813" s="62"/>
      <c r="N813" s="62"/>
      <c r="O813" s="62"/>
      <c r="P813" s="62"/>
      <c r="Q813" s="62"/>
      <c r="R813" s="62"/>
      <c r="S813" s="62"/>
      <c r="T813" s="60"/>
    </row>
    <row r="814" spans="2:20" ht="18" customHeight="1" x14ac:dyDescent="0.25">
      <c r="B814" s="61"/>
      <c r="C814" s="214" t="s">
        <v>699</v>
      </c>
      <c r="D814" s="215"/>
      <c r="E814" s="216"/>
      <c r="F814" s="62"/>
      <c r="G814" s="214" t="s">
        <v>1639</v>
      </c>
      <c r="H814" s="215"/>
      <c r="I814" s="216"/>
      <c r="J814" s="63"/>
      <c r="L814" s="61"/>
      <c r="M814" s="214" t="s">
        <v>699</v>
      </c>
      <c r="N814" s="215"/>
      <c r="O814" s="216"/>
      <c r="P814" s="62"/>
      <c r="Q814" s="214" t="s">
        <v>1639</v>
      </c>
      <c r="R814" s="215"/>
      <c r="S814" s="216"/>
      <c r="T814" s="63"/>
    </row>
    <row r="815" spans="2:20" ht="6.95" customHeight="1" x14ac:dyDescent="0.25">
      <c r="B815" s="59"/>
      <c r="C815" s="62"/>
      <c r="D815" s="62"/>
      <c r="E815" s="62"/>
      <c r="F815" s="62"/>
      <c r="G815" s="62"/>
      <c r="H815" s="62"/>
      <c r="I815" s="62"/>
      <c r="J815" s="60"/>
      <c r="L815" s="59"/>
      <c r="M815" s="62"/>
      <c r="N815" s="62"/>
      <c r="O815" s="62"/>
      <c r="P815" s="62"/>
      <c r="Q815" s="62"/>
      <c r="R815" s="62"/>
      <c r="S815" s="62"/>
      <c r="T815" s="60"/>
    </row>
    <row r="816" spans="2:20" ht="18" customHeight="1" x14ac:dyDescent="0.25">
      <c r="B816" s="61"/>
      <c r="C816" s="214" t="s">
        <v>701</v>
      </c>
      <c r="D816" s="215"/>
      <c r="E816" s="216"/>
      <c r="F816" s="62"/>
      <c r="G816" s="214" t="s">
        <v>986</v>
      </c>
      <c r="H816" s="215"/>
      <c r="I816" s="216"/>
      <c r="J816" s="63"/>
      <c r="L816" s="61"/>
      <c r="M816" s="214" t="s">
        <v>701</v>
      </c>
      <c r="N816" s="215"/>
      <c r="O816" s="216"/>
      <c r="P816" s="62"/>
      <c r="Q816" s="214" t="s">
        <v>986</v>
      </c>
      <c r="R816" s="215"/>
      <c r="S816" s="216"/>
      <c r="T816" s="63"/>
    </row>
    <row r="817" spans="2:20" ht="6.95" customHeight="1" x14ac:dyDescent="0.25">
      <c r="B817" s="59"/>
      <c r="C817" s="62"/>
      <c r="D817" s="62"/>
      <c r="E817" s="62"/>
      <c r="F817" s="62"/>
      <c r="G817" s="62"/>
      <c r="H817" s="62"/>
      <c r="I817" s="62"/>
      <c r="J817" s="60"/>
      <c r="L817" s="59"/>
      <c r="M817" s="62"/>
      <c r="N817" s="62"/>
      <c r="O817" s="62"/>
      <c r="P817" s="62"/>
      <c r="Q817" s="62"/>
      <c r="R817" s="62"/>
      <c r="S817" s="62"/>
      <c r="T817" s="60"/>
    </row>
    <row r="818" spans="2:20" ht="18" customHeight="1" x14ac:dyDescent="0.25">
      <c r="B818" s="61"/>
      <c r="C818" s="214" t="s">
        <v>703</v>
      </c>
      <c r="D818" s="215"/>
      <c r="E818" s="216"/>
      <c r="F818" s="62"/>
      <c r="G818" s="214" t="s">
        <v>109</v>
      </c>
      <c r="H818" s="215"/>
      <c r="I818" s="216"/>
      <c r="J818" s="63"/>
      <c r="L818" s="61"/>
      <c r="M818" s="214" t="s">
        <v>703</v>
      </c>
      <c r="N818" s="215"/>
      <c r="O818" s="216"/>
      <c r="P818" s="62"/>
      <c r="Q818" s="214" t="s">
        <v>109</v>
      </c>
      <c r="R818" s="215"/>
      <c r="S818" s="216"/>
      <c r="T818" s="63"/>
    </row>
    <row r="819" spans="2:20" ht="6.6" customHeight="1" x14ac:dyDescent="0.25">
      <c r="B819" s="59"/>
      <c r="C819" s="62"/>
      <c r="D819" s="62"/>
      <c r="E819" s="62"/>
      <c r="F819" s="62"/>
      <c r="G819" s="62"/>
      <c r="H819" s="62"/>
      <c r="I819" s="62"/>
      <c r="J819" s="60"/>
      <c r="L819" s="59"/>
      <c r="M819" s="62"/>
      <c r="N819" s="62"/>
      <c r="O819" s="62"/>
      <c r="P819" s="62"/>
      <c r="Q819" s="62"/>
      <c r="R819" s="62"/>
      <c r="S819" s="62"/>
      <c r="T819" s="60"/>
    </row>
    <row r="820" spans="2:20" ht="18" customHeight="1" x14ac:dyDescent="0.25">
      <c r="B820" s="61"/>
      <c r="C820" s="214" t="s">
        <v>705</v>
      </c>
      <c r="D820" s="215"/>
      <c r="E820" s="216"/>
      <c r="F820" s="62"/>
      <c r="G820" s="214" t="s">
        <v>109</v>
      </c>
      <c r="H820" s="215"/>
      <c r="I820" s="216"/>
      <c r="J820" s="63"/>
      <c r="L820" s="61"/>
      <c r="M820" s="214" t="s">
        <v>705</v>
      </c>
      <c r="N820" s="215"/>
      <c r="O820" s="216"/>
      <c r="P820" s="62"/>
      <c r="Q820" s="214" t="s">
        <v>109</v>
      </c>
      <c r="R820" s="215"/>
      <c r="S820" s="216"/>
      <c r="T820" s="63"/>
    </row>
    <row r="821" spans="2:20" ht="6.95" customHeight="1" x14ac:dyDescent="0.25">
      <c r="B821" s="59"/>
      <c r="C821" s="62"/>
      <c r="D821" s="62"/>
      <c r="E821" s="62"/>
      <c r="F821" s="62"/>
      <c r="G821" s="62"/>
      <c r="H821" s="62"/>
      <c r="I821" s="62"/>
      <c r="J821" s="60"/>
      <c r="L821" s="59"/>
      <c r="M821" s="62"/>
      <c r="N821" s="62"/>
      <c r="O821" s="62"/>
      <c r="P821" s="62"/>
      <c r="Q821" s="62"/>
      <c r="R821" s="62"/>
      <c r="S821" s="62"/>
      <c r="T821" s="60"/>
    </row>
    <row r="822" spans="2:20" ht="18" customHeight="1" x14ac:dyDescent="0.25">
      <c r="B822" s="61"/>
      <c r="C822" s="214" t="s">
        <v>708</v>
      </c>
      <c r="D822" s="215"/>
      <c r="E822" s="216"/>
      <c r="F822" s="62"/>
      <c r="G822" s="214" t="s">
        <v>109</v>
      </c>
      <c r="H822" s="215"/>
      <c r="I822" s="216"/>
      <c r="J822" s="63"/>
      <c r="L822" s="61"/>
      <c r="M822" s="214" t="s">
        <v>708</v>
      </c>
      <c r="N822" s="215"/>
      <c r="O822" s="216"/>
      <c r="P822" s="62"/>
      <c r="Q822" s="214" t="s">
        <v>109</v>
      </c>
      <c r="R822" s="215"/>
      <c r="S822" s="216"/>
      <c r="T822" s="63"/>
    </row>
    <row r="823" spans="2:20" ht="6.95" customHeight="1" x14ac:dyDescent="0.25">
      <c r="B823" s="59"/>
      <c r="C823" s="62"/>
      <c r="D823" s="62"/>
      <c r="E823" s="62"/>
      <c r="F823" s="62"/>
      <c r="G823" s="62"/>
      <c r="H823" s="62"/>
      <c r="I823" s="62"/>
      <c r="J823" s="60"/>
      <c r="L823" s="59"/>
      <c r="M823" s="62"/>
      <c r="N823" s="62"/>
      <c r="O823" s="62"/>
      <c r="P823" s="62"/>
      <c r="Q823" s="62"/>
      <c r="R823" s="62"/>
      <c r="S823" s="62"/>
      <c r="T823" s="60"/>
    </row>
    <row r="824" spans="2:20" ht="18" customHeight="1" x14ac:dyDescent="0.25">
      <c r="B824" s="61"/>
      <c r="C824" s="214" t="s">
        <v>711</v>
      </c>
      <c r="D824" s="215"/>
      <c r="E824" s="216"/>
      <c r="F824" s="62"/>
      <c r="G824" s="214" t="s">
        <v>712</v>
      </c>
      <c r="H824" s="215"/>
      <c r="I824" s="216"/>
      <c r="J824" s="63"/>
      <c r="L824" s="61"/>
      <c r="M824" s="214" t="s">
        <v>711</v>
      </c>
      <c r="N824" s="215"/>
      <c r="O824" s="216"/>
      <c r="P824" s="62"/>
      <c r="Q824" s="214" t="s">
        <v>712</v>
      </c>
      <c r="R824" s="215"/>
      <c r="S824" s="216"/>
      <c r="T824" s="63"/>
    </row>
    <row r="825" spans="2:20" ht="6.95" customHeight="1" x14ac:dyDescent="0.25">
      <c r="B825" s="59"/>
      <c r="C825" s="62"/>
      <c r="D825" s="62"/>
      <c r="E825" s="62"/>
      <c r="F825" s="62"/>
      <c r="G825" s="62"/>
      <c r="H825" s="62"/>
      <c r="I825" s="62"/>
      <c r="J825" s="60"/>
      <c r="L825" s="59"/>
      <c r="M825" s="62"/>
      <c r="N825" s="62"/>
      <c r="O825" s="62"/>
      <c r="P825" s="62"/>
      <c r="Q825" s="62"/>
      <c r="R825" s="62"/>
      <c r="S825" s="62"/>
      <c r="T825" s="60"/>
    </row>
    <row r="826" spans="2:20" ht="18" customHeight="1" x14ac:dyDescent="0.25">
      <c r="B826" s="61"/>
      <c r="C826" s="214" t="s">
        <v>1273</v>
      </c>
      <c r="D826" s="215"/>
      <c r="E826" s="216"/>
      <c r="F826" s="62"/>
      <c r="G826" s="214" t="s">
        <v>1418</v>
      </c>
      <c r="H826" s="215"/>
      <c r="I826" s="216"/>
      <c r="J826" s="63"/>
      <c r="L826" s="61"/>
      <c r="M826" s="214" t="s">
        <v>1273</v>
      </c>
      <c r="N826" s="215"/>
      <c r="O826" s="216"/>
      <c r="P826" s="62"/>
      <c r="Q826" s="214" t="s">
        <v>1419</v>
      </c>
      <c r="R826" s="215"/>
      <c r="S826" s="216"/>
      <c r="T826" s="63"/>
    </row>
    <row r="827" spans="2:20" ht="6.95" customHeight="1" x14ac:dyDescent="0.25">
      <c r="B827" s="59"/>
      <c r="C827" s="62"/>
      <c r="D827" s="62"/>
      <c r="E827" s="62"/>
      <c r="F827" s="62"/>
      <c r="G827" s="62"/>
      <c r="H827" s="62"/>
      <c r="I827" s="62"/>
      <c r="J827" s="60"/>
      <c r="L827" s="59"/>
      <c r="M827" s="62"/>
      <c r="N827" s="62"/>
      <c r="O827" s="62"/>
      <c r="P827" s="62"/>
      <c r="Q827" s="62"/>
      <c r="R827" s="62"/>
      <c r="S827" s="62"/>
      <c r="T827" s="60"/>
    </row>
    <row r="828" spans="2:20" ht="18" customHeight="1" x14ac:dyDescent="0.25">
      <c r="B828" s="61"/>
      <c r="C828" s="214" t="s">
        <v>713</v>
      </c>
      <c r="D828" s="215"/>
      <c r="E828" s="216"/>
      <c r="F828" s="62"/>
      <c r="G828" s="220" t="s">
        <v>1293</v>
      </c>
      <c r="H828" s="220"/>
      <c r="I828" s="220"/>
      <c r="J828" s="63"/>
      <c r="L828" s="61"/>
      <c r="M828" s="214" t="s">
        <v>713</v>
      </c>
      <c r="N828" s="215"/>
      <c r="O828" s="216"/>
      <c r="P828" s="62"/>
      <c r="Q828" s="220" t="s">
        <v>1293</v>
      </c>
      <c r="R828" s="220"/>
      <c r="S828" s="220"/>
      <c r="T828" s="63"/>
    </row>
    <row r="829" spans="2:20" ht="6.95" customHeight="1" x14ac:dyDescent="0.25">
      <c r="B829" s="59"/>
      <c r="C829" s="128"/>
      <c r="D829" s="128"/>
      <c r="E829" s="128"/>
      <c r="F829" s="62"/>
      <c r="G829" s="128"/>
      <c r="H829" s="128"/>
      <c r="I829" s="128"/>
      <c r="J829" s="63"/>
      <c r="L829" s="59"/>
      <c r="M829" s="128"/>
      <c r="N829" s="128"/>
      <c r="O829" s="128"/>
      <c r="P829" s="62"/>
      <c r="Q829" s="128"/>
      <c r="R829" s="128"/>
      <c r="S829" s="128"/>
      <c r="T829" s="63"/>
    </row>
    <row r="830" spans="2:20" ht="18" customHeight="1" x14ac:dyDescent="0.25">
      <c r="B830" s="59"/>
      <c r="C830" s="220" t="s">
        <v>715</v>
      </c>
      <c r="D830" s="220"/>
      <c r="E830" s="220"/>
      <c r="F830" s="62"/>
      <c r="G830" s="220" t="s">
        <v>1288</v>
      </c>
      <c r="H830" s="220"/>
      <c r="I830" s="220"/>
      <c r="J830" s="63"/>
      <c r="L830" s="59"/>
      <c r="M830" s="220" t="s">
        <v>715</v>
      </c>
      <c r="N830" s="220"/>
      <c r="O830" s="220"/>
      <c r="P830" s="62"/>
      <c r="Q830" s="220" t="s">
        <v>1288</v>
      </c>
      <c r="R830" s="220"/>
      <c r="S830" s="220"/>
      <c r="T830" s="63"/>
    </row>
    <row r="831" spans="2:20" ht="6.95" customHeight="1" thickBot="1" x14ac:dyDescent="0.3">
      <c r="B831" s="64"/>
      <c r="C831" s="65"/>
      <c r="D831" s="65"/>
      <c r="E831" s="65"/>
      <c r="F831" s="65"/>
      <c r="G831" s="65"/>
      <c r="H831" s="65"/>
      <c r="I831" s="65"/>
      <c r="J831" s="66"/>
      <c r="L831" s="64"/>
      <c r="M831" s="65"/>
      <c r="N831" s="65"/>
      <c r="O831" s="65"/>
      <c r="P831" s="65"/>
      <c r="Q831" s="65"/>
      <c r="R831" s="65"/>
      <c r="S831" s="65"/>
      <c r="T831" s="66"/>
    </row>
    <row r="832" spans="2:20" ht="32.1" customHeight="1" thickTop="1" x14ac:dyDescent="0.25">
      <c r="B832" s="57"/>
      <c r="C832" s="58"/>
      <c r="D832" s="217" t="s">
        <v>697</v>
      </c>
      <c r="E832" s="218"/>
      <c r="F832" s="218"/>
      <c r="G832" s="218"/>
      <c r="H832" s="218"/>
      <c r="I832" s="218"/>
      <c r="J832" s="219"/>
      <c r="L832" s="57"/>
      <c r="M832" s="58"/>
      <c r="N832" s="217" t="s">
        <v>697</v>
      </c>
      <c r="O832" s="218"/>
      <c r="P832" s="218"/>
      <c r="Q832" s="218"/>
      <c r="R832" s="218"/>
      <c r="S832" s="218"/>
      <c r="T832" s="219"/>
    </row>
    <row r="833" spans="2:20" ht="6.95" customHeight="1" x14ac:dyDescent="0.25">
      <c r="B833" s="59"/>
      <c r="J833" s="60"/>
      <c r="L833" s="59"/>
      <c r="T833" s="60"/>
    </row>
    <row r="834" spans="2:20" ht="18" customHeight="1" x14ac:dyDescent="0.25">
      <c r="B834" s="61"/>
      <c r="C834" s="214" t="s">
        <v>698</v>
      </c>
      <c r="D834" s="215"/>
      <c r="E834" s="216"/>
      <c r="F834" s="62"/>
      <c r="G834" s="214" t="s">
        <v>1420</v>
      </c>
      <c r="H834" s="215"/>
      <c r="I834" s="216"/>
      <c r="J834" s="63"/>
      <c r="L834" s="61"/>
      <c r="M834" s="214" t="s">
        <v>698</v>
      </c>
      <c r="N834" s="215"/>
      <c r="O834" s="216"/>
      <c r="P834" s="62"/>
      <c r="Q834" s="214" t="s">
        <v>1421</v>
      </c>
      <c r="R834" s="215"/>
      <c r="S834" s="216"/>
      <c r="T834" s="63"/>
    </row>
    <row r="835" spans="2:20" ht="6.95" customHeight="1" x14ac:dyDescent="0.25">
      <c r="B835" s="59"/>
      <c r="C835" s="62"/>
      <c r="D835" s="62"/>
      <c r="E835" s="62"/>
      <c r="F835" s="62"/>
      <c r="G835" s="62"/>
      <c r="H835" s="62"/>
      <c r="I835" s="62"/>
      <c r="J835" s="60"/>
      <c r="L835" s="59"/>
      <c r="M835" s="62"/>
      <c r="N835" s="62"/>
      <c r="O835" s="62"/>
      <c r="P835" s="62"/>
      <c r="Q835" s="62"/>
      <c r="R835" s="62"/>
      <c r="S835" s="62"/>
      <c r="T835" s="60"/>
    </row>
    <row r="836" spans="2:20" ht="18" customHeight="1" x14ac:dyDescent="0.25">
      <c r="B836" s="61"/>
      <c r="C836" s="214" t="s">
        <v>699</v>
      </c>
      <c r="D836" s="215"/>
      <c r="E836" s="216"/>
      <c r="F836" s="62"/>
      <c r="G836" s="214" t="s">
        <v>1639</v>
      </c>
      <c r="H836" s="215"/>
      <c r="I836" s="216"/>
      <c r="J836" s="63"/>
      <c r="L836" s="61"/>
      <c r="M836" s="214" t="s">
        <v>699</v>
      </c>
      <c r="N836" s="215"/>
      <c r="O836" s="216"/>
      <c r="P836" s="62"/>
      <c r="Q836" s="214" t="s">
        <v>1639</v>
      </c>
      <c r="R836" s="215"/>
      <c r="S836" s="216"/>
      <c r="T836" s="63"/>
    </row>
    <row r="837" spans="2:20" ht="6.95" customHeight="1" x14ac:dyDescent="0.25">
      <c r="B837" s="59"/>
      <c r="C837" s="62"/>
      <c r="D837" s="62"/>
      <c r="E837" s="62"/>
      <c r="F837" s="62"/>
      <c r="G837" s="62"/>
      <c r="H837" s="62"/>
      <c r="I837" s="62"/>
      <c r="J837" s="60"/>
      <c r="L837" s="59"/>
      <c r="M837" s="62"/>
      <c r="N837" s="62"/>
      <c r="O837" s="62"/>
      <c r="P837" s="62"/>
      <c r="Q837" s="62"/>
      <c r="R837" s="62"/>
      <c r="S837" s="62"/>
      <c r="T837" s="60"/>
    </row>
    <row r="838" spans="2:20" ht="18" customHeight="1" x14ac:dyDescent="0.25">
      <c r="B838" s="61"/>
      <c r="C838" s="214" t="s">
        <v>701</v>
      </c>
      <c r="D838" s="215"/>
      <c r="E838" s="216"/>
      <c r="F838" s="62"/>
      <c r="G838" s="214" t="s">
        <v>986</v>
      </c>
      <c r="H838" s="215"/>
      <c r="I838" s="216"/>
      <c r="J838" s="63"/>
      <c r="L838" s="61"/>
      <c r="M838" s="214" t="s">
        <v>701</v>
      </c>
      <c r="N838" s="215"/>
      <c r="O838" s="216"/>
      <c r="P838" s="62"/>
      <c r="Q838" s="214" t="s">
        <v>986</v>
      </c>
      <c r="R838" s="215"/>
      <c r="S838" s="216"/>
      <c r="T838" s="63"/>
    </row>
    <row r="839" spans="2:20" ht="6.95" customHeight="1" x14ac:dyDescent="0.25">
      <c r="B839" s="59"/>
      <c r="C839" s="62"/>
      <c r="D839" s="62"/>
      <c r="E839" s="62"/>
      <c r="F839" s="62"/>
      <c r="G839" s="62"/>
      <c r="H839" s="62"/>
      <c r="I839" s="62"/>
      <c r="J839" s="60"/>
      <c r="L839" s="59"/>
      <c r="M839" s="62"/>
      <c r="N839" s="62"/>
      <c r="O839" s="62"/>
      <c r="P839" s="62"/>
      <c r="Q839" s="62"/>
      <c r="R839" s="62"/>
      <c r="S839" s="62"/>
      <c r="T839" s="60"/>
    </row>
    <row r="840" spans="2:20" ht="18" customHeight="1" x14ac:dyDescent="0.25">
      <c r="B840" s="61"/>
      <c r="C840" s="214" t="s">
        <v>703</v>
      </c>
      <c r="D840" s="215"/>
      <c r="E840" s="216"/>
      <c r="F840" s="62"/>
      <c r="G840" s="214" t="s">
        <v>109</v>
      </c>
      <c r="H840" s="215"/>
      <c r="I840" s="216"/>
      <c r="J840" s="63"/>
      <c r="L840" s="61"/>
      <c r="M840" s="214" t="s">
        <v>703</v>
      </c>
      <c r="N840" s="215"/>
      <c r="O840" s="216"/>
      <c r="P840" s="62"/>
      <c r="Q840" s="214" t="s">
        <v>109</v>
      </c>
      <c r="R840" s="215"/>
      <c r="S840" s="216"/>
      <c r="T840" s="63"/>
    </row>
    <row r="841" spans="2:20" ht="6.6" customHeight="1" x14ac:dyDescent="0.25">
      <c r="B841" s="59"/>
      <c r="C841" s="62"/>
      <c r="D841" s="62"/>
      <c r="E841" s="62"/>
      <c r="F841" s="62"/>
      <c r="G841" s="62"/>
      <c r="H841" s="62"/>
      <c r="I841" s="62"/>
      <c r="J841" s="60"/>
      <c r="L841" s="59"/>
      <c r="M841" s="62"/>
      <c r="N841" s="62"/>
      <c r="O841" s="62"/>
      <c r="P841" s="62"/>
      <c r="Q841" s="62"/>
      <c r="R841" s="62"/>
      <c r="S841" s="62"/>
      <c r="T841" s="60"/>
    </row>
    <row r="842" spans="2:20" ht="18" customHeight="1" x14ac:dyDescent="0.25">
      <c r="B842" s="61"/>
      <c r="C842" s="214" t="s">
        <v>705</v>
      </c>
      <c r="D842" s="215"/>
      <c r="E842" s="216"/>
      <c r="F842" s="62"/>
      <c r="G842" s="214" t="s">
        <v>109</v>
      </c>
      <c r="H842" s="215"/>
      <c r="I842" s="216"/>
      <c r="J842" s="63"/>
      <c r="L842" s="61"/>
      <c r="M842" s="214" t="s">
        <v>705</v>
      </c>
      <c r="N842" s="215"/>
      <c r="O842" s="216"/>
      <c r="P842" s="62"/>
      <c r="Q842" s="214" t="s">
        <v>109</v>
      </c>
      <c r="R842" s="215"/>
      <c r="S842" s="216"/>
      <c r="T842" s="63"/>
    </row>
    <row r="843" spans="2:20" ht="6.95" customHeight="1" x14ac:dyDescent="0.25">
      <c r="B843" s="59"/>
      <c r="C843" s="62"/>
      <c r="D843" s="62"/>
      <c r="E843" s="62"/>
      <c r="F843" s="62"/>
      <c r="G843" s="62"/>
      <c r="H843" s="62"/>
      <c r="I843" s="62"/>
      <c r="J843" s="60"/>
      <c r="L843" s="59"/>
      <c r="M843" s="62"/>
      <c r="N843" s="62"/>
      <c r="O843" s="62"/>
      <c r="P843" s="62"/>
      <c r="Q843" s="62"/>
      <c r="R843" s="62"/>
      <c r="S843" s="62"/>
      <c r="T843" s="60"/>
    </row>
    <row r="844" spans="2:20" ht="18" customHeight="1" x14ac:dyDescent="0.25">
      <c r="B844" s="61"/>
      <c r="C844" s="214" t="s">
        <v>708</v>
      </c>
      <c r="D844" s="215"/>
      <c r="E844" s="216"/>
      <c r="F844" s="62"/>
      <c r="G844" s="214" t="s">
        <v>109</v>
      </c>
      <c r="H844" s="215"/>
      <c r="I844" s="216"/>
      <c r="J844" s="63"/>
      <c r="L844" s="61"/>
      <c r="M844" s="214" t="s">
        <v>708</v>
      </c>
      <c r="N844" s="215"/>
      <c r="O844" s="216"/>
      <c r="P844" s="62"/>
      <c r="Q844" s="214" t="s">
        <v>109</v>
      </c>
      <c r="R844" s="215"/>
      <c r="S844" s="216"/>
      <c r="T844" s="63"/>
    </row>
    <row r="845" spans="2:20" ht="6.95" customHeight="1" x14ac:dyDescent="0.25">
      <c r="B845" s="59"/>
      <c r="C845" s="62"/>
      <c r="D845" s="62"/>
      <c r="E845" s="62"/>
      <c r="F845" s="62"/>
      <c r="G845" s="62"/>
      <c r="H845" s="62"/>
      <c r="I845" s="62"/>
      <c r="J845" s="60"/>
      <c r="L845" s="59"/>
      <c r="M845" s="62"/>
      <c r="N845" s="62"/>
      <c r="O845" s="62"/>
      <c r="P845" s="62"/>
      <c r="Q845" s="62"/>
      <c r="R845" s="62"/>
      <c r="S845" s="62"/>
      <c r="T845" s="60"/>
    </row>
    <row r="846" spans="2:20" ht="18" customHeight="1" x14ac:dyDescent="0.25">
      <c r="B846" s="61"/>
      <c r="C846" s="214" t="s">
        <v>711</v>
      </c>
      <c r="D846" s="215"/>
      <c r="E846" s="216"/>
      <c r="F846" s="62"/>
      <c r="G846" s="214" t="s">
        <v>712</v>
      </c>
      <c r="H846" s="215"/>
      <c r="I846" s="216"/>
      <c r="J846" s="63"/>
      <c r="L846" s="61"/>
      <c r="M846" s="214" t="s">
        <v>711</v>
      </c>
      <c r="N846" s="215"/>
      <c r="O846" s="216"/>
      <c r="P846" s="62"/>
      <c r="Q846" s="214" t="s">
        <v>712</v>
      </c>
      <c r="R846" s="215"/>
      <c r="S846" s="216"/>
      <c r="T846" s="63"/>
    </row>
    <row r="847" spans="2:20" ht="6.95" customHeight="1" x14ac:dyDescent="0.25">
      <c r="B847" s="59"/>
      <c r="C847" s="62"/>
      <c r="D847" s="62"/>
      <c r="E847" s="62"/>
      <c r="F847" s="62"/>
      <c r="G847" s="62"/>
      <c r="H847" s="62"/>
      <c r="I847" s="62"/>
      <c r="J847" s="60"/>
      <c r="L847" s="59"/>
      <c r="M847" s="62"/>
      <c r="N847" s="62"/>
      <c r="O847" s="62"/>
      <c r="P847" s="62"/>
      <c r="Q847" s="62"/>
      <c r="R847" s="62"/>
      <c r="S847" s="62"/>
      <c r="T847" s="60"/>
    </row>
    <row r="848" spans="2:20" ht="18" customHeight="1" x14ac:dyDescent="0.25">
      <c r="B848" s="61"/>
      <c r="C848" s="214" t="s">
        <v>1273</v>
      </c>
      <c r="D848" s="215"/>
      <c r="E848" s="216"/>
      <c r="F848" s="62"/>
      <c r="G848" s="214" t="s">
        <v>1422</v>
      </c>
      <c r="H848" s="215"/>
      <c r="I848" s="216"/>
      <c r="J848" s="63"/>
      <c r="L848" s="61"/>
      <c r="M848" s="214" t="s">
        <v>1273</v>
      </c>
      <c r="N848" s="215"/>
      <c r="O848" s="216"/>
      <c r="P848" s="62"/>
      <c r="Q848" s="214" t="s">
        <v>1423</v>
      </c>
      <c r="R848" s="215"/>
      <c r="S848" s="216"/>
      <c r="T848" s="63"/>
    </row>
    <row r="849" spans="2:20" ht="6.95" customHeight="1" x14ac:dyDescent="0.25">
      <c r="B849" s="59"/>
      <c r="C849" s="62"/>
      <c r="D849" s="62"/>
      <c r="E849" s="62"/>
      <c r="F849" s="62"/>
      <c r="G849" s="62"/>
      <c r="H849" s="62"/>
      <c r="I849" s="62"/>
      <c r="J849" s="60"/>
      <c r="L849" s="59"/>
      <c r="M849" s="62"/>
      <c r="N849" s="62"/>
      <c r="O849" s="62"/>
      <c r="P849" s="62"/>
      <c r="Q849" s="62"/>
      <c r="R849" s="62"/>
      <c r="S849" s="62"/>
      <c r="T849" s="60"/>
    </row>
    <row r="850" spans="2:20" ht="18" customHeight="1" x14ac:dyDescent="0.25">
      <c r="B850" s="61"/>
      <c r="C850" s="214" t="s">
        <v>713</v>
      </c>
      <c r="D850" s="215"/>
      <c r="E850" s="216"/>
      <c r="F850" s="62"/>
      <c r="G850" s="220" t="s">
        <v>1293</v>
      </c>
      <c r="H850" s="220"/>
      <c r="I850" s="220"/>
      <c r="J850" s="63"/>
      <c r="L850" s="61"/>
      <c r="M850" s="214" t="s">
        <v>713</v>
      </c>
      <c r="N850" s="215"/>
      <c r="O850" s="216"/>
      <c r="P850" s="62"/>
      <c r="Q850" s="220" t="s">
        <v>1293</v>
      </c>
      <c r="R850" s="220"/>
      <c r="S850" s="220"/>
      <c r="T850" s="63"/>
    </row>
    <row r="851" spans="2:20" ht="6.95" customHeight="1" x14ac:dyDescent="0.25">
      <c r="B851" s="59"/>
      <c r="C851" s="128"/>
      <c r="D851" s="128"/>
      <c r="E851" s="128"/>
      <c r="F851" s="62"/>
      <c r="G851" s="128"/>
      <c r="H851" s="128"/>
      <c r="I851" s="128"/>
      <c r="J851" s="63"/>
      <c r="L851" s="59"/>
      <c r="M851" s="128"/>
      <c r="N851" s="128"/>
      <c r="O851" s="128"/>
      <c r="P851" s="62"/>
      <c r="Q851" s="128"/>
      <c r="R851" s="128"/>
      <c r="S851" s="128"/>
      <c r="T851" s="63"/>
    </row>
    <row r="852" spans="2:20" ht="18" customHeight="1" x14ac:dyDescent="0.25">
      <c r="B852" s="59"/>
      <c r="C852" s="220" t="s">
        <v>715</v>
      </c>
      <c r="D852" s="220"/>
      <c r="E852" s="220"/>
      <c r="F852" s="62"/>
      <c r="G852" s="220" t="s">
        <v>1288</v>
      </c>
      <c r="H852" s="220"/>
      <c r="I852" s="220"/>
      <c r="J852" s="63"/>
      <c r="L852" s="59"/>
      <c r="M852" s="220" t="s">
        <v>715</v>
      </c>
      <c r="N852" s="220"/>
      <c r="O852" s="220"/>
      <c r="P852" s="62"/>
      <c r="Q852" s="220" t="s">
        <v>1288</v>
      </c>
      <c r="R852" s="220"/>
      <c r="S852" s="220"/>
      <c r="T852" s="63"/>
    </row>
    <row r="853" spans="2:20" ht="6.95" customHeight="1" thickBot="1" x14ac:dyDescent="0.3">
      <c r="B853" s="64"/>
      <c r="C853" s="65"/>
      <c r="D853" s="65"/>
      <c r="E853" s="65"/>
      <c r="F853" s="65"/>
      <c r="G853" s="65"/>
      <c r="H853" s="65"/>
      <c r="I853" s="65"/>
      <c r="J853" s="66"/>
      <c r="L853" s="64"/>
      <c r="M853" s="65"/>
      <c r="N853" s="65"/>
      <c r="O853" s="65"/>
      <c r="P853" s="65"/>
      <c r="Q853" s="65"/>
      <c r="R853" s="65"/>
      <c r="S853" s="65"/>
      <c r="T853" s="66"/>
    </row>
    <row r="854" spans="2:20" ht="32.1" customHeight="1" thickTop="1" x14ac:dyDescent="0.25">
      <c r="B854" s="57"/>
      <c r="C854" s="58"/>
      <c r="D854" s="217" t="s">
        <v>697</v>
      </c>
      <c r="E854" s="218"/>
      <c r="F854" s="218"/>
      <c r="G854" s="218"/>
      <c r="H854" s="218"/>
      <c r="I854" s="218"/>
      <c r="J854" s="219"/>
      <c r="L854" s="57"/>
      <c r="M854" s="58"/>
      <c r="N854" s="217" t="s">
        <v>697</v>
      </c>
      <c r="O854" s="218"/>
      <c r="P854" s="218"/>
      <c r="Q854" s="218"/>
      <c r="R854" s="218"/>
      <c r="S854" s="218"/>
      <c r="T854" s="219"/>
    </row>
    <row r="855" spans="2:20" ht="6.95" customHeight="1" x14ac:dyDescent="0.25">
      <c r="B855" s="59"/>
      <c r="J855" s="60"/>
      <c r="L855" s="59"/>
      <c r="T855" s="60"/>
    </row>
    <row r="856" spans="2:20" ht="18" customHeight="1" x14ac:dyDescent="0.25">
      <c r="B856" s="61"/>
      <c r="C856" s="214" t="s">
        <v>698</v>
      </c>
      <c r="D856" s="215"/>
      <c r="E856" s="216"/>
      <c r="F856" s="62"/>
      <c r="G856" s="214" t="s">
        <v>1424</v>
      </c>
      <c r="H856" s="215"/>
      <c r="I856" s="216"/>
      <c r="J856" s="63"/>
      <c r="L856" s="61"/>
      <c r="M856" s="214" t="s">
        <v>698</v>
      </c>
      <c r="N856" s="215"/>
      <c r="O856" s="216"/>
      <c r="P856" s="62"/>
      <c r="Q856" s="214" t="s">
        <v>1425</v>
      </c>
      <c r="R856" s="215"/>
      <c r="S856" s="216"/>
      <c r="T856" s="63"/>
    </row>
    <row r="857" spans="2:20" ht="6.95" customHeight="1" x14ac:dyDescent="0.25">
      <c r="B857" s="59"/>
      <c r="C857" s="62"/>
      <c r="D857" s="62"/>
      <c r="E857" s="62"/>
      <c r="F857" s="62"/>
      <c r="G857" s="62"/>
      <c r="H857" s="62"/>
      <c r="I857" s="62"/>
      <c r="J857" s="60"/>
      <c r="L857" s="59"/>
      <c r="M857" s="62"/>
      <c r="N857" s="62"/>
      <c r="O857" s="62"/>
      <c r="P857" s="62"/>
      <c r="Q857" s="62"/>
      <c r="R857" s="62"/>
      <c r="S857" s="62"/>
      <c r="T857" s="60"/>
    </row>
    <row r="858" spans="2:20" ht="18" customHeight="1" x14ac:dyDescent="0.25">
      <c r="B858" s="61"/>
      <c r="C858" s="214" t="s">
        <v>699</v>
      </c>
      <c r="D858" s="215"/>
      <c r="E858" s="216"/>
      <c r="F858" s="62"/>
      <c r="G858" s="214" t="s">
        <v>1639</v>
      </c>
      <c r="H858" s="215"/>
      <c r="I858" s="216"/>
      <c r="J858" s="63"/>
      <c r="L858" s="61"/>
      <c r="M858" s="214" t="s">
        <v>699</v>
      </c>
      <c r="N858" s="215"/>
      <c r="O858" s="216"/>
      <c r="P858" s="62"/>
      <c r="Q858" s="214" t="s">
        <v>1639</v>
      </c>
      <c r="R858" s="215"/>
      <c r="S858" s="216"/>
      <c r="T858" s="63"/>
    </row>
    <row r="859" spans="2:20" ht="6.95" customHeight="1" x14ac:dyDescent="0.25">
      <c r="B859" s="59"/>
      <c r="C859" s="62"/>
      <c r="D859" s="62"/>
      <c r="E859" s="62"/>
      <c r="F859" s="62"/>
      <c r="G859" s="62"/>
      <c r="H859" s="62"/>
      <c r="I859" s="62"/>
      <c r="J859" s="60"/>
      <c r="L859" s="59"/>
      <c r="M859" s="62"/>
      <c r="N859" s="62"/>
      <c r="O859" s="62"/>
      <c r="P859" s="62"/>
      <c r="Q859" s="62"/>
      <c r="R859" s="62"/>
      <c r="S859" s="62"/>
      <c r="T859" s="60"/>
    </row>
    <row r="860" spans="2:20" ht="18" customHeight="1" x14ac:dyDescent="0.25">
      <c r="B860" s="61"/>
      <c r="C860" s="214" t="s">
        <v>701</v>
      </c>
      <c r="D860" s="215"/>
      <c r="E860" s="216"/>
      <c r="F860" s="62"/>
      <c r="G860" s="214" t="s">
        <v>986</v>
      </c>
      <c r="H860" s="215"/>
      <c r="I860" s="216"/>
      <c r="J860" s="63"/>
      <c r="L860" s="61"/>
      <c r="M860" s="214" t="s">
        <v>701</v>
      </c>
      <c r="N860" s="215"/>
      <c r="O860" s="216"/>
      <c r="P860" s="62"/>
      <c r="Q860" s="214" t="s">
        <v>986</v>
      </c>
      <c r="R860" s="215"/>
      <c r="S860" s="216"/>
      <c r="T860" s="63"/>
    </row>
    <row r="861" spans="2:20" ht="6.95" customHeight="1" x14ac:dyDescent="0.25">
      <c r="B861" s="59"/>
      <c r="C861" s="62"/>
      <c r="D861" s="62"/>
      <c r="E861" s="62"/>
      <c r="F861" s="62"/>
      <c r="G861" s="62"/>
      <c r="H861" s="62"/>
      <c r="I861" s="62"/>
      <c r="J861" s="60"/>
      <c r="L861" s="59"/>
      <c r="M861" s="62"/>
      <c r="N861" s="62"/>
      <c r="O861" s="62"/>
      <c r="P861" s="62"/>
      <c r="Q861" s="62"/>
      <c r="R861" s="62"/>
      <c r="S861" s="62"/>
      <c r="T861" s="60"/>
    </row>
    <row r="862" spans="2:20" ht="18" customHeight="1" x14ac:dyDescent="0.25">
      <c r="B862" s="61"/>
      <c r="C862" s="214" t="s">
        <v>703</v>
      </c>
      <c r="D862" s="215"/>
      <c r="E862" s="216"/>
      <c r="F862" s="62"/>
      <c r="G862" s="214" t="s">
        <v>109</v>
      </c>
      <c r="H862" s="215"/>
      <c r="I862" s="216"/>
      <c r="J862" s="63"/>
      <c r="L862" s="61"/>
      <c r="M862" s="214" t="s">
        <v>703</v>
      </c>
      <c r="N862" s="215"/>
      <c r="O862" s="216"/>
      <c r="P862" s="62"/>
      <c r="Q862" s="214" t="s">
        <v>109</v>
      </c>
      <c r="R862" s="215"/>
      <c r="S862" s="216"/>
      <c r="T862" s="63"/>
    </row>
    <row r="863" spans="2:20" ht="6.6" customHeight="1" x14ac:dyDescent="0.25">
      <c r="B863" s="59"/>
      <c r="C863" s="62"/>
      <c r="D863" s="62"/>
      <c r="E863" s="62"/>
      <c r="F863" s="62"/>
      <c r="G863" s="62"/>
      <c r="H863" s="62"/>
      <c r="I863" s="62"/>
      <c r="J863" s="60"/>
      <c r="L863" s="59"/>
      <c r="M863" s="62"/>
      <c r="N863" s="62"/>
      <c r="O863" s="62"/>
      <c r="P863" s="62"/>
      <c r="Q863" s="62"/>
      <c r="R863" s="62"/>
      <c r="S863" s="62"/>
      <c r="T863" s="60"/>
    </row>
    <row r="864" spans="2:20" ht="18" customHeight="1" x14ac:dyDescent="0.25">
      <c r="B864" s="61"/>
      <c r="C864" s="214" t="s">
        <v>705</v>
      </c>
      <c r="D864" s="215"/>
      <c r="E864" s="216"/>
      <c r="F864" s="62"/>
      <c r="G864" s="214" t="s">
        <v>109</v>
      </c>
      <c r="H864" s="215"/>
      <c r="I864" s="216"/>
      <c r="J864" s="63"/>
      <c r="L864" s="61"/>
      <c r="M864" s="214" t="s">
        <v>705</v>
      </c>
      <c r="N864" s="215"/>
      <c r="O864" s="216"/>
      <c r="P864" s="62"/>
      <c r="Q864" s="214" t="s">
        <v>109</v>
      </c>
      <c r="R864" s="215"/>
      <c r="S864" s="216"/>
      <c r="T864" s="63"/>
    </row>
    <row r="865" spans="2:20" ht="6.95" customHeight="1" x14ac:dyDescent="0.25">
      <c r="B865" s="59"/>
      <c r="C865" s="62"/>
      <c r="D865" s="62"/>
      <c r="E865" s="62"/>
      <c r="F865" s="62"/>
      <c r="G865" s="62"/>
      <c r="H865" s="62"/>
      <c r="I865" s="62"/>
      <c r="J865" s="60"/>
      <c r="L865" s="59"/>
      <c r="M865" s="62"/>
      <c r="N865" s="62"/>
      <c r="O865" s="62"/>
      <c r="P865" s="62"/>
      <c r="Q865" s="62"/>
      <c r="R865" s="62"/>
      <c r="S865" s="62"/>
      <c r="T865" s="60"/>
    </row>
    <row r="866" spans="2:20" ht="18" customHeight="1" x14ac:dyDescent="0.25">
      <c r="B866" s="61"/>
      <c r="C866" s="214" t="s">
        <v>708</v>
      </c>
      <c r="D866" s="215"/>
      <c r="E866" s="216"/>
      <c r="F866" s="62"/>
      <c r="G866" s="214" t="s">
        <v>109</v>
      </c>
      <c r="H866" s="215"/>
      <c r="I866" s="216"/>
      <c r="J866" s="63"/>
      <c r="L866" s="61"/>
      <c r="M866" s="214" t="s">
        <v>708</v>
      </c>
      <c r="N866" s="215"/>
      <c r="O866" s="216"/>
      <c r="P866" s="62"/>
      <c r="Q866" s="214" t="s">
        <v>109</v>
      </c>
      <c r="R866" s="215"/>
      <c r="S866" s="216"/>
      <c r="T866" s="63"/>
    </row>
    <row r="867" spans="2:20" ht="6.95" customHeight="1" x14ac:dyDescent="0.25">
      <c r="B867" s="59"/>
      <c r="C867" s="62"/>
      <c r="D867" s="62"/>
      <c r="E867" s="62"/>
      <c r="F867" s="62"/>
      <c r="G867" s="62"/>
      <c r="H867" s="62"/>
      <c r="I867" s="62"/>
      <c r="J867" s="60"/>
      <c r="L867" s="59"/>
      <c r="M867" s="62"/>
      <c r="N867" s="62"/>
      <c r="O867" s="62"/>
      <c r="P867" s="62"/>
      <c r="Q867" s="62"/>
      <c r="R867" s="62"/>
      <c r="S867" s="62"/>
      <c r="T867" s="60"/>
    </row>
    <row r="868" spans="2:20" ht="18" customHeight="1" x14ac:dyDescent="0.25">
      <c r="B868" s="61"/>
      <c r="C868" s="214" t="s">
        <v>711</v>
      </c>
      <c r="D868" s="215"/>
      <c r="E868" s="216"/>
      <c r="F868" s="62"/>
      <c r="G868" s="214" t="s">
        <v>712</v>
      </c>
      <c r="H868" s="215"/>
      <c r="I868" s="216"/>
      <c r="J868" s="63"/>
      <c r="L868" s="61"/>
      <c r="M868" s="214" t="s">
        <v>711</v>
      </c>
      <c r="N868" s="215"/>
      <c r="O868" s="216"/>
      <c r="P868" s="62"/>
      <c r="Q868" s="214" t="s">
        <v>712</v>
      </c>
      <c r="R868" s="215"/>
      <c r="S868" s="216"/>
      <c r="T868" s="63"/>
    </row>
    <row r="869" spans="2:20" ht="6.95" customHeight="1" x14ac:dyDescent="0.25">
      <c r="B869" s="59"/>
      <c r="C869" s="62"/>
      <c r="D869" s="62"/>
      <c r="E869" s="62"/>
      <c r="F869" s="62"/>
      <c r="G869" s="62"/>
      <c r="H869" s="62"/>
      <c r="I869" s="62"/>
      <c r="J869" s="60"/>
      <c r="L869" s="59"/>
      <c r="M869" s="62"/>
      <c r="N869" s="62"/>
      <c r="O869" s="62"/>
      <c r="P869" s="62"/>
      <c r="Q869" s="62"/>
      <c r="R869" s="62"/>
      <c r="S869" s="62"/>
      <c r="T869" s="60"/>
    </row>
    <row r="870" spans="2:20" ht="18" customHeight="1" x14ac:dyDescent="0.25">
      <c r="B870" s="61"/>
      <c r="C870" s="214" t="s">
        <v>1273</v>
      </c>
      <c r="D870" s="215"/>
      <c r="E870" s="216"/>
      <c r="F870" s="62"/>
      <c r="G870" s="214" t="s">
        <v>1426</v>
      </c>
      <c r="H870" s="215"/>
      <c r="I870" s="216"/>
      <c r="J870" s="63"/>
      <c r="L870" s="61"/>
      <c r="M870" s="214" t="s">
        <v>1273</v>
      </c>
      <c r="N870" s="215"/>
      <c r="O870" s="216"/>
      <c r="P870" s="62"/>
      <c r="Q870" s="214" t="s">
        <v>1427</v>
      </c>
      <c r="R870" s="215"/>
      <c r="S870" s="216"/>
      <c r="T870" s="63"/>
    </row>
    <row r="871" spans="2:20" ht="6.95" customHeight="1" x14ac:dyDescent="0.25">
      <c r="B871" s="59"/>
      <c r="C871" s="62"/>
      <c r="D871" s="62"/>
      <c r="E871" s="62"/>
      <c r="F871" s="62"/>
      <c r="G871" s="62"/>
      <c r="H871" s="62"/>
      <c r="I871" s="62"/>
      <c r="J871" s="60"/>
      <c r="L871" s="59"/>
      <c r="M871" s="62"/>
      <c r="N871" s="62"/>
      <c r="O871" s="62"/>
      <c r="P871" s="62"/>
      <c r="Q871" s="62"/>
      <c r="R871" s="62"/>
      <c r="S871" s="62"/>
      <c r="T871" s="60"/>
    </row>
    <row r="872" spans="2:20" ht="18" customHeight="1" x14ac:dyDescent="0.25">
      <c r="B872" s="61"/>
      <c r="C872" s="214" t="s">
        <v>713</v>
      </c>
      <c r="D872" s="215"/>
      <c r="E872" s="216"/>
      <c r="F872" s="62"/>
      <c r="G872" s="220" t="s">
        <v>1293</v>
      </c>
      <c r="H872" s="220"/>
      <c r="I872" s="220"/>
      <c r="J872" s="63"/>
      <c r="L872" s="61"/>
      <c r="M872" s="214" t="s">
        <v>713</v>
      </c>
      <c r="N872" s="215"/>
      <c r="O872" s="216"/>
      <c r="P872" s="62"/>
      <c r="Q872" s="220" t="s">
        <v>1293</v>
      </c>
      <c r="R872" s="220"/>
      <c r="S872" s="220"/>
      <c r="T872" s="63"/>
    </row>
    <row r="873" spans="2:20" ht="6.95" customHeight="1" x14ac:dyDescent="0.25">
      <c r="B873" s="59"/>
      <c r="C873" s="128"/>
      <c r="D873" s="128"/>
      <c r="E873" s="128"/>
      <c r="F873" s="62"/>
      <c r="G873" s="128"/>
      <c r="H873" s="128"/>
      <c r="I873" s="128"/>
      <c r="J873" s="63"/>
      <c r="L873" s="59"/>
      <c r="M873" s="128"/>
      <c r="N873" s="128"/>
      <c r="O873" s="128"/>
      <c r="P873" s="62"/>
      <c r="Q873" s="128"/>
      <c r="R873" s="128"/>
      <c r="S873" s="128"/>
      <c r="T873" s="63"/>
    </row>
    <row r="874" spans="2:20" ht="18" customHeight="1" x14ac:dyDescent="0.25">
      <c r="B874" s="59"/>
      <c r="C874" s="220" t="s">
        <v>715</v>
      </c>
      <c r="D874" s="220"/>
      <c r="E874" s="220"/>
      <c r="F874" s="62"/>
      <c r="G874" s="220" t="s">
        <v>1288</v>
      </c>
      <c r="H874" s="220"/>
      <c r="I874" s="220"/>
      <c r="J874" s="63"/>
      <c r="L874" s="59"/>
      <c r="M874" s="220" t="s">
        <v>715</v>
      </c>
      <c r="N874" s="220"/>
      <c r="O874" s="220"/>
      <c r="P874" s="62"/>
      <c r="Q874" s="220" t="s">
        <v>1288</v>
      </c>
      <c r="R874" s="220"/>
      <c r="S874" s="220"/>
      <c r="T874" s="63"/>
    </row>
    <row r="875" spans="2:20" ht="6.95" customHeight="1" thickBot="1" x14ac:dyDescent="0.3">
      <c r="B875" s="64"/>
      <c r="C875" s="65"/>
      <c r="D875" s="65"/>
      <c r="E875" s="65"/>
      <c r="F875" s="65"/>
      <c r="G875" s="65"/>
      <c r="H875" s="65"/>
      <c r="I875" s="65"/>
      <c r="J875" s="66"/>
      <c r="L875" s="64"/>
      <c r="M875" s="65"/>
      <c r="N875" s="65"/>
      <c r="O875" s="65"/>
      <c r="P875" s="65"/>
      <c r="Q875" s="65"/>
      <c r="R875" s="65"/>
      <c r="S875" s="65"/>
      <c r="T875" s="66"/>
    </row>
    <row r="876" spans="2:20" ht="32.1" customHeight="1" thickTop="1" x14ac:dyDescent="0.25">
      <c r="B876" s="57"/>
      <c r="C876" s="58"/>
      <c r="D876" s="217" t="s">
        <v>697</v>
      </c>
      <c r="E876" s="218"/>
      <c r="F876" s="218"/>
      <c r="G876" s="218"/>
      <c r="H876" s="218"/>
      <c r="I876" s="218"/>
      <c r="J876" s="219"/>
      <c r="L876" s="57"/>
      <c r="M876" s="58"/>
      <c r="N876" s="217" t="s">
        <v>697</v>
      </c>
      <c r="O876" s="218"/>
      <c r="P876" s="218"/>
      <c r="Q876" s="218"/>
      <c r="R876" s="218"/>
      <c r="S876" s="218"/>
      <c r="T876" s="219"/>
    </row>
    <row r="877" spans="2:20" ht="6.95" customHeight="1" x14ac:dyDescent="0.25">
      <c r="B877" s="59"/>
      <c r="J877" s="60"/>
      <c r="L877" s="59"/>
      <c r="T877" s="60"/>
    </row>
    <row r="878" spans="2:20" ht="18" customHeight="1" x14ac:dyDescent="0.25">
      <c r="B878" s="61"/>
      <c r="C878" s="214" t="s">
        <v>698</v>
      </c>
      <c r="D878" s="215"/>
      <c r="E878" s="216"/>
      <c r="F878" s="62"/>
      <c r="G878" s="214" t="s">
        <v>1428</v>
      </c>
      <c r="H878" s="215"/>
      <c r="I878" s="216"/>
      <c r="J878" s="63"/>
      <c r="L878" s="61"/>
      <c r="M878" s="214" t="s">
        <v>698</v>
      </c>
      <c r="N878" s="215"/>
      <c r="O878" s="216"/>
      <c r="P878" s="62"/>
      <c r="Q878" s="214" t="s">
        <v>1429</v>
      </c>
      <c r="R878" s="215"/>
      <c r="S878" s="216"/>
      <c r="T878" s="63"/>
    </row>
    <row r="879" spans="2:20" ht="6.95" customHeight="1" x14ac:dyDescent="0.25">
      <c r="B879" s="59"/>
      <c r="C879" s="62"/>
      <c r="D879" s="62"/>
      <c r="E879" s="62"/>
      <c r="F879" s="62"/>
      <c r="G879" s="62"/>
      <c r="H879" s="62"/>
      <c r="I879" s="62"/>
      <c r="J879" s="60"/>
      <c r="L879" s="59"/>
      <c r="M879" s="62"/>
      <c r="N879" s="62"/>
      <c r="O879" s="62"/>
      <c r="P879" s="62"/>
      <c r="Q879" s="62"/>
      <c r="R879" s="62"/>
      <c r="S879" s="62"/>
      <c r="T879" s="60"/>
    </row>
    <row r="880" spans="2:20" ht="18" customHeight="1" x14ac:dyDescent="0.25">
      <c r="B880" s="61"/>
      <c r="C880" s="214" t="s">
        <v>699</v>
      </c>
      <c r="D880" s="215"/>
      <c r="E880" s="216"/>
      <c r="F880" s="62"/>
      <c r="G880" s="214" t="s">
        <v>1639</v>
      </c>
      <c r="H880" s="215"/>
      <c r="I880" s="216"/>
      <c r="J880" s="63"/>
      <c r="L880" s="61"/>
      <c r="M880" s="214" t="s">
        <v>699</v>
      </c>
      <c r="N880" s="215"/>
      <c r="O880" s="216"/>
      <c r="P880" s="62"/>
      <c r="Q880" s="214" t="s">
        <v>1639</v>
      </c>
      <c r="R880" s="215"/>
      <c r="S880" s="216"/>
      <c r="T880" s="63"/>
    </row>
    <row r="881" spans="2:20" ht="6.95" customHeight="1" x14ac:dyDescent="0.25">
      <c r="B881" s="59"/>
      <c r="C881" s="62"/>
      <c r="D881" s="62"/>
      <c r="E881" s="62"/>
      <c r="F881" s="62"/>
      <c r="G881" s="62"/>
      <c r="H881" s="62"/>
      <c r="I881" s="62"/>
      <c r="J881" s="60"/>
      <c r="L881" s="59"/>
      <c r="M881" s="62"/>
      <c r="N881" s="62"/>
      <c r="O881" s="62"/>
      <c r="P881" s="62"/>
      <c r="Q881" s="62"/>
      <c r="R881" s="62"/>
      <c r="S881" s="62"/>
      <c r="T881" s="60"/>
    </row>
    <row r="882" spans="2:20" ht="18" customHeight="1" x14ac:dyDescent="0.25">
      <c r="B882" s="61"/>
      <c r="C882" s="214" t="s">
        <v>701</v>
      </c>
      <c r="D882" s="215"/>
      <c r="E882" s="216"/>
      <c r="F882" s="62"/>
      <c r="G882" s="214" t="s">
        <v>986</v>
      </c>
      <c r="H882" s="215"/>
      <c r="I882" s="216"/>
      <c r="J882" s="63"/>
      <c r="L882" s="61"/>
      <c r="M882" s="214" t="s">
        <v>701</v>
      </c>
      <c r="N882" s="215"/>
      <c r="O882" s="216"/>
      <c r="P882" s="62"/>
      <c r="Q882" s="214" t="s">
        <v>986</v>
      </c>
      <c r="R882" s="215"/>
      <c r="S882" s="216"/>
      <c r="T882" s="63"/>
    </row>
    <row r="883" spans="2:20" ht="6.95" customHeight="1" x14ac:dyDescent="0.25">
      <c r="B883" s="59"/>
      <c r="C883" s="62"/>
      <c r="D883" s="62"/>
      <c r="E883" s="62"/>
      <c r="F883" s="62"/>
      <c r="G883" s="62"/>
      <c r="H883" s="62"/>
      <c r="I883" s="62"/>
      <c r="J883" s="60"/>
      <c r="L883" s="59"/>
      <c r="M883" s="62"/>
      <c r="N883" s="62"/>
      <c r="O883" s="62"/>
      <c r="P883" s="62"/>
      <c r="Q883" s="62"/>
      <c r="R883" s="62"/>
      <c r="S883" s="62"/>
      <c r="T883" s="60"/>
    </row>
    <row r="884" spans="2:20" ht="18" customHeight="1" x14ac:dyDescent="0.25">
      <c r="B884" s="61"/>
      <c r="C884" s="214" t="s">
        <v>703</v>
      </c>
      <c r="D884" s="215"/>
      <c r="E884" s="216"/>
      <c r="F884" s="62"/>
      <c r="G884" s="214" t="s">
        <v>109</v>
      </c>
      <c r="H884" s="215"/>
      <c r="I884" s="216"/>
      <c r="J884" s="63"/>
      <c r="L884" s="61"/>
      <c r="M884" s="214" t="s">
        <v>703</v>
      </c>
      <c r="N884" s="215"/>
      <c r="O884" s="216"/>
      <c r="P884" s="62"/>
      <c r="Q884" s="214" t="s">
        <v>109</v>
      </c>
      <c r="R884" s="215"/>
      <c r="S884" s="216"/>
      <c r="T884" s="63"/>
    </row>
    <row r="885" spans="2:20" ht="6.6" customHeight="1" x14ac:dyDescent="0.25">
      <c r="B885" s="59"/>
      <c r="C885" s="62"/>
      <c r="D885" s="62"/>
      <c r="E885" s="62"/>
      <c r="F885" s="62"/>
      <c r="G885" s="62"/>
      <c r="H885" s="62"/>
      <c r="I885" s="62"/>
      <c r="J885" s="60"/>
      <c r="L885" s="59"/>
      <c r="M885" s="62"/>
      <c r="N885" s="62"/>
      <c r="O885" s="62"/>
      <c r="P885" s="62"/>
      <c r="Q885" s="62"/>
      <c r="R885" s="62"/>
      <c r="S885" s="62"/>
      <c r="T885" s="60"/>
    </row>
    <row r="886" spans="2:20" ht="18" customHeight="1" x14ac:dyDescent="0.25">
      <c r="B886" s="61"/>
      <c r="C886" s="214" t="s">
        <v>705</v>
      </c>
      <c r="D886" s="215"/>
      <c r="E886" s="216"/>
      <c r="F886" s="62"/>
      <c r="G886" s="214" t="s">
        <v>109</v>
      </c>
      <c r="H886" s="215"/>
      <c r="I886" s="216"/>
      <c r="J886" s="63"/>
      <c r="L886" s="61"/>
      <c r="M886" s="214" t="s">
        <v>705</v>
      </c>
      <c r="N886" s="215"/>
      <c r="O886" s="216"/>
      <c r="P886" s="62"/>
      <c r="Q886" s="214" t="s">
        <v>109</v>
      </c>
      <c r="R886" s="215"/>
      <c r="S886" s="216"/>
      <c r="T886" s="63"/>
    </row>
    <row r="887" spans="2:20" ht="6.95" customHeight="1" x14ac:dyDescent="0.25">
      <c r="B887" s="59"/>
      <c r="C887" s="62"/>
      <c r="D887" s="62"/>
      <c r="E887" s="62"/>
      <c r="F887" s="62"/>
      <c r="G887" s="62"/>
      <c r="H887" s="62"/>
      <c r="I887" s="62"/>
      <c r="J887" s="60"/>
      <c r="L887" s="59"/>
      <c r="M887" s="62"/>
      <c r="N887" s="62"/>
      <c r="O887" s="62"/>
      <c r="P887" s="62"/>
      <c r="Q887" s="62"/>
      <c r="R887" s="62"/>
      <c r="S887" s="62"/>
      <c r="T887" s="60"/>
    </row>
    <row r="888" spans="2:20" ht="18" customHeight="1" x14ac:dyDescent="0.25">
      <c r="B888" s="61"/>
      <c r="C888" s="214" t="s">
        <v>708</v>
      </c>
      <c r="D888" s="215"/>
      <c r="E888" s="216"/>
      <c r="F888" s="62"/>
      <c r="G888" s="214" t="s">
        <v>109</v>
      </c>
      <c r="H888" s="215"/>
      <c r="I888" s="216"/>
      <c r="J888" s="63"/>
      <c r="L888" s="61"/>
      <c r="M888" s="214" t="s">
        <v>708</v>
      </c>
      <c r="N888" s="215"/>
      <c r="O888" s="216"/>
      <c r="P888" s="62"/>
      <c r="Q888" s="214" t="s">
        <v>109</v>
      </c>
      <c r="R888" s="215"/>
      <c r="S888" s="216"/>
      <c r="T888" s="63"/>
    </row>
    <row r="889" spans="2:20" ht="6.95" customHeight="1" x14ac:dyDescent="0.25">
      <c r="B889" s="59"/>
      <c r="C889" s="62"/>
      <c r="D889" s="62"/>
      <c r="E889" s="62"/>
      <c r="F889" s="62"/>
      <c r="G889" s="62"/>
      <c r="H889" s="62"/>
      <c r="I889" s="62"/>
      <c r="J889" s="60"/>
      <c r="L889" s="59"/>
      <c r="M889" s="62"/>
      <c r="N889" s="62"/>
      <c r="O889" s="62"/>
      <c r="P889" s="62"/>
      <c r="Q889" s="62"/>
      <c r="R889" s="62"/>
      <c r="S889" s="62"/>
      <c r="T889" s="60"/>
    </row>
    <row r="890" spans="2:20" ht="18" customHeight="1" x14ac:dyDescent="0.25">
      <c r="B890" s="61"/>
      <c r="C890" s="214" t="s">
        <v>711</v>
      </c>
      <c r="D890" s="215"/>
      <c r="E890" s="216"/>
      <c r="F890" s="62"/>
      <c r="G890" s="214" t="s">
        <v>712</v>
      </c>
      <c r="H890" s="215"/>
      <c r="I890" s="216"/>
      <c r="J890" s="63"/>
      <c r="L890" s="61"/>
      <c r="M890" s="214" t="s">
        <v>711</v>
      </c>
      <c r="N890" s="215"/>
      <c r="O890" s="216"/>
      <c r="P890" s="62"/>
      <c r="Q890" s="214" t="s">
        <v>712</v>
      </c>
      <c r="R890" s="215"/>
      <c r="S890" s="216"/>
      <c r="T890" s="63"/>
    </row>
    <row r="891" spans="2:20" ht="6.95" customHeight="1" x14ac:dyDescent="0.25">
      <c r="B891" s="59"/>
      <c r="C891" s="62"/>
      <c r="D891" s="62"/>
      <c r="E891" s="62"/>
      <c r="F891" s="62"/>
      <c r="G891" s="62"/>
      <c r="H891" s="62"/>
      <c r="I891" s="62"/>
      <c r="J891" s="60"/>
      <c r="L891" s="59"/>
      <c r="M891" s="62"/>
      <c r="N891" s="62"/>
      <c r="O891" s="62"/>
      <c r="P891" s="62"/>
      <c r="Q891" s="62"/>
      <c r="R891" s="62"/>
      <c r="S891" s="62"/>
      <c r="T891" s="60"/>
    </row>
    <row r="892" spans="2:20" ht="18" customHeight="1" x14ac:dyDescent="0.25">
      <c r="B892" s="61"/>
      <c r="C892" s="214" t="s">
        <v>1273</v>
      </c>
      <c r="D892" s="215"/>
      <c r="E892" s="216"/>
      <c r="F892" s="62"/>
      <c r="G892" s="214" t="s">
        <v>1430</v>
      </c>
      <c r="H892" s="215"/>
      <c r="I892" s="216"/>
      <c r="J892" s="63"/>
      <c r="L892" s="61"/>
      <c r="M892" s="214" t="s">
        <v>1273</v>
      </c>
      <c r="N892" s="215"/>
      <c r="O892" s="216"/>
      <c r="P892" s="62"/>
      <c r="Q892" s="214" t="s">
        <v>1431</v>
      </c>
      <c r="R892" s="215"/>
      <c r="S892" s="216"/>
      <c r="T892" s="63"/>
    </row>
    <row r="893" spans="2:20" ht="6.95" customHeight="1" x14ac:dyDescent="0.25">
      <c r="B893" s="59"/>
      <c r="C893" s="62"/>
      <c r="D893" s="62"/>
      <c r="E893" s="62"/>
      <c r="F893" s="62"/>
      <c r="G893" s="62"/>
      <c r="H893" s="62"/>
      <c r="I893" s="62"/>
      <c r="J893" s="60"/>
      <c r="L893" s="59"/>
      <c r="M893" s="62"/>
      <c r="N893" s="62"/>
      <c r="O893" s="62"/>
      <c r="P893" s="62"/>
      <c r="Q893" s="62"/>
      <c r="R893" s="62"/>
      <c r="S893" s="62"/>
      <c r="T893" s="60"/>
    </row>
    <row r="894" spans="2:20" ht="18" customHeight="1" x14ac:dyDescent="0.25">
      <c r="B894" s="61"/>
      <c r="C894" s="214" t="s">
        <v>713</v>
      </c>
      <c r="D894" s="215"/>
      <c r="E894" s="216"/>
      <c r="F894" s="62"/>
      <c r="G894" s="220" t="s">
        <v>1293</v>
      </c>
      <c r="H894" s="220"/>
      <c r="I894" s="220"/>
      <c r="J894" s="63"/>
      <c r="L894" s="61"/>
      <c r="M894" s="214" t="s">
        <v>713</v>
      </c>
      <c r="N894" s="215"/>
      <c r="O894" s="216"/>
      <c r="P894" s="62"/>
      <c r="Q894" s="220" t="s">
        <v>1293</v>
      </c>
      <c r="R894" s="220"/>
      <c r="S894" s="220"/>
      <c r="T894" s="63"/>
    </row>
    <row r="895" spans="2:20" ht="6.95" customHeight="1" x14ac:dyDescent="0.25">
      <c r="B895" s="59"/>
      <c r="C895" s="128"/>
      <c r="D895" s="128"/>
      <c r="E895" s="128"/>
      <c r="F895" s="62"/>
      <c r="G895" s="128"/>
      <c r="H895" s="128"/>
      <c r="I895" s="128"/>
      <c r="J895" s="63"/>
      <c r="L895" s="59"/>
      <c r="M895" s="128"/>
      <c r="N895" s="128"/>
      <c r="O895" s="128"/>
      <c r="P895" s="62"/>
      <c r="Q895" s="128"/>
      <c r="R895" s="128"/>
      <c r="S895" s="128"/>
      <c r="T895" s="63"/>
    </row>
    <row r="896" spans="2:20" ht="18" customHeight="1" x14ac:dyDescent="0.25">
      <c r="B896" s="59"/>
      <c r="C896" s="220" t="s">
        <v>715</v>
      </c>
      <c r="D896" s="220"/>
      <c r="E896" s="220"/>
      <c r="F896" s="62"/>
      <c r="G896" s="220" t="s">
        <v>1288</v>
      </c>
      <c r="H896" s="220"/>
      <c r="I896" s="220"/>
      <c r="J896" s="63"/>
      <c r="L896" s="59"/>
      <c r="M896" s="220" t="s">
        <v>715</v>
      </c>
      <c r="N896" s="220"/>
      <c r="O896" s="220"/>
      <c r="P896" s="62"/>
      <c r="Q896" s="220" t="s">
        <v>1288</v>
      </c>
      <c r="R896" s="220"/>
      <c r="S896" s="220"/>
      <c r="T896" s="63"/>
    </row>
    <row r="897" spans="2:20" ht="6.95" customHeight="1" thickBot="1" x14ac:dyDescent="0.3">
      <c r="B897" s="64"/>
      <c r="C897" s="65"/>
      <c r="D897" s="65"/>
      <c r="E897" s="65"/>
      <c r="F897" s="65"/>
      <c r="G897" s="65"/>
      <c r="H897" s="65"/>
      <c r="I897" s="65"/>
      <c r="J897" s="66"/>
      <c r="L897" s="64"/>
      <c r="M897" s="65"/>
      <c r="N897" s="65"/>
      <c r="O897" s="65"/>
      <c r="P897" s="65"/>
      <c r="Q897" s="65"/>
      <c r="R897" s="65"/>
      <c r="S897" s="65"/>
      <c r="T897" s="66"/>
    </row>
    <row r="898" spans="2:20" ht="32.1" customHeight="1" thickTop="1" x14ac:dyDescent="0.25">
      <c r="B898" s="57"/>
      <c r="C898" s="58"/>
      <c r="D898" s="217" t="s">
        <v>697</v>
      </c>
      <c r="E898" s="218"/>
      <c r="F898" s="218"/>
      <c r="G898" s="218"/>
      <c r="H898" s="218"/>
      <c r="I898" s="218"/>
      <c r="J898" s="219"/>
      <c r="L898" s="57"/>
      <c r="M898" s="58"/>
      <c r="N898" s="217" t="s">
        <v>697</v>
      </c>
      <c r="O898" s="218"/>
      <c r="P898" s="218"/>
      <c r="Q898" s="218"/>
      <c r="R898" s="218"/>
      <c r="S898" s="218"/>
      <c r="T898" s="219"/>
    </row>
    <row r="899" spans="2:20" ht="6.95" customHeight="1" x14ac:dyDescent="0.25">
      <c r="B899" s="59"/>
      <c r="J899" s="60"/>
      <c r="L899" s="59"/>
      <c r="T899" s="60"/>
    </row>
    <row r="900" spans="2:20" ht="18" customHeight="1" x14ac:dyDescent="0.25">
      <c r="B900" s="61"/>
      <c r="C900" s="214" t="s">
        <v>698</v>
      </c>
      <c r="D900" s="215"/>
      <c r="E900" s="216"/>
      <c r="F900" s="62"/>
      <c r="G900" s="214" t="s">
        <v>1432</v>
      </c>
      <c r="H900" s="215"/>
      <c r="I900" s="216"/>
      <c r="J900" s="63"/>
      <c r="L900" s="61"/>
      <c r="M900" s="214" t="s">
        <v>698</v>
      </c>
      <c r="N900" s="215"/>
      <c r="O900" s="216"/>
      <c r="P900" s="62"/>
      <c r="Q900" s="214" t="s">
        <v>1433</v>
      </c>
      <c r="R900" s="215"/>
      <c r="S900" s="216"/>
      <c r="T900" s="63"/>
    </row>
    <row r="901" spans="2:20" ht="6.95" customHeight="1" x14ac:dyDescent="0.25">
      <c r="B901" s="59"/>
      <c r="C901" s="62"/>
      <c r="D901" s="62"/>
      <c r="E901" s="62"/>
      <c r="F901" s="62"/>
      <c r="G901" s="62"/>
      <c r="H901" s="62"/>
      <c r="I901" s="62"/>
      <c r="J901" s="60"/>
      <c r="L901" s="59"/>
      <c r="M901" s="62"/>
      <c r="N901" s="62"/>
      <c r="O901" s="62"/>
      <c r="P901" s="62"/>
      <c r="Q901" s="62"/>
      <c r="R901" s="62"/>
      <c r="S901" s="62"/>
      <c r="T901" s="60"/>
    </row>
    <row r="902" spans="2:20" ht="18" customHeight="1" x14ac:dyDescent="0.25">
      <c r="B902" s="61"/>
      <c r="C902" s="214" t="s">
        <v>699</v>
      </c>
      <c r="D902" s="215"/>
      <c r="E902" s="216"/>
      <c r="F902" s="62"/>
      <c r="G902" s="214" t="s">
        <v>1639</v>
      </c>
      <c r="H902" s="215"/>
      <c r="I902" s="216"/>
      <c r="J902" s="63"/>
      <c r="L902" s="61"/>
      <c r="M902" s="214" t="s">
        <v>699</v>
      </c>
      <c r="N902" s="215"/>
      <c r="O902" s="216"/>
      <c r="P902" s="62"/>
      <c r="Q902" s="214" t="s">
        <v>1639</v>
      </c>
      <c r="R902" s="215"/>
      <c r="S902" s="216"/>
      <c r="T902" s="63"/>
    </row>
    <row r="903" spans="2:20" ht="6.95" customHeight="1" x14ac:dyDescent="0.25">
      <c r="B903" s="59"/>
      <c r="C903" s="62"/>
      <c r="D903" s="62"/>
      <c r="E903" s="62"/>
      <c r="F903" s="62"/>
      <c r="G903" s="62"/>
      <c r="H903" s="62"/>
      <c r="I903" s="62"/>
      <c r="J903" s="60"/>
      <c r="L903" s="59"/>
      <c r="M903" s="62"/>
      <c r="N903" s="62"/>
      <c r="O903" s="62"/>
      <c r="P903" s="62"/>
      <c r="Q903" s="62"/>
      <c r="R903" s="62"/>
      <c r="S903" s="62"/>
      <c r="T903" s="60"/>
    </row>
    <row r="904" spans="2:20" ht="18" customHeight="1" x14ac:dyDescent="0.25">
      <c r="B904" s="61"/>
      <c r="C904" s="214" t="s">
        <v>701</v>
      </c>
      <c r="D904" s="215"/>
      <c r="E904" s="216"/>
      <c r="F904" s="62"/>
      <c r="G904" s="214" t="s">
        <v>986</v>
      </c>
      <c r="H904" s="215"/>
      <c r="I904" s="216"/>
      <c r="J904" s="63"/>
      <c r="L904" s="61"/>
      <c r="M904" s="214" t="s">
        <v>701</v>
      </c>
      <c r="N904" s="215"/>
      <c r="O904" s="216"/>
      <c r="P904" s="62"/>
      <c r="Q904" s="214" t="s">
        <v>986</v>
      </c>
      <c r="R904" s="215"/>
      <c r="S904" s="216"/>
      <c r="T904" s="63"/>
    </row>
    <row r="905" spans="2:20" ht="6.95" customHeight="1" x14ac:dyDescent="0.25">
      <c r="B905" s="59"/>
      <c r="C905" s="62"/>
      <c r="D905" s="62"/>
      <c r="E905" s="62"/>
      <c r="F905" s="62"/>
      <c r="G905" s="62"/>
      <c r="H905" s="62"/>
      <c r="I905" s="62"/>
      <c r="J905" s="60"/>
      <c r="L905" s="59"/>
      <c r="M905" s="62"/>
      <c r="N905" s="62"/>
      <c r="O905" s="62"/>
      <c r="P905" s="62"/>
      <c r="Q905" s="62"/>
      <c r="R905" s="62"/>
      <c r="S905" s="62"/>
      <c r="T905" s="60"/>
    </row>
    <row r="906" spans="2:20" ht="18" customHeight="1" x14ac:dyDescent="0.25">
      <c r="B906" s="61"/>
      <c r="C906" s="214" t="s">
        <v>703</v>
      </c>
      <c r="D906" s="215"/>
      <c r="E906" s="216"/>
      <c r="F906" s="62"/>
      <c r="G906" s="214" t="s">
        <v>109</v>
      </c>
      <c r="H906" s="215"/>
      <c r="I906" s="216"/>
      <c r="J906" s="63"/>
      <c r="L906" s="61"/>
      <c r="M906" s="214" t="s">
        <v>703</v>
      </c>
      <c r="N906" s="215"/>
      <c r="O906" s="216"/>
      <c r="P906" s="62"/>
      <c r="Q906" s="214" t="s">
        <v>109</v>
      </c>
      <c r="R906" s="215"/>
      <c r="S906" s="216"/>
      <c r="T906" s="63"/>
    </row>
    <row r="907" spans="2:20" ht="6.6" customHeight="1" x14ac:dyDescent="0.25">
      <c r="B907" s="59"/>
      <c r="C907" s="62"/>
      <c r="D907" s="62"/>
      <c r="E907" s="62"/>
      <c r="F907" s="62"/>
      <c r="G907" s="62"/>
      <c r="H907" s="62"/>
      <c r="I907" s="62"/>
      <c r="J907" s="60"/>
      <c r="L907" s="59"/>
      <c r="M907" s="62"/>
      <c r="N907" s="62"/>
      <c r="O907" s="62"/>
      <c r="P907" s="62"/>
      <c r="Q907" s="62"/>
      <c r="R907" s="62"/>
      <c r="S907" s="62"/>
      <c r="T907" s="60"/>
    </row>
    <row r="908" spans="2:20" ht="18" customHeight="1" x14ac:dyDescent="0.25">
      <c r="B908" s="61"/>
      <c r="C908" s="214" t="s">
        <v>705</v>
      </c>
      <c r="D908" s="215"/>
      <c r="E908" s="216"/>
      <c r="F908" s="62"/>
      <c r="G908" s="214" t="s">
        <v>109</v>
      </c>
      <c r="H908" s="215"/>
      <c r="I908" s="216"/>
      <c r="J908" s="63"/>
      <c r="L908" s="61"/>
      <c r="M908" s="214" t="s">
        <v>705</v>
      </c>
      <c r="N908" s="215"/>
      <c r="O908" s="216"/>
      <c r="P908" s="62"/>
      <c r="Q908" s="214" t="s">
        <v>109</v>
      </c>
      <c r="R908" s="215"/>
      <c r="S908" s="216"/>
      <c r="T908" s="63"/>
    </row>
    <row r="909" spans="2:20" ht="6.95" customHeight="1" x14ac:dyDescent="0.25">
      <c r="B909" s="59"/>
      <c r="C909" s="62"/>
      <c r="D909" s="62"/>
      <c r="E909" s="62"/>
      <c r="F909" s="62"/>
      <c r="G909" s="62"/>
      <c r="H909" s="62"/>
      <c r="I909" s="62"/>
      <c r="J909" s="60"/>
      <c r="L909" s="59"/>
      <c r="M909" s="62"/>
      <c r="N909" s="62"/>
      <c r="O909" s="62"/>
      <c r="P909" s="62"/>
      <c r="Q909" s="62"/>
      <c r="R909" s="62"/>
      <c r="S909" s="62"/>
      <c r="T909" s="60"/>
    </row>
    <row r="910" spans="2:20" ht="18" customHeight="1" x14ac:dyDescent="0.25">
      <c r="B910" s="61"/>
      <c r="C910" s="214" t="s">
        <v>708</v>
      </c>
      <c r="D910" s="215"/>
      <c r="E910" s="216"/>
      <c r="F910" s="62"/>
      <c r="G910" s="214" t="s">
        <v>109</v>
      </c>
      <c r="H910" s="215"/>
      <c r="I910" s="216"/>
      <c r="J910" s="63"/>
      <c r="L910" s="61"/>
      <c r="M910" s="214" t="s">
        <v>708</v>
      </c>
      <c r="N910" s="215"/>
      <c r="O910" s="216"/>
      <c r="P910" s="62"/>
      <c r="Q910" s="214" t="s">
        <v>109</v>
      </c>
      <c r="R910" s="215"/>
      <c r="S910" s="216"/>
      <c r="T910" s="63"/>
    </row>
    <row r="911" spans="2:20" ht="6.95" customHeight="1" x14ac:dyDescent="0.25">
      <c r="B911" s="59"/>
      <c r="C911" s="62"/>
      <c r="D911" s="62"/>
      <c r="E911" s="62"/>
      <c r="F911" s="62"/>
      <c r="G911" s="62"/>
      <c r="H911" s="62"/>
      <c r="I911" s="62"/>
      <c r="J911" s="60"/>
      <c r="L911" s="59"/>
      <c r="M911" s="62"/>
      <c r="N911" s="62"/>
      <c r="O911" s="62"/>
      <c r="P911" s="62"/>
      <c r="Q911" s="62"/>
      <c r="R911" s="62"/>
      <c r="S911" s="62"/>
      <c r="T911" s="60"/>
    </row>
    <row r="912" spans="2:20" ht="18" customHeight="1" x14ac:dyDescent="0.25">
      <c r="B912" s="61"/>
      <c r="C912" s="214" t="s">
        <v>711</v>
      </c>
      <c r="D912" s="215"/>
      <c r="E912" s="216"/>
      <c r="F912" s="62"/>
      <c r="G912" s="214" t="s">
        <v>712</v>
      </c>
      <c r="H912" s="215"/>
      <c r="I912" s="216"/>
      <c r="J912" s="63"/>
      <c r="L912" s="61"/>
      <c r="M912" s="214" t="s">
        <v>711</v>
      </c>
      <c r="N912" s="215"/>
      <c r="O912" s="216"/>
      <c r="P912" s="62"/>
      <c r="Q912" s="214" t="s">
        <v>712</v>
      </c>
      <c r="R912" s="215"/>
      <c r="S912" s="216"/>
      <c r="T912" s="63"/>
    </row>
    <row r="913" spans="2:20" ht="6.95" customHeight="1" x14ac:dyDescent="0.25">
      <c r="B913" s="59"/>
      <c r="C913" s="62"/>
      <c r="D913" s="62"/>
      <c r="E913" s="62"/>
      <c r="F913" s="62"/>
      <c r="G913" s="62"/>
      <c r="H913" s="62"/>
      <c r="I913" s="62"/>
      <c r="J913" s="60"/>
      <c r="L913" s="59"/>
      <c r="M913" s="62"/>
      <c r="N913" s="62"/>
      <c r="O913" s="62"/>
      <c r="P913" s="62"/>
      <c r="Q913" s="62"/>
      <c r="R913" s="62"/>
      <c r="S913" s="62"/>
      <c r="T913" s="60"/>
    </row>
    <row r="914" spans="2:20" ht="18" customHeight="1" x14ac:dyDescent="0.25">
      <c r="B914" s="61"/>
      <c r="C914" s="214" t="s">
        <v>1273</v>
      </c>
      <c r="D914" s="215"/>
      <c r="E914" s="216"/>
      <c r="F914" s="62"/>
      <c r="G914" s="214" t="s">
        <v>1434</v>
      </c>
      <c r="H914" s="215"/>
      <c r="I914" s="216"/>
      <c r="J914" s="63"/>
      <c r="L914" s="61"/>
      <c r="M914" s="214" t="s">
        <v>1273</v>
      </c>
      <c r="N914" s="215"/>
      <c r="O914" s="216"/>
      <c r="P914" s="62"/>
      <c r="Q914" s="214" t="s">
        <v>1435</v>
      </c>
      <c r="R914" s="215"/>
      <c r="S914" s="216"/>
      <c r="T914" s="63"/>
    </row>
    <row r="915" spans="2:20" ht="6.95" customHeight="1" x14ac:dyDescent="0.25">
      <c r="B915" s="59"/>
      <c r="C915" s="62"/>
      <c r="D915" s="62"/>
      <c r="E915" s="62"/>
      <c r="F915" s="62"/>
      <c r="G915" s="62"/>
      <c r="H915" s="62"/>
      <c r="I915" s="62"/>
      <c r="J915" s="60"/>
      <c r="L915" s="59"/>
      <c r="M915" s="62"/>
      <c r="N915" s="62"/>
      <c r="O915" s="62"/>
      <c r="P915" s="62"/>
      <c r="Q915" s="62"/>
      <c r="R915" s="62"/>
      <c r="S915" s="62"/>
      <c r="T915" s="60"/>
    </row>
    <row r="916" spans="2:20" ht="18" customHeight="1" x14ac:dyDescent="0.25">
      <c r="B916" s="61"/>
      <c r="C916" s="214" t="s">
        <v>713</v>
      </c>
      <c r="D916" s="215"/>
      <c r="E916" s="216"/>
      <c r="F916" s="62"/>
      <c r="G916" s="220" t="s">
        <v>1293</v>
      </c>
      <c r="H916" s="220"/>
      <c r="I916" s="220"/>
      <c r="J916" s="63"/>
      <c r="L916" s="61"/>
      <c r="M916" s="214" t="s">
        <v>713</v>
      </c>
      <c r="N916" s="215"/>
      <c r="O916" s="216"/>
      <c r="P916" s="62"/>
      <c r="Q916" s="220" t="s">
        <v>1293</v>
      </c>
      <c r="R916" s="220"/>
      <c r="S916" s="220"/>
      <c r="T916" s="63"/>
    </row>
    <row r="917" spans="2:20" ht="6.95" customHeight="1" x14ac:dyDescent="0.25">
      <c r="B917" s="59"/>
      <c r="C917" s="128"/>
      <c r="D917" s="128"/>
      <c r="E917" s="128"/>
      <c r="F917" s="62"/>
      <c r="G917" s="128"/>
      <c r="H917" s="128"/>
      <c r="I917" s="128"/>
      <c r="J917" s="63"/>
      <c r="L917" s="59"/>
      <c r="M917" s="128"/>
      <c r="N917" s="128"/>
      <c r="O917" s="128"/>
      <c r="P917" s="62"/>
      <c r="Q917" s="128"/>
      <c r="R917" s="128"/>
      <c r="S917" s="128"/>
      <c r="T917" s="63"/>
    </row>
    <row r="918" spans="2:20" ht="18" customHeight="1" x14ac:dyDescent="0.25">
      <c r="B918" s="59"/>
      <c r="C918" s="220" t="s">
        <v>715</v>
      </c>
      <c r="D918" s="220"/>
      <c r="E918" s="220"/>
      <c r="F918" s="62"/>
      <c r="G918" s="220" t="s">
        <v>1288</v>
      </c>
      <c r="H918" s="220"/>
      <c r="I918" s="220"/>
      <c r="J918" s="63"/>
      <c r="L918" s="59"/>
      <c r="M918" s="220" t="s">
        <v>715</v>
      </c>
      <c r="N918" s="220"/>
      <c r="O918" s="220"/>
      <c r="P918" s="62"/>
      <c r="Q918" s="220" t="s">
        <v>1288</v>
      </c>
      <c r="R918" s="220"/>
      <c r="S918" s="220"/>
      <c r="T918" s="63"/>
    </row>
    <row r="919" spans="2:20" ht="6.95" customHeight="1" thickBot="1" x14ac:dyDescent="0.3">
      <c r="B919" s="64"/>
      <c r="C919" s="65"/>
      <c r="D919" s="65"/>
      <c r="E919" s="65"/>
      <c r="F919" s="65"/>
      <c r="G919" s="65"/>
      <c r="H919" s="65"/>
      <c r="I919" s="65"/>
      <c r="J919" s="66"/>
      <c r="L919" s="64"/>
      <c r="M919" s="65"/>
      <c r="N919" s="65"/>
      <c r="O919" s="65"/>
      <c r="P919" s="65"/>
      <c r="Q919" s="65"/>
      <c r="R919" s="65"/>
      <c r="S919" s="65"/>
      <c r="T919" s="66"/>
    </row>
    <row r="920" spans="2:20" ht="32.1" customHeight="1" thickTop="1" x14ac:dyDescent="0.25">
      <c r="B920" s="57"/>
      <c r="C920" s="58"/>
      <c r="D920" s="217" t="s">
        <v>697</v>
      </c>
      <c r="E920" s="218"/>
      <c r="F920" s="218"/>
      <c r="G920" s="218"/>
      <c r="H920" s="218"/>
      <c r="I920" s="218"/>
      <c r="J920" s="219"/>
      <c r="L920" s="57"/>
      <c r="M920" s="58"/>
      <c r="N920" s="217" t="s">
        <v>697</v>
      </c>
      <c r="O920" s="218"/>
      <c r="P920" s="218"/>
      <c r="Q920" s="218"/>
      <c r="R920" s="218"/>
      <c r="S920" s="218"/>
      <c r="T920" s="219"/>
    </row>
    <row r="921" spans="2:20" ht="6.95" customHeight="1" x14ac:dyDescent="0.25">
      <c r="B921" s="59"/>
      <c r="J921" s="60"/>
      <c r="L921" s="59"/>
      <c r="T921" s="60"/>
    </row>
    <row r="922" spans="2:20" ht="18" customHeight="1" x14ac:dyDescent="0.25">
      <c r="B922" s="61"/>
      <c r="C922" s="214" t="s">
        <v>698</v>
      </c>
      <c r="D922" s="215"/>
      <c r="E922" s="216"/>
      <c r="F922" s="62"/>
      <c r="G922" s="214" t="s">
        <v>1436</v>
      </c>
      <c r="H922" s="215"/>
      <c r="I922" s="216"/>
      <c r="J922" s="63"/>
      <c r="L922" s="61"/>
      <c r="M922" s="214" t="s">
        <v>698</v>
      </c>
      <c r="N922" s="215"/>
      <c r="O922" s="216"/>
      <c r="P922" s="62"/>
      <c r="Q922" s="214" t="s">
        <v>1437</v>
      </c>
      <c r="R922" s="215"/>
      <c r="S922" s="216"/>
      <c r="T922" s="63"/>
    </row>
    <row r="923" spans="2:20" ht="6.95" customHeight="1" x14ac:dyDescent="0.25">
      <c r="B923" s="59"/>
      <c r="C923" s="62"/>
      <c r="D923" s="62"/>
      <c r="E923" s="62"/>
      <c r="F923" s="62"/>
      <c r="G923" s="62"/>
      <c r="H923" s="62"/>
      <c r="I923" s="62"/>
      <c r="J923" s="60"/>
      <c r="L923" s="59"/>
      <c r="M923" s="62"/>
      <c r="N923" s="62"/>
      <c r="O923" s="62"/>
      <c r="P923" s="62"/>
      <c r="Q923" s="62"/>
      <c r="R923" s="62"/>
      <c r="S923" s="62"/>
      <c r="T923" s="60"/>
    </row>
    <row r="924" spans="2:20" ht="18" customHeight="1" x14ac:dyDescent="0.25">
      <c r="B924" s="61"/>
      <c r="C924" s="214" t="s">
        <v>699</v>
      </c>
      <c r="D924" s="215"/>
      <c r="E924" s="216"/>
      <c r="F924" s="62"/>
      <c r="G924" s="214" t="s">
        <v>1639</v>
      </c>
      <c r="H924" s="215"/>
      <c r="I924" s="216"/>
      <c r="J924" s="63"/>
      <c r="L924" s="61"/>
      <c r="M924" s="214" t="s">
        <v>699</v>
      </c>
      <c r="N924" s="215"/>
      <c r="O924" s="216"/>
      <c r="P924" s="62"/>
      <c r="Q924" s="214" t="s">
        <v>1639</v>
      </c>
      <c r="R924" s="215"/>
      <c r="S924" s="216"/>
      <c r="T924" s="63"/>
    </row>
    <row r="925" spans="2:20" ht="6.95" customHeight="1" x14ac:dyDescent="0.25">
      <c r="B925" s="59"/>
      <c r="C925" s="62"/>
      <c r="D925" s="62"/>
      <c r="E925" s="62"/>
      <c r="F925" s="62"/>
      <c r="G925" s="62"/>
      <c r="H925" s="62"/>
      <c r="I925" s="62"/>
      <c r="J925" s="60"/>
      <c r="L925" s="59"/>
      <c r="M925" s="62"/>
      <c r="N925" s="62"/>
      <c r="O925" s="62"/>
      <c r="P925" s="62"/>
      <c r="Q925" s="62"/>
      <c r="R925" s="62"/>
      <c r="S925" s="62"/>
      <c r="T925" s="60"/>
    </row>
    <row r="926" spans="2:20" ht="18" customHeight="1" x14ac:dyDescent="0.25">
      <c r="B926" s="61"/>
      <c r="C926" s="214" t="s">
        <v>701</v>
      </c>
      <c r="D926" s="215"/>
      <c r="E926" s="216"/>
      <c r="F926" s="62"/>
      <c r="G926" s="214" t="s">
        <v>986</v>
      </c>
      <c r="H926" s="215"/>
      <c r="I926" s="216"/>
      <c r="J926" s="63"/>
      <c r="L926" s="61"/>
      <c r="M926" s="214" t="s">
        <v>701</v>
      </c>
      <c r="N926" s="215"/>
      <c r="O926" s="216"/>
      <c r="P926" s="62"/>
      <c r="Q926" s="214" t="s">
        <v>986</v>
      </c>
      <c r="R926" s="215"/>
      <c r="S926" s="216"/>
      <c r="T926" s="63"/>
    </row>
    <row r="927" spans="2:20" ht="6.95" customHeight="1" x14ac:dyDescent="0.25">
      <c r="B927" s="59"/>
      <c r="C927" s="62"/>
      <c r="D927" s="62"/>
      <c r="E927" s="62"/>
      <c r="F927" s="62"/>
      <c r="G927" s="62"/>
      <c r="H927" s="62"/>
      <c r="I927" s="62"/>
      <c r="J927" s="60"/>
      <c r="L927" s="59"/>
      <c r="M927" s="62"/>
      <c r="N927" s="62"/>
      <c r="O927" s="62"/>
      <c r="P927" s="62"/>
      <c r="Q927" s="62"/>
      <c r="R927" s="62"/>
      <c r="S927" s="62"/>
      <c r="T927" s="60"/>
    </row>
    <row r="928" spans="2:20" ht="18" customHeight="1" x14ac:dyDescent="0.25">
      <c r="B928" s="61"/>
      <c r="C928" s="214" t="s">
        <v>703</v>
      </c>
      <c r="D928" s="215"/>
      <c r="E928" s="216"/>
      <c r="F928" s="62"/>
      <c r="G928" s="214" t="s">
        <v>109</v>
      </c>
      <c r="H928" s="215"/>
      <c r="I928" s="216"/>
      <c r="J928" s="63"/>
      <c r="L928" s="61"/>
      <c r="M928" s="214" t="s">
        <v>703</v>
      </c>
      <c r="N928" s="215"/>
      <c r="O928" s="216"/>
      <c r="P928" s="62"/>
      <c r="Q928" s="214" t="s">
        <v>109</v>
      </c>
      <c r="R928" s="215"/>
      <c r="S928" s="216"/>
      <c r="T928" s="63"/>
    </row>
    <row r="929" spans="2:20" ht="6.6" customHeight="1" x14ac:dyDescent="0.25">
      <c r="B929" s="59"/>
      <c r="C929" s="62"/>
      <c r="D929" s="62"/>
      <c r="E929" s="62"/>
      <c r="F929" s="62"/>
      <c r="G929" s="62"/>
      <c r="H929" s="62"/>
      <c r="I929" s="62"/>
      <c r="J929" s="60"/>
      <c r="L929" s="59"/>
      <c r="M929" s="62"/>
      <c r="N929" s="62"/>
      <c r="O929" s="62"/>
      <c r="P929" s="62"/>
      <c r="Q929" s="62"/>
      <c r="R929" s="62"/>
      <c r="S929" s="62"/>
      <c r="T929" s="60"/>
    </row>
    <row r="930" spans="2:20" ht="18" customHeight="1" x14ac:dyDescent="0.25">
      <c r="B930" s="61"/>
      <c r="C930" s="214" t="s">
        <v>705</v>
      </c>
      <c r="D930" s="215"/>
      <c r="E930" s="216"/>
      <c r="F930" s="62"/>
      <c r="G930" s="214" t="s">
        <v>109</v>
      </c>
      <c r="H930" s="215"/>
      <c r="I930" s="216"/>
      <c r="J930" s="63"/>
      <c r="L930" s="61"/>
      <c r="M930" s="214" t="s">
        <v>705</v>
      </c>
      <c r="N930" s="215"/>
      <c r="O930" s="216"/>
      <c r="P930" s="62"/>
      <c r="Q930" s="214" t="s">
        <v>109</v>
      </c>
      <c r="R930" s="215"/>
      <c r="S930" s="216"/>
      <c r="T930" s="63"/>
    </row>
    <row r="931" spans="2:20" ht="6.95" customHeight="1" x14ac:dyDescent="0.25">
      <c r="B931" s="59"/>
      <c r="C931" s="62"/>
      <c r="D931" s="62"/>
      <c r="E931" s="62"/>
      <c r="F931" s="62"/>
      <c r="G931" s="62"/>
      <c r="H931" s="62"/>
      <c r="I931" s="62"/>
      <c r="J931" s="60"/>
      <c r="L931" s="59"/>
      <c r="M931" s="62"/>
      <c r="N931" s="62"/>
      <c r="O931" s="62"/>
      <c r="P931" s="62"/>
      <c r="Q931" s="62"/>
      <c r="R931" s="62"/>
      <c r="S931" s="62"/>
      <c r="T931" s="60"/>
    </row>
    <row r="932" spans="2:20" ht="18" customHeight="1" x14ac:dyDescent="0.25">
      <c r="B932" s="61"/>
      <c r="C932" s="214" t="s">
        <v>708</v>
      </c>
      <c r="D932" s="215"/>
      <c r="E932" s="216"/>
      <c r="F932" s="62"/>
      <c r="G932" s="214" t="s">
        <v>109</v>
      </c>
      <c r="H932" s="215"/>
      <c r="I932" s="216"/>
      <c r="J932" s="63"/>
      <c r="L932" s="61"/>
      <c r="M932" s="214" t="s">
        <v>708</v>
      </c>
      <c r="N932" s="215"/>
      <c r="O932" s="216"/>
      <c r="P932" s="62"/>
      <c r="Q932" s="214" t="s">
        <v>109</v>
      </c>
      <c r="R932" s="215"/>
      <c r="S932" s="216"/>
      <c r="T932" s="63"/>
    </row>
    <row r="933" spans="2:20" ht="6.95" customHeight="1" x14ac:dyDescent="0.25">
      <c r="B933" s="59"/>
      <c r="C933" s="62"/>
      <c r="D933" s="62"/>
      <c r="E933" s="62"/>
      <c r="F933" s="62"/>
      <c r="G933" s="62"/>
      <c r="H933" s="62"/>
      <c r="I933" s="62"/>
      <c r="J933" s="60"/>
      <c r="L933" s="59"/>
      <c r="M933" s="62"/>
      <c r="N933" s="62"/>
      <c r="O933" s="62"/>
      <c r="P933" s="62"/>
      <c r="Q933" s="62"/>
      <c r="R933" s="62"/>
      <c r="S933" s="62"/>
      <c r="T933" s="60"/>
    </row>
    <row r="934" spans="2:20" ht="18" customHeight="1" x14ac:dyDescent="0.25">
      <c r="B934" s="61"/>
      <c r="C934" s="214" t="s">
        <v>711</v>
      </c>
      <c r="D934" s="215"/>
      <c r="E934" s="216"/>
      <c r="F934" s="62"/>
      <c r="G934" s="214" t="s">
        <v>712</v>
      </c>
      <c r="H934" s="215"/>
      <c r="I934" s="216"/>
      <c r="J934" s="63"/>
      <c r="L934" s="61"/>
      <c r="M934" s="214" t="s">
        <v>711</v>
      </c>
      <c r="N934" s="215"/>
      <c r="O934" s="216"/>
      <c r="P934" s="62"/>
      <c r="Q934" s="214" t="s">
        <v>712</v>
      </c>
      <c r="R934" s="215"/>
      <c r="S934" s="216"/>
      <c r="T934" s="63"/>
    </row>
    <row r="935" spans="2:20" ht="6.95" customHeight="1" x14ac:dyDescent="0.25">
      <c r="B935" s="59"/>
      <c r="C935" s="62"/>
      <c r="D935" s="62"/>
      <c r="E935" s="62"/>
      <c r="F935" s="62"/>
      <c r="G935" s="62"/>
      <c r="H935" s="62"/>
      <c r="I935" s="62"/>
      <c r="J935" s="60"/>
      <c r="L935" s="59"/>
      <c r="M935" s="62"/>
      <c r="N935" s="62"/>
      <c r="O935" s="62"/>
      <c r="P935" s="62"/>
      <c r="Q935" s="62"/>
      <c r="R935" s="62"/>
      <c r="S935" s="62"/>
      <c r="T935" s="60"/>
    </row>
    <row r="936" spans="2:20" ht="18" customHeight="1" x14ac:dyDescent="0.25">
      <c r="B936" s="61"/>
      <c r="C936" s="214" t="s">
        <v>1273</v>
      </c>
      <c r="D936" s="215"/>
      <c r="E936" s="216"/>
      <c r="F936" s="62"/>
      <c r="G936" s="214" t="s">
        <v>1438</v>
      </c>
      <c r="H936" s="215"/>
      <c r="I936" s="216"/>
      <c r="J936" s="63"/>
      <c r="L936" s="61"/>
      <c r="M936" s="214" t="s">
        <v>1273</v>
      </c>
      <c r="N936" s="215"/>
      <c r="O936" s="216"/>
      <c r="P936" s="62"/>
      <c r="Q936" s="214" t="s">
        <v>1439</v>
      </c>
      <c r="R936" s="215"/>
      <c r="S936" s="216"/>
      <c r="T936" s="63"/>
    </row>
    <row r="937" spans="2:20" ht="6.95" customHeight="1" x14ac:dyDescent="0.25">
      <c r="B937" s="59"/>
      <c r="C937" s="62"/>
      <c r="D937" s="62"/>
      <c r="E937" s="62"/>
      <c r="F937" s="62"/>
      <c r="G937" s="62"/>
      <c r="H937" s="62"/>
      <c r="I937" s="62"/>
      <c r="J937" s="60"/>
      <c r="L937" s="59"/>
      <c r="M937" s="62"/>
      <c r="N937" s="62"/>
      <c r="O937" s="62"/>
      <c r="P937" s="62"/>
      <c r="Q937" s="62"/>
      <c r="R937" s="62"/>
      <c r="S937" s="62"/>
      <c r="T937" s="60"/>
    </row>
    <row r="938" spans="2:20" ht="18" customHeight="1" x14ac:dyDescent="0.25">
      <c r="B938" s="61"/>
      <c r="C938" s="214" t="s">
        <v>713</v>
      </c>
      <c r="D938" s="215"/>
      <c r="E938" s="216"/>
      <c r="F938" s="62"/>
      <c r="G938" s="220" t="s">
        <v>1293</v>
      </c>
      <c r="H938" s="220"/>
      <c r="I938" s="220"/>
      <c r="J938" s="63"/>
      <c r="L938" s="61"/>
      <c r="M938" s="214" t="s">
        <v>713</v>
      </c>
      <c r="N938" s="215"/>
      <c r="O938" s="216"/>
      <c r="P938" s="62"/>
      <c r="Q938" s="220" t="s">
        <v>1293</v>
      </c>
      <c r="R938" s="220"/>
      <c r="S938" s="220"/>
      <c r="T938" s="63"/>
    </row>
    <row r="939" spans="2:20" ht="6.95" customHeight="1" x14ac:dyDescent="0.25">
      <c r="B939" s="59"/>
      <c r="C939" s="128"/>
      <c r="D939" s="128"/>
      <c r="E939" s="128"/>
      <c r="F939" s="62"/>
      <c r="G939" s="128"/>
      <c r="H939" s="128"/>
      <c r="I939" s="128"/>
      <c r="J939" s="63"/>
      <c r="L939" s="59"/>
      <c r="M939" s="128"/>
      <c r="N939" s="128"/>
      <c r="O939" s="128"/>
      <c r="P939" s="62"/>
      <c r="Q939" s="128"/>
      <c r="R939" s="128"/>
      <c r="S939" s="128"/>
      <c r="T939" s="63"/>
    </row>
    <row r="940" spans="2:20" ht="18" customHeight="1" x14ac:dyDescent="0.25">
      <c r="B940" s="59"/>
      <c r="C940" s="220" t="s">
        <v>715</v>
      </c>
      <c r="D940" s="220"/>
      <c r="E940" s="220"/>
      <c r="F940" s="62"/>
      <c r="G940" s="220" t="s">
        <v>1288</v>
      </c>
      <c r="H940" s="220"/>
      <c r="I940" s="220"/>
      <c r="J940" s="63"/>
      <c r="L940" s="59"/>
      <c r="M940" s="220" t="s">
        <v>715</v>
      </c>
      <c r="N940" s="220"/>
      <c r="O940" s="220"/>
      <c r="P940" s="62"/>
      <c r="Q940" s="220" t="s">
        <v>1288</v>
      </c>
      <c r="R940" s="220"/>
      <c r="S940" s="220"/>
      <c r="T940" s="63"/>
    </row>
    <row r="941" spans="2:20" ht="6.95" customHeight="1" thickBot="1" x14ac:dyDescent="0.3">
      <c r="B941" s="64"/>
      <c r="C941" s="65"/>
      <c r="D941" s="65"/>
      <c r="E941" s="65"/>
      <c r="F941" s="65"/>
      <c r="G941" s="65"/>
      <c r="H941" s="65"/>
      <c r="I941" s="65"/>
      <c r="J941" s="66"/>
      <c r="L941" s="64"/>
      <c r="M941" s="65"/>
      <c r="N941" s="65"/>
      <c r="O941" s="65"/>
      <c r="P941" s="65"/>
      <c r="Q941" s="65"/>
      <c r="R941" s="65"/>
      <c r="S941" s="65"/>
      <c r="T941" s="66"/>
    </row>
    <row r="942" spans="2:20" ht="32.1" customHeight="1" thickTop="1" x14ac:dyDescent="0.25">
      <c r="B942" s="57"/>
      <c r="C942" s="58"/>
      <c r="D942" s="217" t="s">
        <v>697</v>
      </c>
      <c r="E942" s="218"/>
      <c r="F942" s="218"/>
      <c r="G942" s="218"/>
      <c r="H942" s="218"/>
      <c r="I942" s="218"/>
      <c r="J942" s="219"/>
      <c r="L942" s="57"/>
      <c r="M942" s="58"/>
      <c r="N942" s="217" t="s">
        <v>697</v>
      </c>
      <c r="O942" s="218"/>
      <c r="P942" s="218"/>
      <c r="Q942" s="218"/>
      <c r="R942" s="218"/>
      <c r="S942" s="218"/>
      <c r="T942" s="219"/>
    </row>
    <row r="943" spans="2:20" ht="6.95" customHeight="1" x14ac:dyDescent="0.25">
      <c r="B943" s="59"/>
      <c r="J943" s="60"/>
      <c r="L943" s="59"/>
      <c r="T943" s="60"/>
    </row>
    <row r="944" spans="2:20" ht="18" customHeight="1" x14ac:dyDescent="0.25">
      <c r="B944" s="61"/>
      <c r="C944" s="214" t="s">
        <v>698</v>
      </c>
      <c r="D944" s="215"/>
      <c r="E944" s="216"/>
      <c r="F944" s="62"/>
      <c r="G944" s="214" t="s">
        <v>1440</v>
      </c>
      <c r="H944" s="215"/>
      <c r="I944" s="216"/>
      <c r="J944" s="63"/>
      <c r="L944" s="61"/>
      <c r="M944" s="214" t="s">
        <v>698</v>
      </c>
      <c r="N944" s="215"/>
      <c r="O944" s="216"/>
      <c r="P944" s="62"/>
      <c r="Q944" s="214" t="s">
        <v>1441</v>
      </c>
      <c r="R944" s="215"/>
      <c r="S944" s="216"/>
      <c r="T944" s="63"/>
    </row>
    <row r="945" spans="2:20" ht="6.95" customHeight="1" x14ac:dyDescent="0.25">
      <c r="B945" s="59"/>
      <c r="C945" s="62"/>
      <c r="D945" s="62"/>
      <c r="E945" s="62"/>
      <c r="F945" s="62"/>
      <c r="G945" s="62"/>
      <c r="H945" s="62"/>
      <c r="I945" s="62"/>
      <c r="J945" s="60"/>
      <c r="L945" s="59"/>
      <c r="M945" s="62"/>
      <c r="N945" s="62"/>
      <c r="O945" s="62"/>
      <c r="P945" s="62"/>
      <c r="Q945" s="62"/>
      <c r="R945" s="62"/>
      <c r="S945" s="62"/>
      <c r="T945" s="60"/>
    </row>
    <row r="946" spans="2:20" ht="18" customHeight="1" x14ac:dyDescent="0.25">
      <c r="B946" s="61"/>
      <c r="C946" s="214" t="s">
        <v>699</v>
      </c>
      <c r="D946" s="215"/>
      <c r="E946" s="216"/>
      <c r="F946" s="62"/>
      <c r="G946" s="214" t="s">
        <v>1640</v>
      </c>
      <c r="H946" s="215"/>
      <c r="I946" s="216"/>
      <c r="J946" s="63"/>
      <c r="L946" s="61"/>
      <c r="M946" s="214" t="s">
        <v>699</v>
      </c>
      <c r="N946" s="215"/>
      <c r="O946" s="216"/>
      <c r="P946" s="62"/>
      <c r="Q946" s="214" t="s">
        <v>1640</v>
      </c>
      <c r="R946" s="215"/>
      <c r="S946" s="216"/>
      <c r="T946" s="63"/>
    </row>
    <row r="947" spans="2:20" ht="6.95" customHeight="1" x14ac:dyDescent="0.25">
      <c r="B947" s="59"/>
      <c r="C947" s="62"/>
      <c r="D947" s="62"/>
      <c r="E947" s="62"/>
      <c r="F947" s="62"/>
      <c r="G947" s="62"/>
      <c r="H947" s="62"/>
      <c r="I947" s="62"/>
      <c r="J947" s="60"/>
      <c r="L947" s="59"/>
      <c r="M947" s="62"/>
      <c r="N947" s="62"/>
      <c r="O947" s="62"/>
      <c r="P947" s="62"/>
      <c r="Q947" s="62"/>
      <c r="R947" s="62"/>
      <c r="S947" s="62"/>
      <c r="T947" s="60"/>
    </row>
    <row r="948" spans="2:20" ht="18" customHeight="1" x14ac:dyDescent="0.25">
      <c r="B948" s="61"/>
      <c r="C948" s="214" t="s">
        <v>701</v>
      </c>
      <c r="D948" s="215"/>
      <c r="E948" s="216"/>
      <c r="F948" s="62"/>
      <c r="G948" s="214" t="s">
        <v>982</v>
      </c>
      <c r="H948" s="215"/>
      <c r="I948" s="216"/>
      <c r="J948" s="63"/>
      <c r="L948" s="61"/>
      <c r="M948" s="214" t="s">
        <v>701</v>
      </c>
      <c r="N948" s="215"/>
      <c r="O948" s="216"/>
      <c r="P948" s="62"/>
      <c r="Q948" s="214" t="s">
        <v>982</v>
      </c>
      <c r="R948" s="215"/>
      <c r="S948" s="216"/>
      <c r="T948" s="63"/>
    </row>
    <row r="949" spans="2:20" ht="6.95" customHeight="1" x14ac:dyDescent="0.25">
      <c r="B949" s="59"/>
      <c r="C949" s="62"/>
      <c r="D949" s="62"/>
      <c r="E949" s="62"/>
      <c r="F949" s="62"/>
      <c r="G949" s="62"/>
      <c r="H949" s="62"/>
      <c r="I949" s="62"/>
      <c r="J949" s="60"/>
      <c r="L949" s="59"/>
      <c r="M949" s="62"/>
      <c r="N949" s="62"/>
      <c r="O949" s="62"/>
      <c r="P949" s="62"/>
      <c r="Q949" s="62"/>
      <c r="R949" s="62"/>
      <c r="S949" s="62"/>
      <c r="T949" s="60"/>
    </row>
    <row r="950" spans="2:20" ht="18" customHeight="1" x14ac:dyDescent="0.25">
      <c r="B950" s="61"/>
      <c r="C950" s="214" t="s">
        <v>703</v>
      </c>
      <c r="D950" s="215"/>
      <c r="E950" s="216"/>
      <c r="F950" s="62"/>
      <c r="G950" s="214" t="s">
        <v>109</v>
      </c>
      <c r="H950" s="215"/>
      <c r="I950" s="216"/>
      <c r="J950" s="63"/>
      <c r="L950" s="61"/>
      <c r="M950" s="214" t="s">
        <v>703</v>
      </c>
      <c r="N950" s="215"/>
      <c r="O950" s="216"/>
      <c r="P950" s="62"/>
      <c r="Q950" s="214" t="s">
        <v>109</v>
      </c>
      <c r="R950" s="215"/>
      <c r="S950" s="216"/>
      <c r="T950" s="63"/>
    </row>
    <row r="951" spans="2:20" ht="6.6" customHeight="1" x14ac:dyDescent="0.25">
      <c r="B951" s="59"/>
      <c r="C951" s="62"/>
      <c r="D951" s="62"/>
      <c r="E951" s="62"/>
      <c r="F951" s="62"/>
      <c r="G951" s="62"/>
      <c r="H951" s="62"/>
      <c r="I951" s="62"/>
      <c r="J951" s="60"/>
      <c r="L951" s="59"/>
      <c r="M951" s="62"/>
      <c r="N951" s="62"/>
      <c r="O951" s="62"/>
      <c r="P951" s="62"/>
      <c r="Q951" s="62"/>
      <c r="R951" s="62"/>
      <c r="S951" s="62"/>
      <c r="T951" s="60"/>
    </row>
    <row r="952" spans="2:20" ht="18" customHeight="1" x14ac:dyDescent="0.25">
      <c r="B952" s="61"/>
      <c r="C952" s="214" t="s">
        <v>705</v>
      </c>
      <c r="D952" s="215"/>
      <c r="E952" s="216"/>
      <c r="F952" s="62"/>
      <c r="G952" s="214" t="s">
        <v>1442</v>
      </c>
      <c r="H952" s="215"/>
      <c r="I952" s="216"/>
      <c r="J952" s="63"/>
      <c r="L952" s="61"/>
      <c r="M952" s="214" t="s">
        <v>705</v>
      </c>
      <c r="N952" s="215"/>
      <c r="O952" s="216"/>
      <c r="P952" s="62"/>
      <c r="Q952" s="214" t="s">
        <v>1443</v>
      </c>
      <c r="R952" s="215"/>
      <c r="S952" s="216"/>
      <c r="T952" s="63"/>
    </row>
    <row r="953" spans="2:20" ht="6.95" customHeight="1" x14ac:dyDescent="0.25">
      <c r="B953" s="59"/>
      <c r="C953" s="62"/>
      <c r="D953" s="62"/>
      <c r="E953" s="62"/>
      <c r="F953" s="62"/>
      <c r="G953" s="62"/>
      <c r="H953" s="62"/>
      <c r="I953" s="62"/>
      <c r="J953" s="60"/>
      <c r="L953" s="59"/>
      <c r="M953" s="62"/>
      <c r="N953" s="62"/>
      <c r="O953" s="62"/>
      <c r="P953" s="62"/>
      <c r="Q953" s="62"/>
      <c r="R953" s="62"/>
      <c r="S953" s="62"/>
      <c r="T953" s="60"/>
    </row>
    <row r="954" spans="2:20" ht="18" customHeight="1" x14ac:dyDescent="0.25">
      <c r="B954" s="61"/>
      <c r="C954" s="214" t="s">
        <v>708</v>
      </c>
      <c r="D954" s="215"/>
      <c r="E954" s="216"/>
      <c r="F954" s="62"/>
      <c r="G954" s="214" t="s">
        <v>983</v>
      </c>
      <c r="H954" s="215"/>
      <c r="I954" s="216"/>
      <c r="J954" s="63"/>
      <c r="L954" s="61"/>
      <c r="M954" s="214" t="s">
        <v>708</v>
      </c>
      <c r="N954" s="215"/>
      <c r="O954" s="216"/>
      <c r="P954" s="62"/>
      <c r="Q954" s="214" t="s">
        <v>1444</v>
      </c>
      <c r="R954" s="215"/>
      <c r="S954" s="216"/>
      <c r="T954" s="63"/>
    </row>
    <row r="955" spans="2:20" ht="6.95" customHeight="1" x14ac:dyDescent="0.25">
      <c r="B955" s="59"/>
      <c r="C955" s="62"/>
      <c r="D955" s="62"/>
      <c r="E955" s="62"/>
      <c r="F955" s="62"/>
      <c r="G955" s="62"/>
      <c r="H955" s="62"/>
      <c r="I955" s="62"/>
      <c r="J955" s="60"/>
      <c r="L955" s="59"/>
      <c r="M955" s="62"/>
      <c r="N955" s="62"/>
      <c r="O955" s="62"/>
      <c r="P955" s="62"/>
      <c r="Q955" s="62"/>
      <c r="R955" s="62"/>
      <c r="S955" s="62"/>
      <c r="T955" s="60"/>
    </row>
    <row r="956" spans="2:20" ht="18" customHeight="1" x14ac:dyDescent="0.25">
      <c r="B956" s="61"/>
      <c r="C956" s="214" t="s">
        <v>711</v>
      </c>
      <c r="D956" s="215"/>
      <c r="E956" s="216"/>
      <c r="F956" s="62"/>
      <c r="G956" s="214" t="s">
        <v>712</v>
      </c>
      <c r="H956" s="215"/>
      <c r="I956" s="216"/>
      <c r="J956" s="63"/>
      <c r="L956" s="61"/>
      <c r="M956" s="214" t="s">
        <v>711</v>
      </c>
      <c r="N956" s="215"/>
      <c r="O956" s="216"/>
      <c r="P956" s="62"/>
      <c r="Q956" s="214" t="s">
        <v>712</v>
      </c>
      <c r="R956" s="215"/>
      <c r="S956" s="216"/>
      <c r="T956" s="63"/>
    </row>
    <row r="957" spans="2:20" ht="6.95" customHeight="1" x14ac:dyDescent="0.25">
      <c r="B957" s="59"/>
      <c r="C957" s="62"/>
      <c r="D957" s="62"/>
      <c r="E957" s="62"/>
      <c r="F957" s="62"/>
      <c r="G957" s="62"/>
      <c r="H957" s="62"/>
      <c r="I957" s="62"/>
      <c r="J957" s="60"/>
      <c r="L957" s="59"/>
      <c r="M957" s="62"/>
      <c r="N957" s="62"/>
      <c r="O957" s="62"/>
      <c r="P957" s="62"/>
      <c r="Q957" s="62"/>
      <c r="R957" s="62"/>
      <c r="S957" s="62"/>
      <c r="T957" s="60"/>
    </row>
    <row r="958" spans="2:20" ht="18" customHeight="1" x14ac:dyDescent="0.25">
      <c r="B958" s="61"/>
      <c r="C958" s="214" t="s">
        <v>1273</v>
      </c>
      <c r="D958" s="215"/>
      <c r="E958" s="216"/>
      <c r="F958" s="62"/>
      <c r="G958" s="214" t="s">
        <v>1445</v>
      </c>
      <c r="H958" s="215"/>
      <c r="I958" s="216"/>
      <c r="J958" s="63"/>
      <c r="L958" s="61"/>
      <c r="M958" s="214" t="s">
        <v>1273</v>
      </c>
      <c r="N958" s="215"/>
      <c r="O958" s="216"/>
      <c r="P958" s="62"/>
      <c r="Q958" s="214" t="s">
        <v>1446</v>
      </c>
      <c r="R958" s="215"/>
      <c r="S958" s="216"/>
      <c r="T958" s="63"/>
    </row>
    <row r="959" spans="2:20" ht="6.95" customHeight="1" x14ac:dyDescent="0.25">
      <c r="B959" s="59"/>
      <c r="C959" s="62"/>
      <c r="D959" s="62"/>
      <c r="E959" s="62"/>
      <c r="F959" s="62"/>
      <c r="G959" s="62"/>
      <c r="H959" s="62"/>
      <c r="I959" s="62"/>
      <c r="J959" s="60"/>
      <c r="L959" s="59"/>
      <c r="M959" s="62"/>
      <c r="N959" s="62"/>
      <c r="O959" s="62"/>
      <c r="P959" s="62"/>
      <c r="Q959" s="62"/>
      <c r="R959" s="62"/>
      <c r="S959" s="62"/>
      <c r="T959" s="60"/>
    </row>
    <row r="960" spans="2:20" ht="18" customHeight="1" x14ac:dyDescent="0.25">
      <c r="B960" s="61"/>
      <c r="C960" s="214" t="s">
        <v>713</v>
      </c>
      <c r="D960" s="215"/>
      <c r="E960" s="216"/>
      <c r="F960" s="62"/>
      <c r="G960" s="220" t="s">
        <v>1293</v>
      </c>
      <c r="H960" s="220"/>
      <c r="I960" s="220"/>
      <c r="J960" s="63"/>
      <c r="L960" s="61"/>
      <c r="M960" s="214" t="s">
        <v>713</v>
      </c>
      <c r="N960" s="215"/>
      <c r="O960" s="216"/>
      <c r="P960" s="62"/>
      <c r="Q960" s="220" t="s">
        <v>1293</v>
      </c>
      <c r="R960" s="220"/>
      <c r="S960" s="220"/>
      <c r="T960" s="63"/>
    </row>
    <row r="961" spans="1:21" ht="6.95" customHeight="1" x14ac:dyDescent="0.25">
      <c r="B961" s="59"/>
      <c r="C961" s="128"/>
      <c r="D961" s="128"/>
      <c r="E961" s="128"/>
      <c r="F961" s="62"/>
      <c r="G961" s="128"/>
      <c r="H961" s="128"/>
      <c r="I961" s="128"/>
      <c r="J961" s="63"/>
      <c r="L961" s="59"/>
      <c r="M961" s="128"/>
      <c r="N961" s="128"/>
      <c r="O961" s="128"/>
      <c r="P961" s="62"/>
      <c r="Q961" s="128"/>
      <c r="R961" s="128"/>
      <c r="S961" s="128"/>
      <c r="T961" s="63"/>
    </row>
    <row r="962" spans="1:21" ht="18" customHeight="1" x14ac:dyDescent="0.25">
      <c r="B962" s="59"/>
      <c r="C962" s="220" t="s">
        <v>715</v>
      </c>
      <c r="D962" s="220"/>
      <c r="E962" s="220"/>
      <c r="F962" s="62"/>
      <c r="G962" s="220" t="s">
        <v>1288</v>
      </c>
      <c r="H962" s="220"/>
      <c r="I962" s="220"/>
      <c r="J962" s="63"/>
      <c r="L962" s="59"/>
      <c r="M962" s="220" t="s">
        <v>715</v>
      </c>
      <c r="N962" s="220"/>
      <c r="O962" s="220"/>
      <c r="P962" s="62"/>
      <c r="Q962" s="220" t="s">
        <v>1288</v>
      </c>
      <c r="R962" s="220"/>
      <c r="S962" s="220"/>
      <c r="T962" s="63"/>
    </row>
    <row r="963" spans="1:21" ht="6.95" customHeight="1" thickBot="1" x14ac:dyDescent="0.3">
      <c r="A963" s="77"/>
      <c r="B963" s="78"/>
      <c r="C963" s="79"/>
      <c r="D963" s="79"/>
      <c r="E963" s="79"/>
      <c r="F963" s="79"/>
      <c r="G963" s="79"/>
      <c r="H963" s="79"/>
      <c r="I963" s="79"/>
      <c r="J963" s="80"/>
      <c r="K963" s="77"/>
      <c r="L963" s="78"/>
      <c r="M963" s="79"/>
      <c r="N963" s="79"/>
      <c r="O963" s="79"/>
      <c r="P963" s="79"/>
      <c r="Q963" s="79"/>
      <c r="R963" s="79"/>
      <c r="S963" s="79"/>
      <c r="T963" s="80"/>
      <c r="U963" s="77"/>
    </row>
    <row r="964" spans="1:21" ht="32.1" customHeight="1" thickTop="1" x14ac:dyDescent="0.25">
      <c r="B964" s="57"/>
      <c r="C964" s="58"/>
      <c r="D964" s="217" t="s">
        <v>697</v>
      </c>
      <c r="E964" s="218"/>
      <c r="F964" s="218"/>
      <c r="G964" s="218"/>
      <c r="H964" s="218"/>
      <c r="I964" s="218"/>
      <c r="J964" s="219"/>
      <c r="L964" s="57"/>
      <c r="M964" s="58"/>
      <c r="N964" s="217" t="s">
        <v>697</v>
      </c>
      <c r="O964" s="218"/>
      <c r="P964" s="218"/>
      <c r="Q964" s="218"/>
      <c r="R964" s="218"/>
      <c r="S964" s="218"/>
      <c r="T964" s="219"/>
    </row>
    <row r="965" spans="1:21" ht="6.95" customHeight="1" x14ac:dyDescent="0.25">
      <c r="B965" s="59"/>
      <c r="J965" s="60"/>
      <c r="L965" s="59"/>
      <c r="T965" s="60"/>
    </row>
    <row r="966" spans="1:21" ht="18" customHeight="1" x14ac:dyDescent="0.25">
      <c r="B966" s="61"/>
      <c r="C966" s="214" t="s">
        <v>698</v>
      </c>
      <c r="D966" s="215"/>
      <c r="E966" s="216"/>
      <c r="F966" s="62"/>
      <c r="G966" s="214" t="s">
        <v>1447</v>
      </c>
      <c r="H966" s="215"/>
      <c r="I966" s="216"/>
      <c r="J966" s="63"/>
      <c r="L966" s="61"/>
      <c r="M966" s="214" t="s">
        <v>698</v>
      </c>
      <c r="N966" s="215"/>
      <c r="O966" s="216"/>
      <c r="P966" s="62"/>
      <c r="Q966" s="214" t="s">
        <v>1448</v>
      </c>
      <c r="R966" s="215"/>
      <c r="S966" s="216"/>
      <c r="T966" s="63"/>
    </row>
    <row r="967" spans="1:21" ht="6.95" customHeight="1" x14ac:dyDescent="0.25">
      <c r="B967" s="59"/>
      <c r="C967" s="62"/>
      <c r="D967" s="62"/>
      <c r="E967" s="62"/>
      <c r="F967" s="62"/>
      <c r="G967" s="62"/>
      <c r="H967" s="62"/>
      <c r="I967" s="62"/>
      <c r="J967" s="60"/>
      <c r="L967" s="59"/>
      <c r="M967" s="62"/>
      <c r="N967" s="62"/>
      <c r="O967" s="62"/>
      <c r="P967" s="62"/>
      <c r="Q967" s="62"/>
      <c r="R967" s="62"/>
      <c r="S967" s="62"/>
      <c r="T967" s="60"/>
    </row>
    <row r="968" spans="1:21" ht="18" customHeight="1" x14ac:dyDescent="0.25">
      <c r="B968" s="61"/>
      <c r="C968" s="214" t="s">
        <v>699</v>
      </c>
      <c r="D968" s="215"/>
      <c r="E968" s="216"/>
      <c r="F968" s="62"/>
      <c r="G968" s="214" t="s">
        <v>1639</v>
      </c>
      <c r="H968" s="215"/>
      <c r="I968" s="216"/>
      <c r="J968" s="63"/>
      <c r="L968" s="61"/>
      <c r="M968" s="214" t="s">
        <v>699</v>
      </c>
      <c r="N968" s="215"/>
      <c r="O968" s="216"/>
      <c r="P968" s="62"/>
      <c r="Q968" s="214" t="s">
        <v>1639</v>
      </c>
      <c r="R968" s="215"/>
      <c r="S968" s="216"/>
      <c r="T968" s="63"/>
    </row>
    <row r="969" spans="1:21" ht="6.95" customHeight="1" x14ac:dyDescent="0.25">
      <c r="B969" s="59"/>
      <c r="C969" s="62"/>
      <c r="D969" s="62"/>
      <c r="E969" s="62"/>
      <c r="F969" s="62"/>
      <c r="G969" s="62"/>
      <c r="H969" s="62"/>
      <c r="I969" s="62"/>
      <c r="J969" s="60"/>
      <c r="L969" s="59"/>
      <c r="M969" s="62"/>
      <c r="N969" s="62"/>
      <c r="O969" s="62"/>
      <c r="P969" s="62"/>
      <c r="Q969" s="62"/>
      <c r="R969" s="62"/>
      <c r="S969" s="62"/>
      <c r="T969" s="60"/>
    </row>
    <row r="970" spans="1:21" ht="18" customHeight="1" x14ac:dyDescent="0.25">
      <c r="B970" s="61"/>
      <c r="C970" s="214" t="s">
        <v>701</v>
      </c>
      <c r="D970" s="215"/>
      <c r="E970" s="216"/>
      <c r="F970" s="62"/>
      <c r="G970" s="214" t="s">
        <v>1387</v>
      </c>
      <c r="H970" s="215"/>
      <c r="I970" s="216"/>
      <c r="J970" s="63"/>
      <c r="L970" s="61"/>
      <c r="M970" s="214" t="s">
        <v>701</v>
      </c>
      <c r="N970" s="215"/>
      <c r="O970" s="216"/>
      <c r="P970" s="62"/>
      <c r="Q970" s="214" t="s">
        <v>1388</v>
      </c>
      <c r="R970" s="215"/>
      <c r="S970" s="216"/>
      <c r="T970" s="63"/>
    </row>
    <row r="971" spans="1:21" ht="6.95" customHeight="1" x14ac:dyDescent="0.25">
      <c r="B971" s="59"/>
      <c r="C971" s="62"/>
      <c r="D971" s="62"/>
      <c r="E971" s="62"/>
      <c r="F971" s="62"/>
      <c r="G971" s="62"/>
      <c r="H971" s="62"/>
      <c r="I971" s="62"/>
      <c r="J971" s="60"/>
      <c r="L971" s="59"/>
      <c r="M971" s="62"/>
      <c r="N971" s="62"/>
      <c r="O971" s="62"/>
      <c r="P971" s="62"/>
      <c r="Q971" s="62"/>
      <c r="R971" s="62"/>
      <c r="S971" s="62"/>
      <c r="T971" s="60"/>
    </row>
    <row r="972" spans="1:21" ht="18" customHeight="1" x14ac:dyDescent="0.25">
      <c r="B972" s="61"/>
      <c r="C972" s="214" t="s">
        <v>703</v>
      </c>
      <c r="D972" s="215"/>
      <c r="E972" s="216"/>
      <c r="F972" s="62"/>
      <c r="G972" s="214" t="s">
        <v>109</v>
      </c>
      <c r="H972" s="215"/>
      <c r="I972" s="216"/>
      <c r="J972" s="63"/>
      <c r="L972" s="61"/>
      <c r="M972" s="214" t="s">
        <v>703</v>
      </c>
      <c r="N972" s="215"/>
      <c r="O972" s="216"/>
      <c r="P972" s="62"/>
      <c r="Q972" s="214" t="s">
        <v>109</v>
      </c>
      <c r="R972" s="215"/>
      <c r="S972" s="216"/>
      <c r="T972" s="63"/>
    </row>
    <row r="973" spans="1:21" ht="6.6" customHeight="1" x14ac:dyDescent="0.25">
      <c r="B973" s="59"/>
      <c r="C973" s="62"/>
      <c r="D973" s="62"/>
      <c r="E973" s="62"/>
      <c r="F973" s="62"/>
      <c r="G973" s="62"/>
      <c r="H973" s="62"/>
      <c r="I973" s="62"/>
      <c r="J973" s="60"/>
      <c r="L973" s="59"/>
      <c r="M973" s="62"/>
      <c r="N973" s="62"/>
      <c r="O973" s="62"/>
      <c r="P973" s="62"/>
      <c r="Q973" s="62"/>
      <c r="R973" s="62"/>
      <c r="S973" s="62"/>
      <c r="T973" s="60"/>
    </row>
    <row r="974" spans="1:21" ht="18" customHeight="1" x14ac:dyDescent="0.25">
      <c r="B974" s="61"/>
      <c r="C974" s="214" t="s">
        <v>705</v>
      </c>
      <c r="D974" s="215"/>
      <c r="E974" s="216"/>
      <c r="F974" s="62"/>
      <c r="G974" s="214" t="s">
        <v>109</v>
      </c>
      <c r="H974" s="215"/>
      <c r="I974" s="216"/>
      <c r="J974" s="63"/>
      <c r="L974" s="61"/>
      <c r="M974" s="214" t="s">
        <v>705</v>
      </c>
      <c r="N974" s="215"/>
      <c r="O974" s="216"/>
      <c r="P974" s="62"/>
      <c r="Q974" s="214" t="s">
        <v>109</v>
      </c>
      <c r="R974" s="215"/>
      <c r="S974" s="216"/>
      <c r="T974" s="63"/>
    </row>
    <row r="975" spans="1:21" ht="6.95" customHeight="1" x14ac:dyDescent="0.25">
      <c r="B975" s="59"/>
      <c r="C975" s="62"/>
      <c r="D975" s="62"/>
      <c r="E975" s="62"/>
      <c r="F975" s="62"/>
      <c r="G975" s="62"/>
      <c r="H975" s="62"/>
      <c r="I975" s="62"/>
      <c r="J975" s="60"/>
      <c r="L975" s="59"/>
      <c r="M975" s="62"/>
      <c r="N975" s="62"/>
      <c r="O975" s="62"/>
      <c r="P975" s="62"/>
      <c r="Q975" s="62"/>
      <c r="R975" s="62"/>
      <c r="S975" s="62"/>
      <c r="T975" s="60"/>
    </row>
    <row r="976" spans="1:21" ht="18" customHeight="1" x14ac:dyDescent="0.25">
      <c r="B976" s="61"/>
      <c r="C976" s="214" t="s">
        <v>708</v>
      </c>
      <c r="D976" s="215"/>
      <c r="E976" s="216"/>
      <c r="F976" s="62"/>
      <c r="G976" s="214" t="s">
        <v>109</v>
      </c>
      <c r="H976" s="215"/>
      <c r="I976" s="216"/>
      <c r="J976" s="63"/>
      <c r="L976" s="61"/>
      <c r="M976" s="214" t="s">
        <v>708</v>
      </c>
      <c r="N976" s="215"/>
      <c r="O976" s="216"/>
      <c r="P976" s="62"/>
      <c r="Q976" s="214" t="s">
        <v>109</v>
      </c>
      <c r="R976" s="215"/>
      <c r="S976" s="216"/>
      <c r="T976" s="63"/>
    </row>
    <row r="977" spans="2:20" ht="6.95" customHeight="1" x14ac:dyDescent="0.25">
      <c r="B977" s="59"/>
      <c r="C977" s="62"/>
      <c r="D977" s="62"/>
      <c r="E977" s="62"/>
      <c r="F977" s="62"/>
      <c r="G977" s="62"/>
      <c r="H977" s="62"/>
      <c r="I977" s="62"/>
      <c r="J977" s="60"/>
      <c r="L977" s="59"/>
      <c r="M977" s="62"/>
      <c r="N977" s="62"/>
      <c r="O977" s="62"/>
      <c r="P977" s="62"/>
      <c r="Q977" s="62"/>
      <c r="R977" s="62"/>
      <c r="S977" s="62"/>
      <c r="T977" s="60"/>
    </row>
    <row r="978" spans="2:20" ht="18" customHeight="1" x14ac:dyDescent="0.25">
      <c r="B978" s="61"/>
      <c r="C978" s="214" t="s">
        <v>711</v>
      </c>
      <c r="D978" s="215"/>
      <c r="E978" s="216"/>
      <c r="F978" s="62"/>
      <c r="G978" s="214" t="s">
        <v>712</v>
      </c>
      <c r="H978" s="215"/>
      <c r="I978" s="216"/>
      <c r="J978" s="63"/>
      <c r="L978" s="61"/>
      <c r="M978" s="214" t="s">
        <v>711</v>
      </c>
      <c r="N978" s="215"/>
      <c r="O978" s="216"/>
      <c r="P978" s="62"/>
      <c r="Q978" s="214" t="s">
        <v>712</v>
      </c>
      <c r="R978" s="215"/>
      <c r="S978" s="216"/>
      <c r="T978" s="63"/>
    </row>
    <row r="979" spans="2:20" ht="6.95" customHeight="1" x14ac:dyDescent="0.25">
      <c r="B979" s="59"/>
      <c r="C979" s="62"/>
      <c r="D979" s="62"/>
      <c r="E979" s="62"/>
      <c r="F979" s="62"/>
      <c r="G979" s="62"/>
      <c r="H979" s="62"/>
      <c r="I979" s="62"/>
      <c r="J979" s="60"/>
      <c r="L979" s="59"/>
      <c r="M979" s="62"/>
      <c r="N979" s="62"/>
      <c r="O979" s="62"/>
      <c r="P979" s="62"/>
      <c r="Q979" s="62"/>
      <c r="R979" s="62"/>
      <c r="S979" s="62"/>
      <c r="T979" s="60"/>
    </row>
    <row r="980" spans="2:20" ht="18" customHeight="1" x14ac:dyDescent="0.25">
      <c r="B980" s="61"/>
      <c r="C980" s="214" t="s">
        <v>1273</v>
      </c>
      <c r="D980" s="215"/>
      <c r="E980" s="216"/>
      <c r="F980" s="62"/>
      <c r="G980" s="214" t="s">
        <v>1449</v>
      </c>
      <c r="H980" s="215"/>
      <c r="I980" s="216"/>
      <c r="J980" s="63"/>
      <c r="L980" s="61"/>
      <c r="M980" s="214" t="s">
        <v>1273</v>
      </c>
      <c r="N980" s="215"/>
      <c r="O980" s="216"/>
      <c r="P980" s="62"/>
      <c r="Q980" s="214" t="s">
        <v>1450</v>
      </c>
      <c r="R980" s="215"/>
      <c r="S980" s="216"/>
      <c r="T980" s="63"/>
    </row>
    <row r="981" spans="2:20" ht="6.95" customHeight="1" x14ac:dyDescent="0.25">
      <c r="B981" s="59"/>
      <c r="C981" s="62"/>
      <c r="D981" s="62"/>
      <c r="E981" s="62"/>
      <c r="F981" s="62"/>
      <c r="G981" s="62"/>
      <c r="H981" s="62"/>
      <c r="I981" s="62"/>
      <c r="J981" s="60"/>
      <c r="L981" s="59"/>
      <c r="M981" s="62"/>
      <c r="N981" s="62"/>
      <c r="O981" s="62"/>
      <c r="P981" s="62"/>
      <c r="Q981" s="62"/>
      <c r="R981" s="62"/>
      <c r="S981" s="62"/>
      <c r="T981" s="60"/>
    </row>
    <row r="982" spans="2:20" ht="18" customHeight="1" x14ac:dyDescent="0.25">
      <c r="B982" s="61"/>
      <c r="C982" s="214" t="s">
        <v>713</v>
      </c>
      <c r="D982" s="215"/>
      <c r="E982" s="216"/>
      <c r="F982" s="62"/>
      <c r="G982" s="220" t="s">
        <v>1293</v>
      </c>
      <c r="H982" s="220"/>
      <c r="I982" s="220"/>
      <c r="J982" s="63"/>
      <c r="L982" s="61"/>
      <c r="M982" s="214" t="s">
        <v>713</v>
      </c>
      <c r="N982" s="215"/>
      <c r="O982" s="216"/>
      <c r="P982" s="62"/>
      <c r="Q982" s="220" t="s">
        <v>1293</v>
      </c>
      <c r="R982" s="220"/>
      <c r="S982" s="220"/>
      <c r="T982" s="63"/>
    </row>
    <row r="983" spans="2:20" ht="6.95" customHeight="1" x14ac:dyDescent="0.25">
      <c r="B983" s="59"/>
      <c r="C983" s="128"/>
      <c r="D983" s="128"/>
      <c r="E983" s="128"/>
      <c r="F983" s="62"/>
      <c r="G983" s="128"/>
      <c r="H983" s="128"/>
      <c r="I983" s="128"/>
      <c r="J983" s="63"/>
      <c r="L983" s="59"/>
      <c r="M983" s="128"/>
      <c r="N983" s="128"/>
      <c r="O983" s="128"/>
      <c r="P983" s="62"/>
      <c r="Q983" s="128"/>
      <c r="R983" s="128"/>
      <c r="S983" s="128"/>
      <c r="T983" s="63"/>
    </row>
    <row r="984" spans="2:20" ht="18" customHeight="1" x14ac:dyDescent="0.25">
      <c r="B984" s="59"/>
      <c r="C984" s="220" t="s">
        <v>715</v>
      </c>
      <c r="D984" s="220"/>
      <c r="E984" s="220"/>
      <c r="F984" s="62"/>
      <c r="G984" s="220" t="s">
        <v>1288</v>
      </c>
      <c r="H984" s="220"/>
      <c r="I984" s="220"/>
      <c r="J984" s="63"/>
      <c r="L984" s="59"/>
      <c r="M984" s="220" t="s">
        <v>715</v>
      </c>
      <c r="N984" s="220"/>
      <c r="O984" s="220"/>
      <c r="P984" s="62"/>
      <c r="Q984" s="220" t="s">
        <v>1288</v>
      </c>
      <c r="R984" s="220"/>
      <c r="S984" s="220"/>
      <c r="T984" s="63"/>
    </row>
    <row r="985" spans="2:20" ht="6.95" customHeight="1" thickBot="1" x14ac:dyDescent="0.3">
      <c r="B985" s="64"/>
      <c r="C985" s="65"/>
      <c r="D985" s="65"/>
      <c r="E985" s="65"/>
      <c r="F985" s="65"/>
      <c r="G985" s="65"/>
      <c r="H985" s="65"/>
      <c r="I985" s="65"/>
      <c r="J985" s="66"/>
      <c r="L985" s="64"/>
      <c r="M985" s="65"/>
      <c r="N985" s="65"/>
      <c r="O985" s="65"/>
      <c r="P985" s="65"/>
      <c r="Q985" s="65"/>
      <c r="R985" s="65"/>
      <c r="S985" s="65"/>
      <c r="T985" s="66"/>
    </row>
    <row r="986" spans="2:20" ht="32.1" customHeight="1" thickTop="1" x14ac:dyDescent="0.25">
      <c r="B986" s="57"/>
      <c r="C986" s="58"/>
      <c r="D986" s="217" t="s">
        <v>697</v>
      </c>
      <c r="E986" s="218"/>
      <c r="F986" s="218"/>
      <c r="G986" s="218"/>
      <c r="H986" s="218"/>
      <c r="I986" s="218"/>
      <c r="J986" s="219"/>
      <c r="L986" s="57"/>
      <c r="M986" s="58"/>
      <c r="N986" s="217" t="s">
        <v>697</v>
      </c>
      <c r="O986" s="218"/>
      <c r="P986" s="218"/>
      <c r="Q986" s="218"/>
      <c r="R986" s="218"/>
      <c r="S986" s="218"/>
      <c r="T986" s="219"/>
    </row>
    <row r="987" spans="2:20" ht="6.95" customHeight="1" x14ac:dyDescent="0.25">
      <c r="B987" s="59"/>
      <c r="J987" s="60"/>
      <c r="L987" s="59"/>
      <c r="T987" s="60"/>
    </row>
    <row r="988" spans="2:20" ht="18" customHeight="1" x14ac:dyDescent="0.25">
      <c r="B988" s="61"/>
      <c r="C988" s="214" t="s">
        <v>698</v>
      </c>
      <c r="D988" s="215"/>
      <c r="E988" s="216"/>
      <c r="F988" s="62"/>
      <c r="G988" s="214" t="s">
        <v>1451</v>
      </c>
      <c r="H988" s="215"/>
      <c r="I988" s="216"/>
      <c r="J988" s="63"/>
      <c r="L988" s="61"/>
      <c r="M988" s="214" t="s">
        <v>698</v>
      </c>
      <c r="N988" s="215"/>
      <c r="O988" s="216"/>
      <c r="P988" s="62"/>
      <c r="Q988" s="214" t="s">
        <v>1452</v>
      </c>
      <c r="R988" s="215"/>
      <c r="S988" s="216"/>
      <c r="T988" s="63"/>
    </row>
    <row r="989" spans="2:20" ht="6.95" customHeight="1" x14ac:dyDescent="0.25">
      <c r="B989" s="59"/>
      <c r="C989" s="62"/>
      <c r="D989" s="62"/>
      <c r="E989" s="62"/>
      <c r="F989" s="62"/>
      <c r="G989" s="62"/>
      <c r="H989" s="62"/>
      <c r="I989" s="62"/>
      <c r="J989" s="60"/>
      <c r="L989" s="59"/>
      <c r="M989" s="62"/>
      <c r="N989" s="62"/>
      <c r="O989" s="62"/>
      <c r="P989" s="62"/>
      <c r="Q989" s="62"/>
      <c r="R989" s="62"/>
      <c r="S989" s="62"/>
      <c r="T989" s="60"/>
    </row>
    <row r="990" spans="2:20" ht="18" customHeight="1" x14ac:dyDescent="0.25">
      <c r="B990" s="61"/>
      <c r="C990" s="214" t="s">
        <v>699</v>
      </c>
      <c r="D990" s="215"/>
      <c r="E990" s="216"/>
      <c r="F990" s="62"/>
      <c r="G990" s="214" t="s">
        <v>1639</v>
      </c>
      <c r="H990" s="215"/>
      <c r="I990" s="216"/>
      <c r="J990" s="63"/>
      <c r="L990" s="61"/>
      <c r="M990" s="214" t="s">
        <v>699</v>
      </c>
      <c r="N990" s="215"/>
      <c r="O990" s="216"/>
      <c r="P990" s="62"/>
      <c r="Q990" s="214" t="s">
        <v>1639</v>
      </c>
      <c r="R990" s="215"/>
      <c r="S990" s="216"/>
      <c r="T990" s="63"/>
    </row>
    <row r="991" spans="2:20" ht="6.95" customHeight="1" x14ac:dyDescent="0.25">
      <c r="B991" s="59"/>
      <c r="C991" s="62"/>
      <c r="D991" s="62"/>
      <c r="E991" s="62"/>
      <c r="F991" s="62"/>
      <c r="G991" s="62"/>
      <c r="H991" s="62"/>
      <c r="I991" s="62"/>
      <c r="J991" s="60"/>
      <c r="L991" s="59"/>
      <c r="M991" s="62"/>
      <c r="N991" s="62"/>
      <c r="O991" s="62"/>
      <c r="P991" s="62"/>
      <c r="Q991" s="62"/>
      <c r="R991" s="62"/>
      <c r="S991" s="62"/>
      <c r="T991" s="60"/>
    </row>
    <row r="992" spans="2:20" ht="18" customHeight="1" x14ac:dyDescent="0.25">
      <c r="B992" s="61"/>
      <c r="C992" s="214" t="s">
        <v>701</v>
      </c>
      <c r="D992" s="215"/>
      <c r="E992" s="216"/>
      <c r="F992" s="62"/>
      <c r="G992" s="214" t="s">
        <v>1388</v>
      </c>
      <c r="H992" s="215"/>
      <c r="I992" s="216"/>
      <c r="J992" s="63"/>
      <c r="L992" s="61"/>
      <c r="M992" s="214" t="s">
        <v>701</v>
      </c>
      <c r="N992" s="215"/>
      <c r="O992" s="216"/>
      <c r="P992" s="62"/>
      <c r="Q992" s="214" t="s">
        <v>1388</v>
      </c>
      <c r="R992" s="215"/>
      <c r="S992" s="216"/>
      <c r="T992" s="63"/>
    </row>
    <row r="993" spans="2:20" ht="6.95" customHeight="1" x14ac:dyDescent="0.25">
      <c r="B993" s="59"/>
      <c r="C993" s="62"/>
      <c r="D993" s="62"/>
      <c r="E993" s="62"/>
      <c r="F993" s="62"/>
      <c r="G993" s="62"/>
      <c r="H993" s="62"/>
      <c r="I993" s="62"/>
      <c r="J993" s="60"/>
      <c r="L993" s="59"/>
      <c r="M993" s="62"/>
      <c r="N993" s="62"/>
      <c r="O993" s="62"/>
      <c r="P993" s="62"/>
      <c r="Q993" s="62"/>
      <c r="R993" s="62"/>
      <c r="S993" s="62"/>
      <c r="T993" s="60"/>
    </row>
    <row r="994" spans="2:20" ht="18" customHeight="1" x14ac:dyDescent="0.25">
      <c r="B994" s="61"/>
      <c r="C994" s="214" t="s">
        <v>703</v>
      </c>
      <c r="D994" s="215"/>
      <c r="E994" s="216"/>
      <c r="F994" s="62"/>
      <c r="G994" s="214" t="s">
        <v>109</v>
      </c>
      <c r="H994" s="215"/>
      <c r="I994" s="216"/>
      <c r="J994" s="63"/>
      <c r="L994" s="61"/>
      <c r="M994" s="214" t="s">
        <v>703</v>
      </c>
      <c r="N994" s="215"/>
      <c r="O994" s="216"/>
      <c r="P994" s="62"/>
      <c r="Q994" s="214" t="s">
        <v>109</v>
      </c>
      <c r="R994" s="215"/>
      <c r="S994" s="216"/>
      <c r="T994" s="63"/>
    </row>
    <row r="995" spans="2:20" ht="6.6" customHeight="1" x14ac:dyDescent="0.25">
      <c r="B995" s="59"/>
      <c r="C995" s="62"/>
      <c r="D995" s="62"/>
      <c r="E995" s="62"/>
      <c r="F995" s="62"/>
      <c r="G995" s="62"/>
      <c r="H995" s="62"/>
      <c r="I995" s="62"/>
      <c r="J995" s="60"/>
      <c r="L995" s="59"/>
      <c r="M995" s="62"/>
      <c r="N995" s="62"/>
      <c r="O995" s="62"/>
      <c r="P995" s="62"/>
      <c r="Q995" s="62"/>
      <c r="R995" s="62"/>
      <c r="S995" s="62"/>
      <c r="T995" s="60"/>
    </row>
    <row r="996" spans="2:20" ht="18" customHeight="1" x14ac:dyDescent="0.25">
      <c r="B996" s="61"/>
      <c r="C996" s="214" t="s">
        <v>705</v>
      </c>
      <c r="D996" s="215"/>
      <c r="E996" s="216"/>
      <c r="F996" s="62"/>
      <c r="G996" s="214" t="s">
        <v>109</v>
      </c>
      <c r="H996" s="215"/>
      <c r="I996" s="216"/>
      <c r="J996" s="63"/>
      <c r="L996" s="61"/>
      <c r="M996" s="214" t="s">
        <v>705</v>
      </c>
      <c r="N996" s="215"/>
      <c r="O996" s="216"/>
      <c r="P996" s="62"/>
      <c r="Q996" s="214" t="s">
        <v>109</v>
      </c>
      <c r="R996" s="215"/>
      <c r="S996" s="216"/>
      <c r="T996" s="63"/>
    </row>
    <row r="997" spans="2:20" ht="6.95" customHeight="1" x14ac:dyDescent="0.25">
      <c r="B997" s="59"/>
      <c r="C997" s="62"/>
      <c r="D997" s="62"/>
      <c r="E997" s="62"/>
      <c r="F997" s="62"/>
      <c r="G997" s="62"/>
      <c r="H997" s="62"/>
      <c r="I997" s="62"/>
      <c r="J997" s="60"/>
      <c r="L997" s="59"/>
      <c r="M997" s="62"/>
      <c r="N997" s="62"/>
      <c r="O997" s="62"/>
      <c r="P997" s="62"/>
      <c r="Q997" s="62"/>
      <c r="R997" s="62"/>
      <c r="S997" s="62"/>
      <c r="T997" s="60"/>
    </row>
    <row r="998" spans="2:20" ht="18" customHeight="1" x14ac:dyDescent="0.25">
      <c r="B998" s="61"/>
      <c r="C998" s="214" t="s">
        <v>708</v>
      </c>
      <c r="D998" s="215"/>
      <c r="E998" s="216"/>
      <c r="F998" s="62"/>
      <c r="G998" s="214" t="s">
        <v>109</v>
      </c>
      <c r="H998" s="215"/>
      <c r="I998" s="216"/>
      <c r="J998" s="63"/>
      <c r="L998" s="61"/>
      <c r="M998" s="214" t="s">
        <v>708</v>
      </c>
      <c r="N998" s="215"/>
      <c r="O998" s="216"/>
      <c r="P998" s="62"/>
      <c r="Q998" s="214" t="s">
        <v>109</v>
      </c>
      <c r="R998" s="215"/>
      <c r="S998" s="216"/>
      <c r="T998" s="63"/>
    </row>
    <row r="999" spans="2:20" ht="6.95" customHeight="1" x14ac:dyDescent="0.25">
      <c r="B999" s="59"/>
      <c r="C999" s="62"/>
      <c r="D999" s="62"/>
      <c r="E999" s="62"/>
      <c r="F999" s="62"/>
      <c r="G999" s="62"/>
      <c r="H999" s="62"/>
      <c r="I999" s="62"/>
      <c r="J999" s="60"/>
      <c r="L999" s="59"/>
      <c r="M999" s="62"/>
      <c r="N999" s="62"/>
      <c r="O999" s="62"/>
      <c r="P999" s="62"/>
      <c r="Q999" s="62"/>
      <c r="R999" s="62"/>
      <c r="S999" s="62"/>
      <c r="T999" s="60"/>
    </row>
    <row r="1000" spans="2:20" ht="18" customHeight="1" x14ac:dyDescent="0.25">
      <c r="B1000" s="61"/>
      <c r="C1000" s="214" t="s">
        <v>711</v>
      </c>
      <c r="D1000" s="215"/>
      <c r="E1000" s="216"/>
      <c r="F1000" s="62"/>
      <c r="G1000" s="214" t="s">
        <v>712</v>
      </c>
      <c r="H1000" s="215"/>
      <c r="I1000" s="216"/>
      <c r="J1000" s="63"/>
      <c r="L1000" s="61"/>
      <c r="M1000" s="214" t="s">
        <v>711</v>
      </c>
      <c r="N1000" s="215"/>
      <c r="O1000" s="216"/>
      <c r="P1000" s="62"/>
      <c r="Q1000" s="214" t="s">
        <v>712</v>
      </c>
      <c r="R1000" s="215"/>
      <c r="S1000" s="216"/>
      <c r="T1000" s="63"/>
    </row>
    <row r="1001" spans="2:20" ht="6.95" customHeight="1" x14ac:dyDescent="0.25">
      <c r="B1001" s="59"/>
      <c r="C1001" s="62"/>
      <c r="D1001" s="62"/>
      <c r="E1001" s="62"/>
      <c r="F1001" s="62"/>
      <c r="G1001" s="62"/>
      <c r="H1001" s="62"/>
      <c r="I1001" s="62"/>
      <c r="J1001" s="60"/>
      <c r="L1001" s="59"/>
      <c r="M1001" s="62"/>
      <c r="N1001" s="62"/>
      <c r="O1001" s="62"/>
      <c r="P1001" s="62"/>
      <c r="Q1001" s="62"/>
      <c r="R1001" s="62"/>
      <c r="S1001" s="62"/>
      <c r="T1001" s="60"/>
    </row>
    <row r="1002" spans="2:20" ht="18" customHeight="1" x14ac:dyDescent="0.25">
      <c r="B1002" s="61"/>
      <c r="C1002" s="214" t="s">
        <v>1273</v>
      </c>
      <c r="D1002" s="215"/>
      <c r="E1002" s="216"/>
      <c r="F1002" s="62"/>
      <c r="G1002" s="214" t="s">
        <v>1453</v>
      </c>
      <c r="H1002" s="215"/>
      <c r="I1002" s="216"/>
      <c r="J1002" s="63"/>
      <c r="L1002" s="61"/>
      <c r="M1002" s="214" t="s">
        <v>1273</v>
      </c>
      <c r="N1002" s="215"/>
      <c r="O1002" s="216"/>
      <c r="P1002" s="62"/>
      <c r="Q1002" s="214" t="s">
        <v>1454</v>
      </c>
      <c r="R1002" s="215"/>
      <c r="S1002" s="216"/>
      <c r="T1002" s="63"/>
    </row>
    <row r="1003" spans="2:20" ht="6.95" customHeight="1" x14ac:dyDescent="0.25">
      <c r="B1003" s="59"/>
      <c r="C1003" s="62"/>
      <c r="D1003" s="62"/>
      <c r="E1003" s="62"/>
      <c r="F1003" s="62"/>
      <c r="G1003" s="62"/>
      <c r="H1003" s="62"/>
      <c r="I1003" s="62"/>
      <c r="J1003" s="60"/>
      <c r="L1003" s="59"/>
      <c r="M1003" s="62"/>
      <c r="N1003" s="62"/>
      <c r="O1003" s="62"/>
      <c r="P1003" s="62"/>
      <c r="Q1003" s="62"/>
      <c r="R1003" s="62"/>
      <c r="S1003" s="62"/>
      <c r="T1003" s="60"/>
    </row>
    <row r="1004" spans="2:20" ht="18" customHeight="1" x14ac:dyDescent="0.25">
      <c r="B1004" s="61"/>
      <c r="C1004" s="214" t="s">
        <v>713</v>
      </c>
      <c r="D1004" s="215"/>
      <c r="E1004" s="216"/>
      <c r="F1004" s="62"/>
      <c r="G1004" s="220" t="s">
        <v>1293</v>
      </c>
      <c r="H1004" s="220"/>
      <c r="I1004" s="220"/>
      <c r="J1004" s="63"/>
      <c r="L1004" s="61"/>
      <c r="M1004" s="214" t="s">
        <v>713</v>
      </c>
      <c r="N1004" s="215"/>
      <c r="O1004" s="216"/>
      <c r="P1004" s="62"/>
      <c r="Q1004" s="220" t="s">
        <v>1293</v>
      </c>
      <c r="R1004" s="220"/>
      <c r="S1004" s="220"/>
      <c r="T1004" s="63"/>
    </row>
    <row r="1005" spans="2:20" ht="6.95" customHeight="1" x14ac:dyDescent="0.25">
      <c r="B1005" s="59"/>
      <c r="C1005" s="128"/>
      <c r="D1005" s="128"/>
      <c r="E1005" s="128"/>
      <c r="F1005" s="62"/>
      <c r="G1005" s="128"/>
      <c r="H1005" s="128"/>
      <c r="I1005" s="128"/>
      <c r="J1005" s="63"/>
      <c r="L1005" s="59"/>
      <c r="M1005" s="128"/>
      <c r="N1005" s="128"/>
      <c r="O1005" s="128"/>
      <c r="P1005" s="62"/>
      <c r="Q1005" s="128"/>
      <c r="R1005" s="128"/>
      <c r="S1005" s="128"/>
      <c r="T1005" s="63"/>
    </row>
    <row r="1006" spans="2:20" ht="18" customHeight="1" x14ac:dyDescent="0.25">
      <c r="B1006" s="59"/>
      <c r="C1006" s="220" t="s">
        <v>715</v>
      </c>
      <c r="D1006" s="220"/>
      <c r="E1006" s="220"/>
      <c r="F1006" s="62"/>
      <c r="G1006" s="220" t="s">
        <v>1288</v>
      </c>
      <c r="H1006" s="220"/>
      <c r="I1006" s="220"/>
      <c r="J1006" s="63"/>
      <c r="L1006" s="59"/>
      <c r="M1006" s="220" t="s">
        <v>715</v>
      </c>
      <c r="N1006" s="220"/>
      <c r="O1006" s="220"/>
      <c r="P1006" s="62"/>
      <c r="Q1006" s="220" t="s">
        <v>1288</v>
      </c>
      <c r="R1006" s="220"/>
      <c r="S1006" s="220"/>
      <c r="T1006" s="63"/>
    </row>
    <row r="1007" spans="2:20" ht="6.95" customHeight="1" thickBot="1" x14ac:dyDescent="0.3">
      <c r="B1007" s="64"/>
      <c r="C1007" s="65"/>
      <c r="D1007" s="65"/>
      <c r="E1007" s="65"/>
      <c r="F1007" s="65"/>
      <c r="G1007" s="65"/>
      <c r="H1007" s="65"/>
      <c r="I1007" s="65"/>
      <c r="J1007" s="66"/>
      <c r="L1007" s="64"/>
      <c r="M1007" s="65"/>
      <c r="N1007" s="65"/>
      <c r="O1007" s="65"/>
      <c r="P1007" s="65"/>
      <c r="Q1007" s="65"/>
      <c r="R1007" s="65"/>
      <c r="S1007" s="65"/>
      <c r="T1007" s="66"/>
    </row>
    <row r="1008" spans="2:20" ht="32.1" customHeight="1" thickTop="1" x14ac:dyDescent="0.25">
      <c r="B1008" s="57"/>
      <c r="C1008" s="58"/>
      <c r="D1008" s="217" t="s">
        <v>697</v>
      </c>
      <c r="E1008" s="218"/>
      <c r="F1008" s="218"/>
      <c r="G1008" s="218"/>
      <c r="H1008" s="218"/>
      <c r="I1008" s="218"/>
      <c r="J1008" s="219"/>
      <c r="L1008" s="57"/>
      <c r="M1008" s="58"/>
      <c r="N1008" s="217" t="s">
        <v>697</v>
      </c>
      <c r="O1008" s="218"/>
      <c r="P1008" s="218"/>
      <c r="Q1008" s="218"/>
      <c r="R1008" s="218"/>
      <c r="S1008" s="218"/>
      <c r="T1008" s="219"/>
    </row>
    <row r="1009" spans="2:20" ht="6.95" customHeight="1" x14ac:dyDescent="0.25">
      <c r="B1009" s="59"/>
      <c r="J1009" s="60"/>
      <c r="L1009" s="59"/>
      <c r="T1009" s="60"/>
    </row>
    <row r="1010" spans="2:20" ht="18" customHeight="1" x14ac:dyDescent="0.25">
      <c r="B1010" s="61"/>
      <c r="C1010" s="214" t="s">
        <v>698</v>
      </c>
      <c r="D1010" s="215"/>
      <c r="E1010" s="216"/>
      <c r="F1010" s="62"/>
      <c r="G1010" s="214" t="s">
        <v>1455</v>
      </c>
      <c r="H1010" s="215"/>
      <c r="I1010" s="216"/>
      <c r="J1010" s="63"/>
      <c r="L1010" s="61"/>
      <c r="M1010" s="214" t="s">
        <v>698</v>
      </c>
      <c r="N1010" s="215"/>
      <c r="O1010" s="216"/>
      <c r="P1010" s="62"/>
      <c r="Q1010" s="214" t="s">
        <v>1456</v>
      </c>
      <c r="R1010" s="215"/>
      <c r="S1010" s="216"/>
      <c r="T1010" s="63"/>
    </row>
    <row r="1011" spans="2:20" ht="6.95" customHeight="1" x14ac:dyDescent="0.25">
      <c r="B1011" s="59"/>
      <c r="C1011" s="62"/>
      <c r="D1011" s="62"/>
      <c r="E1011" s="62"/>
      <c r="F1011" s="62"/>
      <c r="G1011" s="62"/>
      <c r="H1011" s="62"/>
      <c r="I1011" s="62"/>
      <c r="J1011" s="60"/>
      <c r="L1011" s="59"/>
      <c r="M1011" s="62"/>
      <c r="N1011" s="62"/>
      <c r="O1011" s="62"/>
      <c r="P1011" s="62"/>
      <c r="Q1011" s="62"/>
      <c r="R1011" s="62"/>
      <c r="S1011" s="62"/>
      <c r="T1011" s="60"/>
    </row>
    <row r="1012" spans="2:20" ht="18" customHeight="1" x14ac:dyDescent="0.25">
      <c r="B1012" s="61"/>
      <c r="C1012" s="214" t="s">
        <v>699</v>
      </c>
      <c r="D1012" s="215"/>
      <c r="E1012" s="216"/>
      <c r="F1012" s="62"/>
      <c r="G1012" s="214" t="s">
        <v>1639</v>
      </c>
      <c r="H1012" s="215"/>
      <c r="I1012" s="216"/>
      <c r="J1012" s="63"/>
      <c r="L1012" s="61"/>
      <c r="M1012" s="214" t="s">
        <v>699</v>
      </c>
      <c r="N1012" s="215"/>
      <c r="O1012" s="216"/>
      <c r="P1012" s="62"/>
      <c r="Q1012" s="214" t="s">
        <v>1640</v>
      </c>
      <c r="R1012" s="215"/>
      <c r="S1012" s="216"/>
      <c r="T1012" s="63"/>
    </row>
    <row r="1013" spans="2:20" ht="6.95" customHeight="1" x14ac:dyDescent="0.25">
      <c r="B1013" s="59"/>
      <c r="C1013" s="62"/>
      <c r="D1013" s="62"/>
      <c r="E1013" s="62"/>
      <c r="F1013" s="62"/>
      <c r="G1013" s="62"/>
      <c r="H1013" s="62"/>
      <c r="I1013" s="62"/>
      <c r="J1013" s="60"/>
      <c r="L1013" s="59"/>
      <c r="M1013" s="62"/>
      <c r="N1013" s="62"/>
      <c r="O1013" s="62"/>
      <c r="P1013" s="62"/>
      <c r="Q1013" s="62"/>
      <c r="R1013" s="62"/>
      <c r="S1013" s="62"/>
      <c r="T1013" s="60"/>
    </row>
    <row r="1014" spans="2:20" ht="18" customHeight="1" x14ac:dyDescent="0.25">
      <c r="B1014" s="61"/>
      <c r="C1014" s="214" t="s">
        <v>701</v>
      </c>
      <c r="D1014" s="215"/>
      <c r="E1014" s="216"/>
      <c r="F1014" s="62"/>
      <c r="G1014" s="214" t="s">
        <v>1388</v>
      </c>
      <c r="H1014" s="215"/>
      <c r="I1014" s="216"/>
      <c r="J1014" s="63"/>
      <c r="L1014" s="61"/>
      <c r="M1014" s="214" t="s">
        <v>701</v>
      </c>
      <c r="N1014" s="215"/>
      <c r="O1014" s="216"/>
      <c r="P1014" s="62"/>
      <c r="Q1014" s="214" t="s">
        <v>750</v>
      </c>
      <c r="R1014" s="215"/>
      <c r="S1014" s="216"/>
      <c r="T1014" s="63"/>
    </row>
    <row r="1015" spans="2:20" ht="6.95" customHeight="1" x14ac:dyDescent="0.25">
      <c r="B1015" s="59"/>
      <c r="C1015" s="62"/>
      <c r="D1015" s="62"/>
      <c r="E1015" s="62"/>
      <c r="F1015" s="62"/>
      <c r="G1015" s="62"/>
      <c r="H1015" s="62"/>
      <c r="I1015" s="62"/>
      <c r="J1015" s="60"/>
      <c r="L1015" s="59"/>
      <c r="M1015" s="62"/>
      <c r="N1015" s="62"/>
      <c r="O1015" s="62"/>
      <c r="P1015" s="62"/>
      <c r="Q1015" s="62"/>
      <c r="R1015" s="62"/>
      <c r="S1015" s="62"/>
      <c r="T1015" s="60"/>
    </row>
    <row r="1016" spans="2:20" ht="18" customHeight="1" x14ac:dyDescent="0.25">
      <c r="B1016" s="61"/>
      <c r="C1016" s="214" t="s">
        <v>703</v>
      </c>
      <c r="D1016" s="215"/>
      <c r="E1016" s="216"/>
      <c r="F1016" s="62"/>
      <c r="G1016" s="214" t="s">
        <v>109</v>
      </c>
      <c r="H1016" s="215"/>
      <c r="I1016" s="216"/>
      <c r="J1016" s="63"/>
      <c r="L1016" s="61"/>
      <c r="M1016" s="214" t="s">
        <v>703</v>
      </c>
      <c r="N1016" s="215"/>
      <c r="O1016" s="216"/>
      <c r="P1016" s="62"/>
      <c r="Q1016" s="214" t="s">
        <v>109</v>
      </c>
      <c r="R1016" s="215"/>
      <c r="S1016" s="216"/>
      <c r="T1016" s="63"/>
    </row>
    <row r="1017" spans="2:20" ht="6.6" customHeight="1" x14ac:dyDescent="0.25">
      <c r="B1017" s="59"/>
      <c r="C1017" s="62"/>
      <c r="D1017" s="62"/>
      <c r="E1017" s="62"/>
      <c r="F1017" s="62"/>
      <c r="G1017" s="62"/>
      <c r="H1017" s="62"/>
      <c r="I1017" s="62"/>
      <c r="J1017" s="60"/>
      <c r="L1017" s="59"/>
      <c r="M1017" s="62"/>
      <c r="N1017" s="62"/>
      <c r="O1017" s="62"/>
      <c r="P1017" s="62"/>
      <c r="Q1017" s="62"/>
      <c r="R1017" s="62"/>
      <c r="S1017" s="62"/>
      <c r="T1017" s="60"/>
    </row>
    <row r="1018" spans="2:20" ht="18" customHeight="1" x14ac:dyDescent="0.25">
      <c r="B1018" s="61"/>
      <c r="C1018" s="214" t="s">
        <v>705</v>
      </c>
      <c r="D1018" s="215"/>
      <c r="E1018" s="216"/>
      <c r="F1018" s="62"/>
      <c r="G1018" s="214" t="s">
        <v>109</v>
      </c>
      <c r="H1018" s="215"/>
      <c r="I1018" s="216"/>
      <c r="J1018" s="63"/>
      <c r="L1018" s="61"/>
      <c r="M1018" s="214" t="s">
        <v>705</v>
      </c>
      <c r="N1018" s="215"/>
      <c r="O1018" s="216"/>
      <c r="P1018" s="62"/>
      <c r="Q1018" s="214" t="s">
        <v>1397</v>
      </c>
      <c r="R1018" s="215"/>
      <c r="S1018" s="216"/>
      <c r="T1018" s="63"/>
    </row>
    <row r="1019" spans="2:20" ht="6.95" customHeight="1" x14ac:dyDescent="0.25">
      <c r="B1019" s="59"/>
      <c r="C1019" s="62"/>
      <c r="D1019" s="62"/>
      <c r="E1019" s="62"/>
      <c r="F1019" s="62"/>
      <c r="G1019" s="62"/>
      <c r="H1019" s="62"/>
      <c r="I1019" s="62"/>
      <c r="J1019" s="60"/>
      <c r="L1019" s="59"/>
      <c r="M1019" s="62"/>
      <c r="N1019" s="62"/>
      <c r="O1019" s="62"/>
      <c r="P1019" s="62"/>
      <c r="Q1019" s="62"/>
      <c r="R1019" s="62"/>
      <c r="S1019" s="62"/>
      <c r="T1019" s="60"/>
    </row>
    <row r="1020" spans="2:20" ht="18" customHeight="1" x14ac:dyDescent="0.25">
      <c r="B1020" s="61"/>
      <c r="C1020" s="214" t="s">
        <v>708</v>
      </c>
      <c r="D1020" s="215"/>
      <c r="E1020" s="216"/>
      <c r="F1020" s="62"/>
      <c r="G1020" s="214" t="s">
        <v>109</v>
      </c>
      <c r="H1020" s="215"/>
      <c r="I1020" s="216"/>
      <c r="J1020" s="63"/>
      <c r="L1020" s="61"/>
      <c r="M1020" s="214" t="s">
        <v>708</v>
      </c>
      <c r="N1020" s="215"/>
      <c r="O1020" s="216"/>
      <c r="P1020" s="62"/>
      <c r="Q1020" s="214" t="s">
        <v>1398</v>
      </c>
      <c r="R1020" s="215"/>
      <c r="S1020" s="216"/>
      <c r="T1020" s="63"/>
    </row>
    <row r="1021" spans="2:20" ht="6.95" customHeight="1" x14ac:dyDescent="0.25">
      <c r="B1021" s="59"/>
      <c r="C1021" s="62"/>
      <c r="D1021" s="62"/>
      <c r="E1021" s="62"/>
      <c r="F1021" s="62"/>
      <c r="G1021" s="62"/>
      <c r="H1021" s="62"/>
      <c r="I1021" s="62"/>
      <c r="J1021" s="60"/>
      <c r="L1021" s="59"/>
      <c r="M1021" s="62"/>
      <c r="N1021" s="62"/>
      <c r="O1021" s="62"/>
      <c r="P1021" s="62"/>
      <c r="Q1021" s="62"/>
      <c r="R1021" s="62"/>
      <c r="S1021" s="62"/>
      <c r="T1021" s="60"/>
    </row>
    <row r="1022" spans="2:20" ht="18" customHeight="1" x14ac:dyDescent="0.25">
      <c r="B1022" s="61"/>
      <c r="C1022" s="214" t="s">
        <v>711</v>
      </c>
      <c r="D1022" s="215"/>
      <c r="E1022" s="216"/>
      <c r="F1022" s="62"/>
      <c r="G1022" s="214" t="s">
        <v>712</v>
      </c>
      <c r="H1022" s="215"/>
      <c r="I1022" s="216"/>
      <c r="J1022" s="63"/>
      <c r="L1022" s="61"/>
      <c r="M1022" s="214" t="s">
        <v>711</v>
      </c>
      <c r="N1022" s="215"/>
      <c r="O1022" s="216"/>
      <c r="P1022" s="62"/>
      <c r="Q1022" s="214" t="s">
        <v>712</v>
      </c>
      <c r="R1022" s="215"/>
      <c r="S1022" s="216"/>
      <c r="T1022" s="63"/>
    </row>
    <row r="1023" spans="2:20" ht="6.95" customHeight="1" x14ac:dyDescent="0.25">
      <c r="B1023" s="59"/>
      <c r="C1023" s="62"/>
      <c r="D1023" s="62"/>
      <c r="E1023" s="62"/>
      <c r="F1023" s="62"/>
      <c r="G1023" s="62"/>
      <c r="H1023" s="62"/>
      <c r="I1023" s="62"/>
      <c r="J1023" s="60"/>
      <c r="L1023" s="59"/>
      <c r="M1023" s="62"/>
      <c r="N1023" s="62"/>
      <c r="O1023" s="62"/>
      <c r="P1023" s="62"/>
      <c r="Q1023" s="62"/>
      <c r="R1023" s="62"/>
      <c r="S1023" s="62"/>
      <c r="T1023" s="60"/>
    </row>
    <row r="1024" spans="2:20" ht="18" customHeight="1" x14ac:dyDescent="0.25">
      <c r="B1024" s="61"/>
      <c r="C1024" s="214" t="s">
        <v>1273</v>
      </c>
      <c r="D1024" s="215"/>
      <c r="E1024" s="216"/>
      <c r="F1024" s="62"/>
      <c r="G1024" s="214" t="s">
        <v>1457</v>
      </c>
      <c r="H1024" s="215"/>
      <c r="I1024" s="216"/>
      <c r="J1024" s="63"/>
      <c r="L1024" s="61"/>
      <c r="M1024" s="214" t="s">
        <v>1273</v>
      </c>
      <c r="N1024" s="215"/>
      <c r="O1024" s="216"/>
      <c r="P1024" s="62"/>
      <c r="Q1024" s="214" t="s">
        <v>1458</v>
      </c>
      <c r="R1024" s="215"/>
      <c r="S1024" s="216"/>
      <c r="T1024" s="63"/>
    </row>
    <row r="1025" spans="2:20" ht="6.95" customHeight="1" x14ac:dyDescent="0.25">
      <c r="B1025" s="59"/>
      <c r="C1025" s="62"/>
      <c r="D1025" s="62"/>
      <c r="E1025" s="62"/>
      <c r="F1025" s="62"/>
      <c r="G1025" s="62"/>
      <c r="H1025" s="62"/>
      <c r="I1025" s="62"/>
      <c r="J1025" s="60"/>
      <c r="L1025" s="59"/>
      <c r="M1025" s="62"/>
      <c r="N1025" s="62"/>
      <c r="O1025" s="62"/>
      <c r="P1025" s="62"/>
      <c r="Q1025" s="62"/>
      <c r="R1025" s="62"/>
      <c r="S1025" s="62"/>
      <c r="T1025" s="60"/>
    </row>
    <row r="1026" spans="2:20" ht="18" customHeight="1" x14ac:dyDescent="0.25">
      <c r="B1026" s="61"/>
      <c r="C1026" s="214" t="s">
        <v>713</v>
      </c>
      <c r="D1026" s="215"/>
      <c r="E1026" s="216"/>
      <c r="F1026" s="62"/>
      <c r="G1026" s="220" t="s">
        <v>1293</v>
      </c>
      <c r="H1026" s="220"/>
      <c r="I1026" s="220"/>
      <c r="J1026" s="63"/>
      <c r="L1026" s="61"/>
      <c r="M1026" s="214" t="s">
        <v>713</v>
      </c>
      <c r="N1026" s="215"/>
      <c r="O1026" s="216"/>
      <c r="P1026" s="62"/>
      <c r="Q1026" s="220" t="s">
        <v>1293</v>
      </c>
      <c r="R1026" s="220"/>
      <c r="S1026" s="220"/>
      <c r="T1026" s="63"/>
    </row>
    <row r="1027" spans="2:20" ht="6.95" customHeight="1" x14ac:dyDescent="0.25">
      <c r="B1027" s="59"/>
      <c r="C1027" s="128"/>
      <c r="D1027" s="128"/>
      <c r="E1027" s="128"/>
      <c r="F1027" s="62"/>
      <c r="G1027" s="128"/>
      <c r="H1027" s="128"/>
      <c r="I1027" s="128"/>
      <c r="J1027" s="63"/>
      <c r="L1027" s="59"/>
      <c r="M1027" s="128"/>
      <c r="N1027" s="128"/>
      <c r="O1027" s="128"/>
      <c r="P1027" s="62"/>
      <c r="Q1027" s="128"/>
      <c r="R1027" s="128"/>
      <c r="S1027" s="128"/>
      <c r="T1027" s="63"/>
    </row>
    <row r="1028" spans="2:20" ht="18" customHeight="1" x14ac:dyDescent="0.25">
      <c r="B1028" s="59"/>
      <c r="C1028" s="220" t="s">
        <v>715</v>
      </c>
      <c r="D1028" s="220"/>
      <c r="E1028" s="220"/>
      <c r="F1028" s="62"/>
      <c r="G1028" s="220" t="s">
        <v>1288</v>
      </c>
      <c r="H1028" s="220"/>
      <c r="I1028" s="220"/>
      <c r="J1028" s="63"/>
      <c r="L1028" s="59"/>
      <c r="M1028" s="220" t="s">
        <v>715</v>
      </c>
      <c r="N1028" s="220"/>
      <c r="O1028" s="220"/>
      <c r="P1028" s="62"/>
      <c r="Q1028" s="220" t="s">
        <v>1288</v>
      </c>
      <c r="R1028" s="220"/>
      <c r="S1028" s="220"/>
      <c r="T1028" s="63"/>
    </row>
    <row r="1029" spans="2:20" ht="6.95" customHeight="1" thickBot="1" x14ac:dyDescent="0.3">
      <c r="B1029" s="64"/>
      <c r="C1029" s="65"/>
      <c r="D1029" s="65"/>
      <c r="E1029" s="65"/>
      <c r="F1029" s="65"/>
      <c r="G1029" s="65"/>
      <c r="H1029" s="65"/>
      <c r="I1029" s="65"/>
      <c r="J1029" s="66"/>
      <c r="L1029" s="64"/>
      <c r="M1029" s="65"/>
      <c r="N1029" s="65"/>
      <c r="O1029" s="65"/>
      <c r="P1029" s="65"/>
      <c r="Q1029" s="65"/>
      <c r="R1029" s="65"/>
      <c r="S1029" s="65"/>
      <c r="T1029" s="66"/>
    </row>
    <row r="1030" spans="2:20" ht="32.1" customHeight="1" thickTop="1" x14ac:dyDescent="0.25">
      <c r="B1030" s="57"/>
      <c r="C1030" s="58"/>
      <c r="D1030" s="217" t="s">
        <v>697</v>
      </c>
      <c r="E1030" s="218"/>
      <c r="F1030" s="218"/>
      <c r="G1030" s="218"/>
      <c r="H1030" s="218"/>
      <c r="I1030" s="218"/>
      <c r="J1030" s="219"/>
    </row>
    <row r="1031" spans="2:20" ht="6.95" customHeight="1" x14ac:dyDescent="0.25">
      <c r="B1031" s="59"/>
      <c r="J1031" s="60"/>
    </row>
    <row r="1032" spans="2:20" ht="18" customHeight="1" x14ac:dyDescent="0.25">
      <c r="B1032" s="61"/>
      <c r="C1032" s="214" t="s">
        <v>698</v>
      </c>
      <c r="D1032" s="215"/>
      <c r="E1032" s="216"/>
      <c r="F1032" s="62"/>
      <c r="G1032" s="214" t="s">
        <v>1459</v>
      </c>
      <c r="H1032" s="215"/>
      <c r="I1032" s="216"/>
      <c r="J1032" s="63"/>
    </row>
    <row r="1033" spans="2:20" ht="6.95" customHeight="1" x14ac:dyDescent="0.25">
      <c r="B1033" s="59"/>
      <c r="C1033" s="62"/>
      <c r="D1033" s="62"/>
      <c r="E1033" s="62"/>
      <c r="F1033" s="62"/>
      <c r="G1033" s="62"/>
      <c r="H1033" s="62"/>
      <c r="I1033" s="62"/>
      <c r="J1033" s="60"/>
    </row>
    <row r="1034" spans="2:20" ht="18" customHeight="1" x14ac:dyDescent="0.25">
      <c r="B1034" s="61"/>
      <c r="C1034" s="214" t="s">
        <v>699</v>
      </c>
      <c r="D1034" s="215"/>
      <c r="E1034" s="216"/>
      <c r="F1034" s="62"/>
      <c r="G1034" s="214" t="s">
        <v>1639</v>
      </c>
      <c r="H1034" s="215"/>
      <c r="I1034" s="216"/>
      <c r="J1034" s="63"/>
    </row>
    <row r="1035" spans="2:20" ht="6.95" customHeight="1" x14ac:dyDescent="0.25">
      <c r="B1035" s="59"/>
      <c r="C1035" s="62"/>
      <c r="D1035" s="62"/>
      <c r="E1035" s="62"/>
      <c r="F1035" s="62"/>
      <c r="G1035" s="62"/>
      <c r="H1035" s="62"/>
      <c r="I1035" s="62"/>
      <c r="J1035" s="60"/>
    </row>
    <row r="1036" spans="2:20" ht="18" customHeight="1" x14ac:dyDescent="0.25">
      <c r="B1036" s="61"/>
      <c r="C1036" s="214" t="s">
        <v>701</v>
      </c>
      <c r="D1036" s="215"/>
      <c r="E1036" s="216"/>
      <c r="F1036" s="62"/>
      <c r="G1036" s="214" t="s">
        <v>1402</v>
      </c>
      <c r="H1036" s="215"/>
      <c r="I1036" s="216"/>
      <c r="J1036" s="63"/>
    </row>
    <row r="1037" spans="2:20" ht="6.95" customHeight="1" x14ac:dyDescent="0.25">
      <c r="B1037" s="59"/>
      <c r="C1037" s="62"/>
      <c r="D1037" s="62"/>
      <c r="E1037" s="62"/>
      <c r="F1037" s="62"/>
      <c r="G1037" s="62"/>
      <c r="H1037" s="62"/>
      <c r="I1037" s="62"/>
      <c r="J1037" s="60"/>
    </row>
    <row r="1038" spans="2:20" ht="18" customHeight="1" x14ac:dyDescent="0.25">
      <c r="B1038" s="61"/>
      <c r="C1038" s="214" t="s">
        <v>703</v>
      </c>
      <c r="D1038" s="215"/>
      <c r="E1038" s="216"/>
      <c r="F1038" s="62"/>
      <c r="G1038" s="214" t="s">
        <v>109</v>
      </c>
      <c r="H1038" s="215"/>
      <c r="I1038" s="216"/>
      <c r="J1038" s="63"/>
    </row>
    <row r="1039" spans="2:20" ht="6.6" customHeight="1" x14ac:dyDescent="0.25">
      <c r="B1039" s="59"/>
      <c r="C1039" s="62"/>
      <c r="D1039" s="62"/>
      <c r="E1039" s="62"/>
      <c r="F1039" s="62"/>
      <c r="G1039" s="62"/>
      <c r="H1039" s="62"/>
      <c r="I1039" s="62"/>
      <c r="J1039" s="60"/>
    </row>
    <row r="1040" spans="2:20" ht="18" customHeight="1" x14ac:dyDescent="0.25">
      <c r="B1040" s="61"/>
      <c r="C1040" s="214" t="s">
        <v>705</v>
      </c>
      <c r="D1040" s="215"/>
      <c r="E1040" s="216"/>
      <c r="F1040" s="62"/>
      <c r="G1040" s="214" t="s">
        <v>109</v>
      </c>
      <c r="H1040" s="215"/>
      <c r="I1040" s="216"/>
      <c r="J1040" s="63"/>
    </row>
    <row r="1041" spans="2:40" ht="6.95" customHeight="1" x14ac:dyDescent="0.25">
      <c r="B1041" s="59"/>
      <c r="C1041" s="62"/>
      <c r="D1041" s="62"/>
      <c r="E1041" s="62"/>
      <c r="F1041" s="62"/>
      <c r="G1041" s="62"/>
      <c r="H1041" s="62"/>
      <c r="I1041" s="62"/>
      <c r="J1041" s="60"/>
    </row>
    <row r="1042" spans="2:40" ht="18" customHeight="1" x14ac:dyDescent="0.25">
      <c r="B1042" s="61"/>
      <c r="C1042" s="214" t="s">
        <v>708</v>
      </c>
      <c r="D1042" s="215"/>
      <c r="E1042" s="216"/>
      <c r="F1042" s="62"/>
      <c r="G1042" s="214" t="s">
        <v>109</v>
      </c>
      <c r="H1042" s="215"/>
      <c r="I1042" s="216"/>
      <c r="J1042" s="63"/>
    </row>
    <row r="1043" spans="2:40" ht="6.95" customHeight="1" x14ac:dyDescent="0.25">
      <c r="B1043" s="59"/>
      <c r="C1043" s="62"/>
      <c r="D1043" s="62"/>
      <c r="E1043" s="62"/>
      <c r="F1043" s="62"/>
      <c r="G1043" s="62"/>
      <c r="H1043" s="62"/>
      <c r="I1043" s="62"/>
      <c r="J1043" s="60"/>
    </row>
    <row r="1044" spans="2:40" ht="18" customHeight="1" x14ac:dyDescent="0.25">
      <c r="B1044" s="61"/>
      <c r="C1044" s="214" t="s">
        <v>711</v>
      </c>
      <c r="D1044" s="215"/>
      <c r="E1044" s="216"/>
      <c r="F1044" s="62"/>
      <c r="G1044" s="214" t="s">
        <v>712</v>
      </c>
      <c r="H1044" s="215"/>
      <c r="I1044" s="216"/>
      <c r="J1044" s="63"/>
    </row>
    <row r="1045" spans="2:40" ht="6.95" customHeight="1" x14ac:dyDescent="0.25">
      <c r="B1045" s="59"/>
      <c r="C1045" s="62"/>
      <c r="D1045" s="62"/>
      <c r="E1045" s="62"/>
      <c r="F1045" s="62"/>
      <c r="G1045" s="62"/>
      <c r="H1045" s="62"/>
      <c r="I1045" s="62"/>
      <c r="J1045" s="60"/>
    </row>
    <row r="1046" spans="2:40" ht="18" customHeight="1" x14ac:dyDescent="0.25">
      <c r="B1046" s="61"/>
      <c r="C1046" s="214" t="s">
        <v>1273</v>
      </c>
      <c r="D1046" s="215"/>
      <c r="E1046" s="216"/>
      <c r="F1046" s="62"/>
      <c r="G1046" s="214" t="s">
        <v>1460</v>
      </c>
      <c r="H1046" s="215"/>
      <c r="I1046" s="216"/>
      <c r="J1046" s="63"/>
    </row>
    <row r="1047" spans="2:40" ht="6.95" customHeight="1" x14ac:dyDescent="0.25">
      <c r="B1047" s="59"/>
      <c r="C1047" s="62"/>
      <c r="D1047" s="62"/>
      <c r="E1047" s="62"/>
      <c r="F1047" s="62"/>
      <c r="G1047" s="62"/>
      <c r="H1047" s="62"/>
      <c r="I1047" s="62"/>
      <c r="J1047" s="60"/>
    </row>
    <row r="1048" spans="2:40" ht="18" customHeight="1" x14ac:dyDescent="0.25">
      <c r="B1048" s="61"/>
      <c r="C1048" s="214" t="s">
        <v>713</v>
      </c>
      <c r="D1048" s="215"/>
      <c r="E1048" s="216"/>
      <c r="F1048" s="62"/>
      <c r="G1048" s="220" t="s">
        <v>1293</v>
      </c>
      <c r="H1048" s="220"/>
      <c r="I1048" s="220"/>
      <c r="J1048" s="63"/>
    </row>
    <row r="1049" spans="2:40" ht="6.95" customHeight="1" x14ac:dyDescent="0.25">
      <c r="B1049" s="59"/>
      <c r="C1049" s="128"/>
      <c r="D1049" s="128"/>
      <c r="E1049" s="128"/>
      <c r="F1049" s="62"/>
      <c r="G1049" s="128"/>
      <c r="H1049" s="128"/>
      <c r="I1049" s="128"/>
      <c r="J1049" s="63"/>
    </row>
    <row r="1050" spans="2:40" ht="18" customHeight="1" x14ac:dyDescent="0.25">
      <c r="B1050" s="59"/>
      <c r="C1050" s="220" t="s">
        <v>715</v>
      </c>
      <c r="D1050" s="220"/>
      <c r="E1050" s="220"/>
      <c r="F1050" s="62"/>
      <c r="G1050" s="220" t="s">
        <v>1288</v>
      </c>
      <c r="H1050" s="220"/>
      <c r="I1050" s="220"/>
      <c r="J1050" s="63"/>
    </row>
    <row r="1051" spans="2:40" ht="6.95" customHeight="1" thickBot="1" x14ac:dyDescent="0.3">
      <c r="B1051" s="64"/>
      <c r="C1051" s="65"/>
      <c r="D1051" s="65"/>
      <c r="E1051" s="65"/>
      <c r="F1051" s="65"/>
      <c r="G1051" s="65"/>
      <c r="H1051" s="65"/>
      <c r="I1051" s="65"/>
      <c r="J1051" s="66"/>
    </row>
    <row r="1052" spans="2:40" ht="32.1" customHeight="1" thickTop="1" x14ac:dyDescent="0.25">
      <c r="B1052" s="57"/>
      <c r="C1052" s="58"/>
      <c r="D1052" s="217" t="s">
        <v>697</v>
      </c>
      <c r="E1052" s="218"/>
      <c r="F1052" s="218"/>
      <c r="G1052" s="218"/>
      <c r="H1052" s="218"/>
      <c r="I1052" s="218"/>
      <c r="J1052" s="219"/>
      <c r="L1052" s="57"/>
      <c r="M1052" s="58"/>
      <c r="N1052" s="217" t="s">
        <v>697</v>
      </c>
      <c r="O1052" s="218"/>
      <c r="P1052" s="218"/>
      <c r="Q1052" s="218"/>
      <c r="R1052" s="218"/>
      <c r="S1052" s="218"/>
      <c r="T1052" s="219"/>
      <c r="V1052" s="57"/>
      <c r="W1052" s="58"/>
      <c r="X1052" s="217" t="s">
        <v>697</v>
      </c>
      <c r="Y1052" s="217"/>
      <c r="Z1052" s="217"/>
      <c r="AA1052" s="217"/>
      <c r="AB1052" s="217"/>
      <c r="AC1052" s="217"/>
      <c r="AD1052" s="127"/>
      <c r="AF1052" s="57"/>
      <c r="AG1052" s="58"/>
      <c r="AH1052" s="217" t="s">
        <v>697</v>
      </c>
      <c r="AI1052" s="217"/>
      <c r="AJ1052" s="217"/>
      <c r="AK1052" s="217"/>
      <c r="AL1052" s="217"/>
      <c r="AM1052" s="217"/>
      <c r="AN1052" s="127"/>
    </row>
    <row r="1053" spans="2:40" ht="6.95" customHeight="1" x14ac:dyDescent="0.25">
      <c r="B1053" s="59"/>
      <c r="J1053" s="60"/>
      <c r="L1053" s="59"/>
      <c r="T1053" s="60"/>
      <c r="V1053" s="59"/>
      <c r="AD1053" s="60"/>
      <c r="AF1053" s="59"/>
      <c r="AN1053" s="60"/>
    </row>
    <row r="1054" spans="2:40" ht="18" customHeight="1" x14ac:dyDescent="0.25">
      <c r="B1054" s="61"/>
      <c r="C1054" s="214" t="s">
        <v>698</v>
      </c>
      <c r="D1054" s="215"/>
      <c r="E1054" s="216"/>
      <c r="F1054" s="62"/>
      <c r="G1054" s="214" t="s">
        <v>1461</v>
      </c>
      <c r="H1054" s="215"/>
      <c r="I1054" s="216"/>
      <c r="J1054" s="63"/>
      <c r="L1054" s="61"/>
      <c r="M1054" s="214" t="s">
        <v>698</v>
      </c>
      <c r="N1054" s="215"/>
      <c r="O1054" s="216"/>
      <c r="P1054" s="62"/>
      <c r="Q1054" s="214" t="s">
        <v>1462</v>
      </c>
      <c r="R1054" s="215"/>
      <c r="S1054" s="216"/>
      <c r="T1054" s="63"/>
      <c r="V1054" s="61"/>
      <c r="W1054" s="214" t="s">
        <v>698</v>
      </c>
      <c r="X1054" s="215"/>
      <c r="Y1054" s="216"/>
      <c r="Z1054" s="62"/>
      <c r="AA1054" s="214" t="s">
        <v>1463</v>
      </c>
      <c r="AB1054" s="215"/>
      <c r="AC1054" s="216"/>
      <c r="AD1054" s="63"/>
      <c r="AF1054" s="61"/>
      <c r="AG1054" s="214" t="s">
        <v>698</v>
      </c>
      <c r="AH1054" s="215"/>
      <c r="AI1054" s="216"/>
      <c r="AJ1054" s="62"/>
      <c r="AK1054" s="214" t="s">
        <v>1464</v>
      </c>
      <c r="AL1054" s="215"/>
      <c r="AM1054" s="216"/>
      <c r="AN1054" s="63"/>
    </row>
    <row r="1055" spans="2:40" ht="6.95" customHeight="1" x14ac:dyDescent="0.25">
      <c r="B1055" s="59"/>
      <c r="C1055" s="62"/>
      <c r="D1055" s="62"/>
      <c r="E1055" s="62"/>
      <c r="F1055" s="62"/>
      <c r="G1055" s="62"/>
      <c r="H1055" s="62"/>
      <c r="I1055" s="62"/>
      <c r="J1055" s="60"/>
      <c r="L1055" s="59"/>
      <c r="M1055" s="62"/>
      <c r="N1055" s="62"/>
      <c r="O1055" s="62"/>
      <c r="P1055" s="62"/>
      <c r="Q1055" s="62"/>
      <c r="R1055" s="62"/>
      <c r="S1055" s="62"/>
      <c r="T1055" s="60"/>
      <c r="V1055" s="59"/>
      <c r="W1055" s="62"/>
      <c r="X1055" s="62"/>
      <c r="Y1055" s="62"/>
      <c r="Z1055" s="62"/>
      <c r="AA1055" s="62"/>
      <c r="AB1055" s="62"/>
      <c r="AC1055" s="62"/>
      <c r="AD1055" s="60"/>
      <c r="AF1055" s="59"/>
      <c r="AG1055" s="62"/>
      <c r="AH1055" s="62"/>
      <c r="AI1055" s="62"/>
      <c r="AJ1055" s="62"/>
      <c r="AK1055" s="62"/>
      <c r="AL1055" s="62"/>
      <c r="AM1055" s="62"/>
      <c r="AN1055" s="60"/>
    </row>
    <row r="1056" spans="2:40" ht="18" customHeight="1" x14ac:dyDescent="0.25">
      <c r="B1056" s="61"/>
      <c r="C1056" s="214" t="s">
        <v>699</v>
      </c>
      <c r="D1056" s="215"/>
      <c r="E1056" s="216"/>
      <c r="F1056" s="62"/>
      <c r="G1056" s="214" t="s">
        <v>1639</v>
      </c>
      <c r="H1056" s="215"/>
      <c r="I1056" s="216"/>
      <c r="J1056" s="63"/>
      <c r="L1056" s="61"/>
      <c r="M1056" s="214" t="s">
        <v>699</v>
      </c>
      <c r="N1056" s="215"/>
      <c r="O1056" s="216"/>
      <c r="P1056" s="62"/>
      <c r="Q1056" s="214" t="s">
        <v>1639</v>
      </c>
      <c r="R1056" s="215"/>
      <c r="S1056" s="216"/>
      <c r="T1056" s="63"/>
      <c r="V1056" s="61"/>
      <c r="W1056" s="214" t="s">
        <v>699</v>
      </c>
      <c r="X1056" s="215"/>
      <c r="Y1056" s="216"/>
      <c r="Z1056" s="62"/>
      <c r="AA1056" s="214" t="s">
        <v>1639</v>
      </c>
      <c r="AB1056" s="215"/>
      <c r="AC1056" s="216"/>
      <c r="AD1056" s="63"/>
      <c r="AF1056" s="61"/>
      <c r="AG1056" s="214" t="s">
        <v>699</v>
      </c>
      <c r="AH1056" s="215"/>
      <c r="AI1056" s="216"/>
      <c r="AJ1056" s="62"/>
      <c r="AK1056" s="214" t="s">
        <v>1639</v>
      </c>
      <c r="AL1056" s="215"/>
      <c r="AM1056" s="216"/>
      <c r="AN1056" s="63"/>
    </row>
    <row r="1057" spans="2:40" ht="6.95" customHeight="1" x14ac:dyDescent="0.25">
      <c r="B1057" s="59"/>
      <c r="C1057" s="62"/>
      <c r="D1057" s="62"/>
      <c r="E1057" s="62"/>
      <c r="F1057" s="62"/>
      <c r="G1057" s="62"/>
      <c r="H1057" s="62"/>
      <c r="I1057" s="62"/>
      <c r="J1057" s="60"/>
      <c r="L1057" s="59"/>
      <c r="M1057" s="62"/>
      <c r="N1057" s="62"/>
      <c r="O1057" s="62"/>
      <c r="P1057" s="62"/>
      <c r="Q1057" s="62"/>
      <c r="R1057" s="62"/>
      <c r="S1057" s="62"/>
      <c r="T1057" s="60"/>
      <c r="V1057" s="59"/>
      <c r="W1057" s="62"/>
      <c r="X1057" s="62"/>
      <c r="Y1057" s="62"/>
      <c r="Z1057" s="62"/>
      <c r="AA1057" s="62"/>
      <c r="AB1057" s="62"/>
      <c r="AC1057" s="62"/>
      <c r="AD1057" s="60"/>
      <c r="AF1057" s="59"/>
      <c r="AG1057" s="62"/>
      <c r="AH1057" s="62"/>
      <c r="AI1057" s="62"/>
      <c r="AJ1057" s="62"/>
      <c r="AK1057" s="62"/>
      <c r="AL1057" s="62"/>
      <c r="AM1057" s="62"/>
      <c r="AN1057" s="60"/>
    </row>
    <row r="1058" spans="2:40" ht="18" customHeight="1" x14ac:dyDescent="0.25">
      <c r="B1058" s="61"/>
      <c r="C1058" s="214" t="s">
        <v>701</v>
      </c>
      <c r="D1058" s="215"/>
      <c r="E1058" s="216"/>
      <c r="F1058" s="62"/>
      <c r="G1058" s="214" t="s">
        <v>986</v>
      </c>
      <c r="H1058" s="215"/>
      <c r="I1058" s="216"/>
      <c r="J1058" s="63"/>
      <c r="L1058" s="61"/>
      <c r="M1058" s="214" t="s">
        <v>701</v>
      </c>
      <c r="N1058" s="215"/>
      <c r="O1058" s="216"/>
      <c r="P1058" s="62"/>
      <c r="Q1058" s="214" t="s">
        <v>986</v>
      </c>
      <c r="R1058" s="215"/>
      <c r="S1058" s="216"/>
      <c r="T1058" s="63"/>
      <c r="V1058" s="61"/>
      <c r="W1058" s="214" t="s">
        <v>701</v>
      </c>
      <c r="X1058" s="215"/>
      <c r="Y1058" s="216"/>
      <c r="Z1058" s="62"/>
      <c r="AA1058" s="214" t="s">
        <v>986</v>
      </c>
      <c r="AB1058" s="215"/>
      <c r="AC1058" s="216"/>
      <c r="AD1058" s="63"/>
      <c r="AF1058" s="61"/>
      <c r="AG1058" s="214" t="s">
        <v>701</v>
      </c>
      <c r="AH1058" s="215"/>
      <c r="AI1058" s="216"/>
      <c r="AJ1058" s="62"/>
      <c r="AK1058" s="214" t="s">
        <v>986</v>
      </c>
      <c r="AL1058" s="215"/>
      <c r="AM1058" s="216"/>
      <c r="AN1058" s="63"/>
    </row>
    <row r="1059" spans="2:40" ht="6.95" customHeight="1" x14ac:dyDescent="0.25">
      <c r="B1059" s="59"/>
      <c r="C1059" s="62"/>
      <c r="D1059" s="62"/>
      <c r="E1059" s="62"/>
      <c r="F1059" s="62"/>
      <c r="G1059" s="62"/>
      <c r="H1059" s="62"/>
      <c r="I1059" s="62"/>
      <c r="J1059" s="60"/>
      <c r="L1059" s="59"/>
      <c r="M1059" s="62"/>
      <c r="N1059" s="62"/>
      <c r="O1059" s="62"/>
      <c r="P1059" s="62"/>
      <c r="Q1059" s="62"/>
      <c r="R1059" s="62"/>
      <c r="S1059" s="62"/>
      <c r="T1059" s="60"/>
      <c r="V1059" s="59"/>
      <c r="W1059" s="62"/>
      <c r="X1059" s="62"/>
      <c r="Y1059" s="62"/>
      <c r="Z1059" s="62"/>
      <c r="AA1059" s="62"/>
      <c r="AB1059" s="62"/>
      <c r="AC1059" s="62"/>
      <c r="AD1059" s="60"/>
      <c r="AF1059" s="59"/>
      <c r="AG1059" s="62"/>
      <c r="AH1059" s="62"/>
      <c r="AI1059" s="62"/>
      <c r="AJ1059" s="62"/>
      <c r="AK1059" s="62"/>
      <c r="AL1059" s="62"/>
      <c r="AM1059" s="62"/>
      <c r="AN1059" s="60"/>
    </row>
    <row r="1060" spans="2:40" ht="18" customHeight="1" x14ac:dyDescent="0.25">
      <c r="B1060" s="61"/>
      <c r="C1060" s="214" t="s">
        <v>703</v>
      </c>
      <c r="D1060" s="215"/>
      <c r="E1060" s="216"/>
      <c r="F1060" s="62"/>
      <c r="G1060" s="214" t="s">
        <v>109</v>
      </c>
      <c r="H1060" s="215"/>
      <c r="I1060" s="216"/>
      <c r="J1060" s="63"/>
      <c r="L1060" s="61"/>
      <c r="M1060" s="214" t="s">
        <v>703</v>
      </c>
      <c r="N1060" s="215"/>
      <c r="O1060" s="216"/>
      <c r="P1060" s="62"/>
      <c r="Q1060" s="214" t="s">
        <v>109</v>
      </c>
      <c r="R1060" s="215"/>
      <c r="S1060" s="216"/>
      <c r="T1060" s="63"/>
      <c r="V1060" s="61"/>
      <c r="W1060" s="214" t="s">
        <v>703</v>
      </c>
      <c r="X1060" s="215"/>
      <c r="Y1060" s="216"/>
      <c r="Z1060" s="62"/>
      <c r="AA1060" s="214" t="s">
        <v>109</v>
      </c>
      <c r="AB1060" s="215"/>
      <c r="AC1060" s="216"/>
      <c r="AD1060" s="63"/>
      <c r="AF1060" s="61"/>
      <c r="AG1060" s="214" t="s">
        <v>703</v>
      </c>
      <c r="AH1060" s="215"/>
      <c r="AI1060" s="216"/>
      <c r="AJ1060" s="62"/>
      <c r="AK1060" s="214" t="s">
        <v>109</v>
      </c>
      <c r="AL1060" s="215"/>
      <c r="AM1060" s="216"/>
      <c r="AN1060" s="63"/>
    </row>
    <row r="1061" spans="2:40" ht="6.6" customHeight="1" x14ac:dyDescent="0.25">
      <c r="B1061" s="59"/>
      <c r="C1061" s="62"/>
      <c r="D1061" s="62"/>
      <c r="E1061" s="62"/>
      <c r="F1061" s="62"/>
      <c r="G1061" s="62"/>
      <c r="H1061" s="62"/>
      <c r="I1061" s="62"/>
      <c r="J1061" s="60"/>
      <c r="L1061" s="59"/>
      <c r="M1061" s="62"/>
      <c r="N1061" s="62"/>
      <c r="O1061" s="62"/>
      <c r="P1061" s="62"/>
      <c r="Q1061" s="62"/>
      <c r="R1061" s="62"/>
      <c r="S1061" s="62"/>
      <c r="T1061" s="60"/>
      <c r="V1061" s="59"/>
      <c r="W1061" s="62"/>
      <c r="X1061" s="62"/>
      <c r="Y1061" s="62"/>
      <c r="Z1061" s="62"/>
      <c r="AA1061" s="62"/>
      <c r="AB1061" s="62"/>
      <c r="AC1061" s="62"/>
      <c r="AD1061" s="60"/>
      <c r="AF1061" s="59"/>
      <c r="AG1061" s="62"/>
      <c r="AH1061" s="62"/>
      <c r="AI1061" s="62"/>
      <c r="AJ1061" s="62"/>
      <c r="AK1061" s="62"/>
      <c r="AL1061" s="62"/>
      <c r="AM1061" s="62"/>
      <c r="AN1061" s="60"/>
    </row>
    <row r="1062" spans="2:40" ht="18" customHeight="1" x14ac:dyDescent="0.25">
      <c r="B1062" s="61"/>
      <c r="C1062" s="214" t="s">
        <v>705</v>
      </c>
      <c r="D1062" s="215"/>
      <c r="E1062" s="216"/>
      <c r="F1062" s="62"/>
      <c r="G1062" s="214" t="s">
        <v>109</v>
      </c>
      <c r="H1062" s="215"/>
      <c r="I1062" s="216"/>
      <c r="J1062" s="63"/>
      <c r="L1062" s="61"/>
      <c r="M1062" s="214" t="s">
        <v>705</v>
      </c>
      <c r="N1062" s="215"/>
      <c r="O1062" s="216"/>
      <c r="P1062" s="62"/>
      <c r="Q1062" s="214" t="s">
        <v>109</v>
      </c>
      <c r="R1062" s="215"/>
      <c r="S1062" s="216"/>
      <c r="T1062" s="63"/>
      <c r="V1062" s="61"/>
      <c r="W1062" s="214" t="s">
        <v>705</v>
      </c>
      <c r="X1062" s="215"/>
      <c r="Y1062" s="216"/>
      <c r="Z1062" s="62"/>
      <c r="AA1062" s="214" t="s">
        <v>109</v>
      </c>
      <c r="AB1062" s="215"/>
      <c r="AC1062" s="216"/>
      <c r="AD1062" s="63"/>
      <c r="AF1062" s="61"/>
      <c r="AG1062" s="214" t="s">
        <v>705</v>
      </c>
      <c r="AH1062" s="215"/>
      <c r="AI1062" s="216"/>
      <c r="AJ1062" s="62"/>
      <c r="AK1062" s="214" t="s">
        <v>109</v>
      </c>
      <c r="AL1062" s="215"/>
      <c r="AM1062" s="216"/>
      <c r="AN1062" s="63"/>
    </row>
    <row r="1063" spans="2:40" ht="6.95" customHeight="1" x14ac:dyDescent="0.25">
      <c r="B1063" s="59"/>
      <c r="C1063" s="62"/>
      <c r="D1063" s="62"/>
      <c r="E1063" s="62"/>
      <c r="F1063" s="62"/>
      <c r="G1063" s="62"/>
      <c r="H1063" s="62"/>
      <c r="I1063" s="62"/>
      <c r="J1063" s="60"/>
      <c r="L1063" s="59"/>
      <c r="M1063" s="62"/>
      <c r="N1063" s="62"/>
      <c r="O1063" s="62"/>
      <c r="P1063" s="62"/>
      <c r="Q1063" s="62"/>
      <c r="R1063" s="62"/>
      <c r="S1063" s="62"/>
      <c r="T1063" s="60"/>
      <c r="V1063" s="59"/>
      <c r="W1063" s="62"/>
      <c r="X1063" s="62"/>
      <c r="Y1063" s="62"/>
      <c r="Z1063" s="62"/>
      <c r="AA1063" s="62"/>
      <c r="AB1063" s="62"/>
      <c r="AC1063" s="62"/>
      <c r="AD1063" s="60"/>
      <c r="AF1063" s="59"/>
      <c r="AG1063" s="62"/>
      <c r="AH1063" s="62"/>
      <c r="AI1063" s="62"/>
      <c r="AJ1063" s="62"/>
      <c r="AK1063" s="62"/>
      <c r="AL1063" s="62"/>
      <c r="AM1063" s="62"/>
      <c r="AN1063" s="60"/>
    </row>
    <row r="1064" spans="2:40" ht="18" customHeight="1" x14ac:dyDescent="0.25">
      <c r="B1064" s="61"/>
      <c r="C1064" s="214" t="s">
        <v>708</v>
      </c>
      <c r="D1064" s="215"/>
      <c r="E1064" s="216"/>
      <c r="F1064" s="62"/>
      <c r="G1064" s="214" t="s">
        <v>109</v>
      </c>
      <c r="H1064" s="215"/>
      <c r="I1064" s="216"/>
      <c r="J1064" s="63"/>
      <c r="L1064" s="61"/>
      <c r="M1064" s="214" t="s">
        <v>708</v>
      </c>
      <c r="N1064" s="215"/>
      <c r="O1064" s="216"/>
      <c r="P1064" s="62"/>
      <c r="Q1064" s="214" t="s">
        <v>109</v>
      </c>
      <c r="R1064" s="215"/>
      <c r="S1064" s="216"/>
      <c r="T1064" s="63"/>
      <c r="V1064" s="61"/>
      <c r="W1064" s="214" t="s">
        <v>708</v>
      </c>
      <c r="X1064" s="215"/>
      <c r="Y1064" s="216"/>
      <c r="Z1064" s="62"/>
      <c r="AA1064" s="214" t="s">
        <v>109</v>
      </c>
      <c r="AB1064" s="215"/>
      <c r="AC1064" s="216"/>
      <c r="AD1064" s="63"/>
      <c r="AF1064" s="61"/>
      <c r="AG1064" s="214" t="s">
        <v>708</v>
      </c>
      <c r="AH1064" s="215"/>
      <c r="AI1064" s="216"/>
      <c r="AJ1064" s="62"/>
      <c r="AK1064" s="214" t="s">
        <v>109</v>
      </c>
      <c r="AL1064" s="215"/>
      <c r="AM1064" s="216"/>
      <c r="AN1064" s="63"/>
    </row>
    <row r="1065" spans="2:40" ht="6.95" customHeight="1" x14ac:dyDescent="0.25">
      <c r="B1065" s="59"/>
      <c r="C1065" s="62"/>
      <c r="D1065" s="62"/>
      <c r="E1065" s="62"/>
      <c r="F1065" s="62"/>
      <c r="G1065" s="62"/>
      <c r="H1065" s="62"/>
      <c r="I1065" s="62"/>
      <c r="J1065" s="60"/>
      <c r="L1065" s="59"/>
      <c r="M1065" s="62"/>
      <c r="N1065" s="62"/>
      <c r="O1065" s="62"/>
      <c r="P1065" s="62"/>
      <c r="Q1065" s="62"/>
      <c r="R1065" s="62"/>
      <c r="S1065" s="62"/>
      <c r="T1065" s="60"/>
      <c r="V1065" s="59"/>
      <c r="W1065" s="62"/>
      <c r="X1065" s="62"/>
      <c r="Y1065" s="62"/>
      <c r="Z1065" s="62"/>
      <c r="AA1065" s="62"/>
      <c r="AB1065" s="62"/>
      <c r="AC1065" s="62"/>
      <c r="AD1065" s="60"/>
      <c r="AF1065" s="59"/>
      <c r="AG1065" s="62"/>
      <c r="AH1065" s="62"/>
      <c r="AI1065" s="62"/>
      <c r="AJ1065" s="62"/>
      <c r="AK1065" s="62"/>
      <c r="AL1065" s="62"/>
      <c r="AM1065" s="62"/>
      <c r="AN1065" s="60"/>
    </row>
    <row r="1066" spans="2:40" ht="18" customHeight="1" x14ac:dyDescent="0.25">
      <c r="B1066" s="61"/>
      <c r="C1066" s="214" t="s">
        <v>711</v>
      </c>
      <c r="D1066" s="215"/>
      <c r="E1066" s="216"/>
      <c r="F1066" s="62"/>
      <c r="G1066" s="214" t="s">
        <v>712</v>
      </c>
      <c r="H1066" s="215"/>
      <c r="I1066" s="216"/>
      <c r="J1066" s="63"/>
      <c r="L1066" s="61"/>
      <c r="M1066" s="214" t="s">
        <v>711</v>
      </c>
      <c r="N1066" s="215"/>
      <c r="O1066" s="216"/>
      <c r="P1066" s="62"/>
      <c r="Q1066" s="214" t="s">
        <v>712</v>
      </c>
      <c r="R1066" s="215"/>
      <c r="S1066" s="216"/>
      <c r="T1066" s="63"/>
      <c r="V1066" s="61"/>
      <c r="W1066" s="214" t="s">
        <v>711</v>
      </c>
      <c r="X1066" s="215"/>
      <c r="Y1066" s="216"/>
      <c r="Z1066" s="62"/>
      <c r="AA1066" s="214" t="s">
        <v>712</v>
      </c>
      <c r="AB1066" s="215"/>
      <c r="AC1066" s="216"/>
      <c r="AD1066" s="63"/>
      <c r="AF1066" s="61"/>
      <c r="AG1066" s="214" t="s">
        <v>711</v>
      </c>
      <c r="AH1066" s="215"/>
      <c r="AI1066" s="216"/>
      <c r="AJ1066" s="62"/>
      <c r="AK1066" s="214" t="s">
        <v>712</v>
      </c>
      <c r="AL1066" s="215"/>
      <c r="AM1066" s="216"/>
      <c r="AN1066" s="63"/>
    </row>
    <row r="1067" spans="2:40" ht="6.95" customHeight="1" x14ac:dyDescent="0.25">
      <c r="B1067" s="59"/>
      <c r="C1067" s="62"/>
      <c r="D1067" s="62"/>
      <c r="E1067" s="62"/>
      <c r="F1067" s="62"/>
      <c r="G1067" s="62"/>
      <c r="H1067" s="62"/>
      <c r="I1067" s="62"/>
      <c r="J1067" s="60"/>
      <c r="L1067" s="59"/>
      <c r="M1067" s="62"/>
      <c r="N1067" s="62"/>
      <c r="O1067" s="62"/>
      <c r="P1067" s="62"/>
      <c r="Q1067" s="62"/>
      <c r="R1067" s="62"/>
      <c r="S1067" s="62"/>
      <c r="T1067" s="60"/>
      <c r="V1067" s="59"/>
      <c r="W1067" s="62"/>
      <c r="X1067" s="62"/>
      <c r="Y1067" s="62"/>
      <c r="Z1067" s="62"/>
      <c r="AA1067" s="62"/>
      <c r="AB1067" s="62"/>
      <c r="AC1067" s="62"/>
      <c r="AD1067" s="60"/>
      <c r="AF1067" s="59"/>
      <c r="AG1067" s="62"/>
      <c r="AH1067" s="62"/>
      <c r="AI1067" s="62"/>
      <c r="AJ1067" s="62"/>
      <c r="AK1067" s="62"/>
      <c r="AL1067" s="62"/>
      <c r="AM1067" s="62"/>
      <c r="AN1067" s="60"/>
    </row>
    <row r="1068" spans="2:40" ht="18" customHeight="1" x14ac:dyDescent="0.25">
      <c r="B1068" s="61"/>
      <c r="C1068" s="214" t="s">
        <v>1273</v>
      </c>
      <c r="D1068" s="215"/>
      <c r="E1068" s="216"/>
      <c r="F1068" s="62"/>
      <c r="G1068" s="214" t="s">
        <v>1465</v>
      </c>
      <c r="H1068" s="215"/>
      <c r="I1068" s="216"/>
      <c r="J1068" s="63"/>
      <c r="L1068" s="61"/>
      <c r="M1068" s="214" t="s">
        <v>1273</v>
      </c>
      <c r="N1068" s="215"/>
      <c r="O1068" s="216"/>
      <c r="P1068" s="62"/>
      <c r="Q1068" s="214" t="s">
        <v>1466</v>
      </c>
      <c r="R1068" s="215"/>
      <c r="S1068" s="216"/>
      <c r="T1068" s="63"/>
      <c r="V1068" s="61"/>
      <c r="W1068" s="214" t="s">
        <v>1273</v>
      </c>
      <c r="X1068" s="215"/>
      <c r="Y1068" s="216"/>
      <c r="Z1068" s="62"/>
      <c r="AA1068" s="214" t="s">
        <v>1467</v>
      </c>
      <c r="AB1068" s="215"/>
      <c r="AC1068" s="216"/>
      <c r="AD1068" s="63"/>
      <c r="AF1068" s="61"/>
      <c r="AG1068" s="214" t="s">
        <v>1273</v>
      </c>
      <c r="AH1068" s="215"/>
      <c r="AI1068" s="216"/>
      <c r="AJ1068" s="62"/>
      <c r="AK1068" s="214" t="s">
        <v>1468</v>
      </c>
      <c r="AL1068" s="215"/>
      <c r="AM1068" s="216"/>
      <c r="AN1068" s="63"/>
    </row>
    <row r="1069" spans="2:40" ht="6.95" customHeight="1" x14ac:dyDescent="0.25">
      <c r="B1069" s="59"/>
      <c r="C1069" s="62"/>
      <c r="D1069" s="62"/>
      <c r="E1069" s="62"/>
      <c r="F1069" s="62"/>
      <c r="G1069" s="62"/>
      <c r="H1069" s="62"/>
      <c r="I1069" s="62"/>
      <c r="J1069" s="60"/>
      <c r="L1069" s="59"/>
      <c r="M1069" s="62"/>
      <c r="N1069" s="62"/>
      <c r="O1069" s="62"/>
      <c r="P1069" s="62"/>
      <c r="Q1069" s="62"/>
      <c r="R1069" s="62"/>
      <c r="S1069" s="62"/>
      <c r="T1069" s="60"/>
      <c r="V1069" s="59"/>
      <c r="W1069" s="62"/>
      <c r="X1069" s="62"/>
      <c r="Y1069" s="62"/>
      <c r="Z1069" s="62"/>
      <c r="AA1069" s="62"/>
      <c r="AB1069" s="62"/>
      <c r="AC1069" s="62"/>
      <c r="AD1069" s="60"/>
      <c r="AF1069" s="59"/>
      <c r="AG1069" s="62"/>
      <c r="AH1069" s="62"/>
      <c r="AI1069" s="62"/>
      <c r="AJ1069" s="62"/>
      <c r="AK1069" s="62"/>
      <c r="AL1069" s="62"/>
      <c r="AM1069" s="62"/>
      <c r="AN1069" s="60"/>
    </row>
    <row r="1070" spans="2:40" ht="18" customHeight="1" x14ac:dyDescent="0.25">
      <c r="B1070" s="61"/>
      <c r="C1070" s="214" t="s">
        <v>713</v>
      </c>
      <c r="D1070" s="215"/>
      <c r="E1070" s="216"/>
      <c r="F1070" s="62"/>
      <c r="G1070" s="220" t="s">
        <v>1293</v>
      </c>
      <c r="H1070" s="220"/>
      <c r="I1070" s="220"/>
      <c r="J1070" s="63"/>
      <c r="L1070" s="61"/>
      <c r="M1070" s="214" t="s">
        <v>713</v>
      </c>
      <c r="N1070" s="215"/>
      <c r="O1070" s="216"/>
      <c r="P1070" s="62"/>
      <c r="Q1070" s="220" t="s">
        <v>1293</v>
      </c>
      <c r="R1070" s="220"/>
      <c r="S1070" s="220"/>
      <c r="T1070" s="63"/>
      <c r="V1070" s="61"/>
      <c r="W1070" s="214" t="s">
        <v>713</v>
      </c>
      <c r="X1070" s="215"/>
      <c r="Y1070" s="216"/>
      <c r="Z1070" s="62"/>
      <c r="AA1070" s="220" t="s">
        <v>1293</v>
      </c>
      <c r="AB1070" s="220"/>
      <c r="AC1070" s="220"/>
      <c r="AD1070" s="63"/>
      <c r="AF1070" s="61"/>
      <c r="AG1070" s="214" t="s">
        <v>713</v>
      </c>
      <c r="AH1070" s="215"/>
      <c r="AI1070" s="216"/>
      <c r="AJ1070" s="62"/>
      <c r="AK1070" s="220" t="s">
        <v>1293</v>
      </c>
      <c r="AL1070" s="220"/>
      <c r="AM1070" s="220"/>
      <c r="AN1070" s="63"/>
    </row>
    <row r="1071" spans="2:40" ht="6.95" customHeight="1" x14ac:dyDescent="0.25">
      <c r="B1071" s="59"/>
      <c r="C1071" s="128"/>
      <c r="D1071" s="128"/>
      <c r="E1071" s="128"/>
      <c r="F1071" s="62"/>
      <c r="G1071" s="128"/>
      <c r="H1071" s="128"/>
      <c r="I1071" s="128"/>
      <c r="J1071" s="63"/>
      <c r="L1071" s="59"/>
      <c r="M1071" s="128"/>
      <c r="N1071" s="128"/>
      <c r="O1071" s="128"/>
      <c r="P1071" s="62"/>
      <c r="Q1071" s="128"/>
      <c r="R1071" s="128"/>
      <c r="S1071" s="128"/>
      <c r="T1071" s="63"/>
      <c r="V1071" s="59"/>
      <c r="W1071" s="128"/>
      <c r="X1071" s="128"/>
      <c r="Y1071" s="128"/>
      <c r="Z1071" s="62"/>
      <c r="AA1071" s="128"/>
      <c r="AB1071" s="128"/>
      <c r="AC1071" s="128"/>
      <c r="AD1071" s="63"/>
      <c r="AF1071" s="59"/>
      <c r="AG1071" s="128"/>
      <c r="AH1071" s="128"/>
      <c r="AI1071" s="128"/>
      <c r="AJ1071" s="62"/>
      <c r="AK1071" s="128"/>
      <c r="AL1071" s="128"/>
      <c r="AM1071" s="128"/>
      <c r="AN1071" s="63"/>
    </row>
    <row r="1072" spans="2:40" ht="18" customHeight="1" x14ac:dyDescent="0.25">
      <c r="B1072" s="59"/>
      <c r="C1072" s="220" t="s">
        <v>715</v>
      </c>
      <c r="D1072" s="220"/>
      <c r="E1072" s="220"/>
      <c r="F1072" s="62"/>
      <c r="G1072" s="220" t="s">
        <v>1270</v>
      </c>
      <c r="H1072" s="220"/>
      <c r="I1072" s="220"/>
      <c r="J1072" s="63"/>
      <c r="L1072" s="59"/>
      <c r="M1072" s="220" t="s">
        <v>715</v>
      </c>
      <c r="N1072" s="220"/>
      <c r="O1072" s="220"/>
      <c r="P1072" s="62"/>
      <c r="Q1072" s="220" t="s">
        <v>1270</v>
      </c>
      <c r="R1072" s="220"/>
      <c r="S1072" s="220"/>
      <c r="T1072" s="63"/>
      <c r="V1072" s="59"/>
      <c r="W1072" s="220" t="s">
        <v>715</v>
      </c>
      <c r="X1072" s="220"/>
      <c r="Y1072" s="220"/>
      <c r="Z1072" s="62"/>
      <c r="AA1072" s="220" t="s">
        <v>1270</v>
      </c>
      <c r="AB1072" s="220"/>
      <c r="AC1072" s="220"/>
      <c r="AD1072" s="63"/>
      <c r="AF1072" s="59"/>
      <c r="AG1072" s="220" t="s">
        <v>715</v>
      </c>
      <c r="AH1072" s="220"/>
      <c r="AI1072" s="220"/>
      <c r="AJ1072" s="62"/>
      <c r="AK1072" s="220" t="s">
        <v>1270</v>
      </c>
      <c r="AL1072" s="220"/>
      <c r="AM1072" s="220"/>
      <c r="AN1072" s="63"/>
    </row>
    <row r="1073" spans="2:40" ht="6.95" customHeight="1" thickBot="1" x14ac:dyDescent="0.3">
      <c r="B1073" s="64"/>
      <c r="C1073" s="65"/>
      <c r="D1073" s="65"/>
      <c r="E1073" s="65"/>
      <c r="F1073" s="65"/>
      <c r="G1073" s="65"/>
      <c r="H1073" s="65"/>
      <c r="I1073" s="65"/>
      <c r="J1073" s="66"/>
      <c r="L1073" s="64"/>
      <c r="M1073" s="65"/>
      <c r="N1073" s="65"/>
      <c r="O1073" s="65"/>
      <c r="P1073" s="65"/>
      <c r="Q1073" s="65"/>
      <c r="R1073" s="65"/>
      <c r="S1073" s="65"/>
      <c r="T1073" s="66"/>
      <c r="V1073" s="64"/>
      <c r="W1073" s="65"/>
      <c r="X1073" s="65"/>
      <c r="Y1073" s="65"/>
      <c r="Z1073" s="65"/>
      <c r="AA1073" s="65"/>
      <c r="AB1073" s="65"/>
      <c r="AC1073" s="65"/>
      <c r="AD1073" s="66"/>
      <c r="AF1073" s="64"/>
      <c r="AG1073" s="65"/>
      <c r="AH1073" s="65"/>
      <c r="AI1073" s="65"/>
      <c r="AJ1073" s="65"/>
      <c r="AK1073" s="65"/>
      <c r="AL1073" s="65"/>
      <c r="AM1073" s="65"/>
      <c r="AN1073" s="66"/>
    </row>
    <row r="1074" spans="2:40" ht="32.1" customHeight="1" thickTop="1" x14ac:dyDescent="0.25">
      <c r="B1074" s="57"/>
      <c r="C1074" s="58"/>
      <c r="D1074" s="217" t="s">
        <v>697</v>
      </c>
      <c r="E1074" s="218"/>
      <c r="F1074" s="218"/>
      <c r="G1074" s="218"/>
      <c r="H1074" s="218"/>
      <c r="I1074" s="218"/>
      <c r="J1074" s="219"/>
      <c r="L1074" s="57"/>
      <c r="M1074" s="58"/>
      <c r="N1074" s="217" t="s">
        <v>697</v>
      </c>
      <c r="O1074" s="218"/>
      <c r="P1074" s="218"/>
      <c r="Q1074" s="218"/>
      <c r="R1074" s="218"/>
      <c r="S1074" s="218"/>
      <c r="T1074" s="219"/>
      <c r="V1074" s="57"/>
      <c r="W1074" s="58"/>
      <c r="X1074" s="217" t="s">
        <v>697</v>
      </c>
      <c r="Y1074" s="218"/>
      <c r="Z1074" s="218"/>
      <c r="AA1074" s="218"/>
      <c r="AB1074" s="218"/>
      <c r="AC1074" s="218"/>
      <c r="AD1074" s="219"/>
      <c r="AF1074" s="57"/>
      <c r="AG1074" s="58"/>
      <c r="AH1074" s="217" t="s">
        <v>697</v>
      </c>
      <c r="AI1074" s="218"/>
      <c r="AJ1074" s="218"/>
      <c r="AK1074" s="218"/>
      <c r="AL1074" s="218"/>
      <c r="AM1074" s="218"/>
      <c r="AN1074" s="219"/>
    </row>
    <row r="1075" spans="2:40" ht="6.95" customHeight="1" x14ac:dyDescent="0.25">
      <c r="B1075" s="59"/>
      <c r="J1075" s="60"/>
      <c r="L1075" s="59"/>
      <c r="T1075" s="60"/>
      <c r="V1075" s="59"/>
      <c r="AD1075" s="60"/>
      <c r="AF1075" s="59"/>
      <c r="AN1075" s="60"/>
    </row>
    <row r="1076" spans="2:40" ht="18" customHeight="1" x14ac:dyDescent="0.25">
      <c r="B1076" s="61"/>
      <c r="C1076" s="214" t="s">
        <v>698</v>
      </c>
      <c r="D1076" s="215"/>
      <c r="E1076" s="216"/>
      <c r="F1076" s="62"/>
      <c r="G1076" s="214" t="s">
        <v>1469</v>
      </c>
      <c r="H1076" s="215"/>
      <c r="I1076" s="216"/>
      <c r="J1076" s="63"/>
      <c r="L1076" s="61"/>
      <c r="M1076" s="214" t="s">
        <v>698</v>
      </c>
      <c r="N1076" s="215"/>
      <c r="O1076" s="216"/>
      <c r="P1076" s="62"/>
      <c r="Q1076" s="214" t="s">
        <v>1470</v>
      </c>
      <c r="R1076" s="215"/>
      <c r="S1076" s="216"/>
      <c r="T1076" s="63"/>
      <c r="V1076" s="61"/>
      <c r="W1076" s="214" t="s">
        <v>698</v>
      </c>
      <c r="X1076" s="215"/>
      <c r="Y1076" s="216"/>
      <c r="Z1076" s="62"/>
      <c r="AA1076" s="214" t="s">
        <v>1471</v>
      </c>
      <c r="AB1076" s="215"/>
      <c r="AC1076" s="216"/>
      <c r="AD1076" s="63"/>
      <c r="AF1076" s="61"/>
      <c r="AG1076" s="214" t="s">
        <v>698</v>
      </c>
      <c r="AH1076" s="215"/>
      <c r="AI1076" s="216"/>
      <c r="AJ1076" s="62"/>
      <c r="AK1076" s="214" t="s">
        <v>1472</v>
      </c>
      <c r="AL1076" s="215"/>
      <c r="AM1076" s="216"/>
      <c r="AN1076" s="63"/>
    </row>
    <row r="1077" spans="2:40" ht="6.95" customHeight="1" x14ac:dyDescent="0.25">
      <c r="B1077" s="59"/>
      <c r="C1077" s="62"/>
      <c r="D1077" s="62"/>
      <c r="E1077" s="62"/>
      <c r="F1077" s="62"/>
      <c r="G1077" s="62"/>
      <c r="H1077" s="62"/>
      <c r="I1077" s="62"/>
      <c r="J1077" s="60"/>
      <c r="L1077" s="59"/>
      <c r="M1077" s="62"/>
      <c r="N1077" s="62"/>
      <c r="O1077" s="62"/>
      <c r="P1077" s="62"/>
      <c r="Q1077" s="62"/>
      <c r="R1077" s="62"/>
      <c r="S1077" s="62"/>
      <c r="T1077" s="60"/>
      <c r="V1077" s="59"/>
      <c r="W1077" s="62"/>
      <c r="X1077" s="62"/>
      <c r="Y1077" s="62"/>
      <c r="Z1077" s="62"/>
      <c r="AA1077" s="62"/>
      <c r="AB1077" s="62"/>
      <c r="AC1077" s="62"/>
      <c r="AD1077" s="60"/>
      <c r="AF1077" s="59"/>
      <c r="AG1077" s="62"/>
      <c r="AH1077" s="62"/>
      <c r="AI1077" s="62"/>
      <c r="AJ1077" s="62"/>
      <c r="AK1077" s="62"/>
      <c r="AL1077" s="62"/>
      <c r="AM1077" s="62"/>
      <c r="AN1077" s="60"/>
    </row>
    <row r="1078" spans="2:40" ht="18" customHeight="1" x14ac:dyDescent="0.25">
      <c r="B1078" s="61"/>
      <c r="C1078" s="214" t="s">
        <v>699</v>
      </c>
      <c r="D1078" s="215"/>
      <c r="E1078" s="216"/>
      <c r="F1078" s="62"/>
      <c r="G1078" s="214" t="s">
        <v>1639</v>
      </c>
      <c r="H1078" s="215"/>
      <c r="I1078" s="216"/>
      <c r="J1078" s="63"/>
      <c r="L1078" s="61"/>
      <c r="M1078" s="214" t="s">
        <v>699</v>
      </c>
      <c r="N1078" s="215"/>
      <c r="O1078" s="216"/>
      <c r="P1078" s="62"/>
      <c r="Q1078" s="214" t="s">
        <v>1639</v>
      </c>
      <c r="R1078" s="215"/>
      <c r="S1078" s="216"/>
      <c r="T1078" s="63"/>
      <c r="V1078" s="61"/>
      <c r="W1078" s="214" t="s">
        <v>699</v>
      </c>
      <c r="X1078" s="215"/>
      <c r="Y1078" s="216"/>
      <c r="Z1078" s="62"/>
      <c r="AA1078" s="214" t="s">
        <v>1639</v>
      </c>
      <c r="AB1078" s="215"/>
      <c r="AC1078" s="216"/>
      <c r="AD1078" s="63"/>
      <c r="AF1078" s="61"/>
      <c r="AG1078" s="214" t="s">
        <v>699</v>
      </c>
      <c r="AH1078" s="215"/>
      <c r="AI1078" s="216"/>
      <c r="AJ1078" s="62"/>
      <c r="AK1078" s="214" t="s">
        <v>1639</v>
      </c>
      <c r="AL1078" s="215"/>
      <c r="AM1078" s="216"/>
      <c r="AN1078" s="63"/>
    </row>
    <row r="1079" spans="2:40" ht="6.95" customHeight="1" x14ac:dyDescent="0.25">
      <c r="B1079" s="59"/>
      <c r="C1079" s="62"/>
      <c r="D1079" s="62"/>
      <c r="E1079" s="62"/>
      <c r="F1079" s="62"/>
      <c r="G1079" s="62"/>
      <c r="H1079" s="62"/>
      <c r="I1079" s="62"/>
      <c r="J1079" s="60"/>
      <c r="L1079" s="59"/>
      <c r="M1079" s="62"/>
      <c r="N1079" s="62"/>
      <c r="O1079" s="62"/>
      <c r="P1079" s="62"/>
      <c r="Q1079" s="62"/>
      <c r="R1079" s="62"/>
      <c r="S1079" s="62"/>
      <c r="T1079" s="60"/>
      <c r="V1079" s="59"/>
      <c r="W1079" s="62"/>
      <c r="X1079" s="62"/>
      <c r="Y1079" s="62"/>
      <c r="Z1079" s="62"/>
      <c r="AA1079" s="62"/>
      <c r="AB1079" s="62"/>
      <c r="AC1079" s="62"/>
      <c r="AD1079" s="60"/>
      <c r="AF1079" s="59"/>
      <c r="AG1079" s="62"/>
      <c r="AH1079" s="62"/>
      <c r="AI1079" s="62"/>
      <c r="AJ1079" s="62"/>
      <c r="AK1079" s="62"/>
      <c r="AL1079" s="62"/>
      <c r="AM1079" s="62"/>
      <c r="AN1079" s="60"/>
    </row>
    <row r="1080" spans="2:40" ht="18" customHeight="1" x14ac:dyDescent="0.25">
      <c r="B1080" s="61"/>
      <c r="C1080" s="214" t="s">
        <v>701</v>
      </c>
      <c r="D1080" s="215"/>
      <c r="E1080" s="216"/>
      <c r="F1080" s="62"/>
      <c r="G1080" s="214" t="s">
        <v>986</v>
      </c>
      <c r="H1080" s="215"/>
      <c r="I1080" s="216"/>
      <c r="J1080" s="63"/>
      <c r="L1080" s="61"/>
      <c r="M1080" s="214" t="s">
        <v>701</v>
      </c>
      <c r="N1080" s="215"/>
      <c r="O1080" s="216"/>
      <c r="P1080" s="62"/>
      <c r="Q1080" s="214" t="s">
        <v>986</v>
      </c>
      <c r="R1080" s="215"/>
      <c r="S1080" s="216"/>
      <c r="T1080" s="63"/>
      <c r="V1080" s="61"/>
      <c r="W1080" s="214" t="s">
        <v>701</v>
      </c>
      <c r="X1080" s="215"/>
      <c r="Y1080" s="216"/>
      <c r="Z1080" s="62"/>
      <c r="AA1080" s="214" t="s">
        <v>986</v>
      </c>
      <c r="AB1080" s="215"/>
      <c r="AC1080" s="216"/>
      <c r="AD1080" s="63"/>
      <c r="AF1080" s="61"/>
      <c r="AG1080" s="214" t="s">
        <v>701</v>
      </c>
      <c r="AH1080" s="215"/>
      <c r="AI1080" s="216"/>
      <c r="AJ1080" s="62"/>
      <c r="AK1080" s="214" t="s">
        <v>986</v>
      </c>
      <c r="AL1080" s="215"/>
      <c r="AM1080" s="216"/>
      <c r="AN1080" s="63"/>
    </row>
    <row r="1081" spans="2:40" ht="6.95" customHeight="1" x14ac:dyDescent="0.25">
      <c r="B1081" s="59"/>
      <c r="C1081" s="62"/>
      <c r="D1081" s="62"/>
      <c r="E1081" s="62"/>
      <c r="F1081" s="62"/>
      <c r="G1081" s="62"/>
      <c r="H1081" s="62"/>
      <c r="I1081" s="62"/>
      <c r="J1081" s="60"/>
      <c r="L1081" s="59"/>
      <c r="M1081" s="62"/>
      <c r="N1081" s="62"/>
      <c r="O1081" s="62"/>
      <c r="P1081" s="62"/>
      <c r="Q1081" s="62"/>
      <c r="R1081" s="62"/>
      <c r="S1081" s="62"/>
      <c r="T1081" s="60"/>
      <c r="V1081" s="59"/>
      <c r="W1081" s="62"/>
      <c r="X1081" s="62"/>
      <c r="Y1081" s="62"/>
      <c r="Z1081" s="62"/>
      <c r="AA1081" s="62"/>
      <c r="AB1081" s="62"/>
      <c r="AC1081" s="62"/>
      <c r="AD1081" s="60"/>
      <c r="AF1081" s="59"/>
      <c r="AG1081" s="62"/>
      <c r="AH1081" s="62"/>
      <c r="AI1081" s="62"/>
      <c r="AJ1081" s="62"/>
      <c r="AK1081" s="62"/>
      <c r="AL1081" s="62"/>
      <c r="AM1081" s="62"/>
      <c r="AN1081" s="60"/>
    </row>
    <row r="1082" spans="2:40" ht="18" customHeight="1" x14ac:dyDescent="0.25">
      <c r="B1082" s="61"/>
      <c r="C1082" s="214" t="s">
        <v>703</v>
      </c>
      <c r="D1082" s="215"/>
      <c r="E1082" s="216"/>
      <c r="F1082" s="62"/>
      <c r="G1082" s="214" t="s">
        <v>109</v>
      </c>
      <c r="H1082" s="215"/>
      <c r="I1082" s="216"/>
      <c r="J1082" s="63"/>
      <c r="L1082" s="61"/>
      <c r="M1082" s="214" t="s">
        <v>703</v>
      </c>
      <c r="N1082" s="215"/>
      <c r="O1082" s="216"/>
      <c r="P1082" s="62"/>
      <c r="Q1082" s="214" t="s">
        <v>109</v>
      </c>
      <c r="R1082" s="215"/>
      <c r="S1082" s="216"/>
      <c r="T1082" s="63"/>
      <c r="V1082" s="61"/>
      <c r="W1082" s="214" t="s">
        <v>703</v>
      </c>
      <c r="X1082" s="215"/>
      <c r="Y1082" s="216"/>
      <c r="Z1082" s="62"/>
      <c r="AA1082" s="214" t="s">
        <v>109</v>
      </c>
      <c r="AB1082" s="215"/>
      <c r="AC1082" s="216"/>
      <c r="AD1082" s="63"/>
      <c r="AF1082" s="61"/>
      <c r="AG1082" s="214" t="s">
        <v>703</v>
      </c>
      <c r="AH1082" s="215"/>
      <c r="AI1082" s="216"/>
      <c r="AJ1082" s="62"/>
      <c r="AK1082" s="214" t="s">
        <v>109</v>
      </c>
      <c r="AL1082" s="215"/>
      <c r="AM1082" s="216"/>
      <c r="AN1082" s="63"/>
    </row>
    <row r="1083" spans="2:40" ht="6.6" customHeight="1" x14ac:dyDescent="0.25">
      <c r="B1083" s="59"/>
      <c r="C1083" s="62"/>
      <c r="D1083" s="62"/>
      <c r="E1083" s="62"/>
      <c r="F1083" s="62"/>
      <c r="G1083" s="62"/>
      <c r="H1083" s="62"/>
      <c r="I1083" s="62"/>
      <c r="J1083" s="60"/>
      <c r="L1083" s="59"/>
      <c r="M1083" s="62"/>
      <c r="N1083" s="62"/>
      <c r="O1083" s="62"/>
      <c r="P1083" s="62"/>
      <c r="Q1083" s="62"/>
      <c r="R1083" s="62"/>
      <c r="S1083" s="62"/>
      <c r="T1083" s="60"/>
      <c r="V1083" s="59"/>
      <c r="W1083" s="62"/>
      <c r="X1083" s="62"/>
      <c r="Y1083" s="62"/>
      <c r="Z1083" s="62"/>
      <c r="AA1083" s="62"/>
      <c r="AB1083" s="62"/>
      <c r="AC1083" s="62"/>
      <c r="AD1083" s="60"/>
      <c r="AF1083" s="59"/>
      <c r="AG1083" s="62"/>
      <c r="AH1083" s="62"/>
      <c r="AI1083" s="62"/>
      <c r="AJ1083" s="62"/>
      <c r="AK1083" s="62"/>
      <c r="AL1083" s="62"/>
      <c r="AM1083" s="62"/>
      <c r="AN1083" s="60"/>
    </row>
    <row r="1084" spans="2:40" ht="18" customHeight="1" x14ac:dyDescent="0.25">
      <c r="B1084" s="61"/>
      <c r="C1084" s="214" t="s">
        <v>705</v>
      </c>
      <c r="D1084" s="215"/>
      <c r="E1084" s="216"/>
      <c r="F1084" s="62"/>
      <c r="G1084" s="214" t="s">
        <v>109</v>
      </c>
      <c r="H1084" s="215"/>
      <c r="I1084" s="216"/>
      <c r="J1084" s="63"/>
      <c r="L1084" s="61"/>
      <c r="M1084" s="214" t="s">
        <v>705</v>
      </c>
      <c r="N1084" s="215"/>
      <c r="O1084" s="216"/>
      <c r="P1084" s="62"/>
      <c r="Q1084" s="214" t="s">
        <v>109</v>
      </c>
      <c r="R1084" s="215"/>
      <c r="S1084" s="216"/>
      <c r="T1084" s="63"/>
      <c r="V1084" s="61"/>
      <c r="W1084" s="214" t="s">
        <v>705</v>
      </c>
      <c r="X1084" s="215"/>
      <c r="Y1084" s="216"/>
      <c r="Z1084" s="62"/>
      <c r="AA1084" s="214" t="s">
        <v>109</v>
      </c>
      <c r="AB1084" s="215"/>
      <c r="AC1084" s="216"/>
      <c r="AD1084" s="63"/>
      <c r="AF1084" s="61"/>
      <c r="AG1084" s="214" t="s">
        <v>705</v>
      </c>
      <c r="AH1084" s="215"/>
      <c r="AI1084" s="216"/>
      <c r="AJ1084" s="62"/>
      <c r="AK1084" s="214" t="s">
        <v>109</v>
      </c>
      <c r="AL1084" s="215"/>
      <c r="AM1084" s="216"/>
      <c r="AN1084" s="63"/>
    </row>
    <row r="1085" spans="2:40" ht="6.95" customHeight="1" x14ac:dyDescent="0.25">
      <c r="B1085" s="59"/>
      <c r="C1085" s="62"/>
      <c r="D1085" s="62"/>
      <c r="E1085" s="62"/>
      <c r="F1085" s="62"/>
      <c r="G1085" s="62"/>
      <c r="H1085" s="62"/>
      <c r="I1085" s="62"/>
      <c r="J1085" s="60"/>
      <c r="L1085" s="59"/>
      <c r="M1085" s="62"/>
      <c r="N1085" s="62"/>
      <c r="O1085" s="62"/>
      <c r="P1085" s="62"/>
      <c r="Q1085" s="62"/>
      <c r="R1085" s="62"/>
      <c r="S1085" s="62"/>
      <c r="T1085" s="60"/>
      <c r="V1085" s="59"/>
      <c r="W1085" s="62"/>
      <c r="X1085" s="62"/>
      <c r="Y1085" s="62"/>
      <c r="Z1085" s="62"/>
      <c r="AA1085" s="62"/>
      <c r="AB1085" s="62"/>
      <c r="AC1085" s="62"/>
      <c r="AD1085" s="60"/>
      <c r="AF1085" s="59"/>
      <c r="AG1085" s="62"/>
      <c r="AH1085" s="62"/>
      <c r="AI1085" s="62"/>
      <c r="AJ1085" s="62"/>
      <c r="AK1085" s="62"/>
      <c r="AL1085" s="62"/>
      <c r="AM1085" s="62"/>
      <c r="AN1085" s="60"/>
    </row>
    <row r="1086" spans="2:40" ht="18" customHeight="1" x14ac:dyDescent="0.25">
      <c r="B1086" s="61"/>
      <c r="C1086" s="214" t="s">
        <v>708</v>
      </c>
      <c r="D1086" s="215"/>
      <c r="E1086" s="216"/>
      <c r="F1086" s="62"/>
      <c r="G1086" s="214" t="s">
        <v>109</v>
      </c>
      <c r="H1086" s="215"/>
      <c r="I1086" s="216"/>
      <c r="J1086" s="63"/>
      <c r="L1086" s="61"/>
      <c r="M1086" s="214" t="s">
        <v>708</v>
      </c>
      <c r="N1086" s="215"/>
      <c r="O1086" s="216"/>
      <c r="P1086" s="62"/>
      <c r="Q1086" s="214" t="s">
        <v>109</v>
      </c>
      <c r="R1086" s="215"/>
      <c r="S1086" s="216"/>
      <c r="T1086" s="63"/>
      <c r="V1086" s="61"/>
      <c r="W1086" s="214" t="s">
        <v>708</v>
      </c>
      <c r="X1086" s="215"/>
      <c r="Y1086" s="216"/>
      <c r="Z1086" s="62"/>
      <c r="AA1086" s="214" t="s">
        <v>109</v>
      </c>
      <c r="AB1086" s="215"/>
      <c r="AC1086" s="216"/>
      <c r="AD1086" s="63"/>
      <c r="AF1086" s="61"/>
      <c r="AG1086" s="214" t="s">
        <v>708</v>
      </c>
      <c r="AH1086" s="215"/>
      <c r="AI1086" s="216"/>
      <c r="AJ1086" s="62"/>
      <c r="AK1086" s="214" t="s">
        <v>109</v>
      </c>
      <c r="AL1086" s="215"/>
      <c r="AM1086" s="216"/>
      <c r="AN1086" s="63"/>
    </row>
    <row r="1087" spans="2:40" ht="6.95" customHeight="1" x14ac:dyDescent="0.25">
      <c r="B1087" s="59"/>
      <c r="C1087" s="62"/>
      <c r="D1087" s="62"/>
      <c r="E1087" s="62"/>
      <c r="F1087" s="62"/>
      <c r="G1087" s="62"/>
      <c r="H1087" s="62"/>
      <c r="I1087" s="62"/>
      <c r="J1087" s="60"/>
      <c r="L1087" s="59"/>
      <c r="M1087" s="62"/>
      <c r="N1087" s="62"/>
      <c r="O1087" s="62"/>
      <c r="P1087" s="62"/>
      <c r="Q1087" s="62"/>
      <c r="R1087" s="62"/>
      <c r="S1087" s="62"/>
      <c r="T1087" s="60"/>
      <c r="V1087" s="59"/>
      <c r="W1087" s="62"/>
      <c r="X1087" s="62"/>
      <c r="Y1087" s="62"/>
      <c r="Z1087" s="62"/>
      <c r="AA1087" s="62"/>
      <c r="AB1087" s="62"/>
      <c r="AC1087" s="62"/>
      <c r="AD1087" s="60"/>
      <c r="AF1087" s="59"/>
      <c r="AG1087" s="62"/>
      <c r="AH1087" s="62"/>
      <c r="AI1087" s="62"/>
      <c r="AJ1087" s="62"/>
      <c r="AK1087" s="62"/>
      <c r="AL1087" s="62"/>
      <c r="AM1087" s="62"/>
      <c r="AN1087" s="60"/>
    </row>
    <row r="1088" spans="2:40" ht="18" customHeight="1" x14ac:dyDescent="0.25">
      <c r="B1088" s="61"/>
      <c r="C1088" s="214" t="s">
        <v>711</v>
      </c>
      <c r="D1088" s="215"/>
      <c r="E1088" s="216"/>
      <c r="F1088" s="62"/>
      <c r="G1088" s="214" t="s">
        <v>712</v>
      </c>
      <c r="H1088" s="215"/>
      <c r="I1088" s="216"/>
      <c r="J1088" s="63"/>
      <c r="L1088" s="61"/>
      <c r="M1088" s="214" t="s">
        <v>711</v>
      </c>
      <c r="N1088" s="215"/>
      <c r="O1088" s="216"/>
      <c r="P1088" s="62"/>
      <c r="Q1088" s="214" t="s">
        <v>712</v>
      </c>
      <c r="R1088" s="215"/>
      <c r="S1088" s="216"/>
      <c r="T1088" s="63"/>
      <c r="V1088" s="61"/>
      <c r="W1088" s="214" t="s">
        <v>711</v>
      </c>
      <c r="X1088" s="215"/>
      <c r="Y1088" s="216"/>
      <c r="Z1088" s="62"/>
      <c r="AA1088" s="214" t="s">
        <v>712</v>
      </c>
      <c r="AB1088" s="215"/>
      <c r="AC1088" s="216"/>
      <c r="AD1088" s="63"/>
      <c r="AF1088" s="61"/>
      <c r="AG1088" s="214" t="s">
        <v>711</v>
      </c>
      <c r="AH1088" s="215"/>
      <c r="AI1088" s="216"/>
      <c r="AJ1088" s="62"/>
      <c r="AK1088" s="214" t="s">
        <v>712</v>
      </c>
      <c r="AL1088" s="215"/>
      <c r="AM1088" s="216"/>
      <c r="AN1088" s="63"/>
    </row>
    <row r="1089" spans="2:40" ht="6.95" customHeight="1" x14ac:dyDescent="0.25">
      <c r="B1089" s="59"/>
      <c r="C1089" s="62"/>
      <c r="D1089" s="62"/>
      <c r="E1089" s="62"/>
      <c r="F1089" s="62"/>
      <c r="G1089" s="62"/>
      <c r="H1089" s="62"/>
      <c r="I1089" s="62"/>
      <c r="J1089" s="60"/>
      <c r="L1089" s="59"/>
      <c r="M1089" s="62"/>
      <c r="N1089" s="62"/>
      <c r="O1089" s="62"/>
      <c r="P1089" s="62"/>
      <c r="Q1089" s="62"/>
      <c r="R1089" s="62"/>
      <c r="S1089" s="62"/>
      <c r="T1089" s="60"/>
      <c r="V1089" s="59"/>
      <c r="W1089" s="62"/>
      <c r="X1089" s="62"/>
      <c r="Y1089" s="62"/>
      <c r="Z1089" s="62"/>
      <c r="AA1089" s="62"/>
      <c r="AB1089" s="62"/>
      <c r="AC1089" s="62"/>
      <c r="AD1089" s="60"/>
      <c r="AF1089" s="59"/>
      <c r="AG1089" s="62"/>
      <c r="AH1089" s="62"/>
      <c r="AI1089" s="62"/>
      <c r="AJ1089" s="62"/>
      <c r="AK1089" s="62"/>
      <c r="AL1089" s="62"/>
      <c r="AM1089" s="62"/>
      <c r="AN1089" s="60"/>
    </row>
    <row r="1090" spans="2:40" ht="18" customHeight="1" x14ac:dyDescent="0.25">
      <c r="B1090" s="61"/>
      <c r="C1090" s="214" t="s">
        <v>1273</v>
      </c>
      <c r="D1090" s="215"/>
      <c r="E1090" s="216"/>
      <c r="F1090" s="62"/>
      <c r="G1090" s="214" t="s">
        <v>1473</v>
      </c>
      <c r="H1090" s="215"/>
      <c r="I1090" s="216"/>
      <c r="J1090" s="63"/>
      <c r="L1090" s="61"/>
      <c r="M1090" s="214" t="s">
        <v>1273</v>
      </c>
      <c r="N1090" s="215"/>
      <c r="O1090" s="216"/>
      <c r="P1090" s="62"/>
      <c r="Q1090" s="214" t="s">
        <v>1474</v>
      </c>
      <c r="R1090" s="215"/>
      <c r="S1090" s="216"/>
      <c r="T1090" s="63"/>
      <c r="V1090" s="61"/>
      <c r="W1090" s="214" t="s">
        <v>1273</v>
      </c>
      <c r="X1090" s="215"/>
      <c r="Y1090" s="216"/>
      <c r="Z1090" s="62"/>
      <c r="AA1090" s="214" t="s">
        <v>1475</v>
      </c>
      <c r="AB1090" s="215"/>
      <c r="AC1090" s="216"/>
      <c r="AD1090" s="63"/>
      <c r="AF1090" s="61"/>
      <c r="AG1090" s="214" t="s">
        <v>1273</v>
      </c>
      <c r="AH1090" s="215"/>
      <c r="AI1090" s="216"/>
      <c r="AJ1090" s="62"/>
      <c r="AK1090" s="214" t="s">
        <v>1476</v>
      </c>
      <c r="AL1090" s="215"/>
      <c r="AM1090" s="216"/>
      <c r="AN1090" s="63"/>
    </row>
    <row r="1091" spans="2:40" ht="6.95" customHeight="1" x14ac:dyDescent="0.25">
      <c r="B1091" s="59"/>
      <c r="C1091" s="62"/>
      <c r="D1091" s="62"/>
      <c r="E1091" s="62"/>
      <c r="F1091" s="62"/>
      <c r="G1091" s="62"/>
      <c r="H1091" s="62"/>
      <c r="I1091" s="62"/>
      <c r="J1091" s="60"/>
      <c r="L1091" s="59"/>
      <c r="M1091" s="62"/>
      <c r="N1091" s="62"/>
      <c r="O1091" s="62"/>
      <c r="P1091" s="62"/>
      <c r="Q1091" s="62"/>
      <c r="R1091" s="62"/>
      <c r="S1091" s="62"/>
      <c r="T1091" s="60"/>
      <c r="V1091" s="59"/>
      <c r="W1091" s="62"/>
      <c r="X1091" s="62"/>
      <c r="Y1091" s="62"/>
      <c r="Z1091" s="62"/>
      <c r="AA1091" s="62"/>
      <c r="AB1091" s="62"/>
      <c r="AC1091" s="62"/>
      <c r="AD1091" s="60"/>
      <c r="AF1091" s="59"/>
      <c r="AG1091" s="62"/>
      <c r="AH1091" s="62"/>
      <c r="AI1091" s="62"/>
      <c r="AJ1091" s="62"/>
      <c r="AK1091" s="62"/>
      <c r="AL1091" s="62"/>
      <c r="AM1091" s="62"/>
      <c r="AN1091" s="60"/>
    </row>
    <row r="1092" spans="2:40" ht="18" customHeight="1" x14ac:dyDescent="0.25">
      <c r="B1092" s="61"/>
      <c r="C1092" s="214" t="s">
        <v>713</v>
      </c>
      <c r="D1092" s="215"/>
      <c r="E1092" s="216"/>
      <c r="F1092" s="62"/>
      <c r="G1092" s="220" t="s">
        <v>1293</v>
      </c>
      <c r="H1092" s="220"/>
      <c r="I1092" s="220"/>
      <c r="J1092" s="63"/>
      <c r="L1092" s="61"/>
      <c r="M1092" s="214" t="s">
        <v>713</v>
      </c>
      <c r="N1092" s="215"/>
      <c r="O1092" s="216"/>
      <c r="P1092" s="62"/>
      <c r="Q1092" s="220" t="s">
        <v>1293</v>
      </c>
      <c r="R1092" s="220"/>
      <c r="S1092" s="220"/>
      <c r="T1092" s="63"/>
      <c r="V1092" s="61"/>
      <c r="W1092" s="214" t="s">
        <v>713</v>
      </c>
      <c r="X1092" s="215"/>
      <c r="Y1092" s="216"/>
      <c r="Z1092" s="62"/>
      <c r="AA1092" s="220" t="s">
        <v>1293</v>
      </c>
      <c r="AB1092" s="220"/>
      <c r="AC1092" s="220"/>
      <c r="AD1092" s="63"/>
      <c r="AF1092" s="61"/>
      <c r="AG1092" s="214" t="s">
        <v>713</v>
      </c>
      <c r="AH1092" s="215"/>
      <c r="AI1092" s="216"/>
      <c r="AJ1092" s="62"/>
      <c r="AK1092" s="220" t="s">
        <v>1293</v>
      </c>
      <c r="AL1092" s="220"/>
      <c r="AM1092" s="220"/>
      <c r="AN1092" s="63"/>
    </row>
    <row r="1093" spans="2:40" ht="6.95" customHeight="1" x14ac:dyDescent="0.25">
      <c r="B1093" s="59"/>
      <c r="C1093" s="128"/>
      <c r="D1093" s="128"/>
      <c r="E1093" s="128"/>
      <c r="F1093" s="62"/>
      <c r="G1093" s="128"/>
      <c r="H1093" s="128"/>
      <c r="I1093" s="128"/>
      <c r="J1093" s="63"/>
      <c r="L1093" s="59"/>
      <c r="M1093" s="128"/>
      <c r="N1093" s="128"/>
      <c r="O1093" s="128"/>
      <c r="P1093" s="62"/>
      <c r="Q1093" s="128"/>
      <c r="R1093" s="128"/>
      <c r="S1093" s="128"/>
      <c r="T1093" s="63"/>
      <c r="V1093" s="59"/>
      <c r="W1093" s="128"/>
      <c r="X1093" s="128"/>
      <c r="Y1093" s="128"/>
      <c r="Z1093" s="62"/>
      <c r="AA1093" s="128"/>
      <c r="AB1093" s="128"/>
      <c r="AC1093" s="128"/>
      <c r="AD1093" s="63"/>
      <c r="AF1093" s="59"/>
      <c r="AG1093" s="128"/>
      <c r="AH1093" s="128"/>
      <c r="AI1093" s="128"/>
      <c r="AJ1093" s="62"/>
      <c r="AK1093" s="128"/>
      <c r="AL1093" s="128"/>
      <c r="AM1093" s="128"/>
      <c r="AN1093" s="63"/>
    </row>
    <row r="1094" spans="2:40" ht="18" customHeight="1" x14ac:dyDescent="0.25">
      <c r="B1094" s="59"/>
      <c r="C1094" s="220" t="s">
        <v>715</v>
      </c>
      <c r="D1094" s="220"/>
      <c r="E1094" s="220"/>
      <c r="F1094" s="62"/>
      <c r="G1094" s="220" t="s">
        <v>1270</v>
      </c>
      <c r="H1094" s="220"/>
      <c r="I1094" s="220"/>
      <c r="J1094" s="63"/>
      <c r="L1094" s="59"/>
      <c r="M1094" s="220" t="s">
        <v>715</v>
      </c>
      <c r="N1094" s="220"/>
      <c r="O1094" s="220"/>
      <c r="P1094" s="62"/>
      <c r="Q1094" s="220" t="s">
        <v>1270</v>
      </c>
      <c r="R1094" s="220"/>
      <c r="S1094" s="220"/>
      <c r="T1094" s="63"/>
      <c r="V1094" s="59"/>
      <c r="W1094" s="220" t="s">
        <v>715</v>
      </c>
      <c r="X1094" s="220"/>
      <c r="Y1094" s="220"/>
      <c r="Z1094" s="62"/>
      <c r="AA1094" s="220" t="s">
        <v>1270</v>
      </c>
      <c r="AB1094" s="220"/>
      <c r="AC1094" s="220"/>
      <c r="AD1094" s="63"/>
      <c r="AF1094" s="59"/>
      <c r="AG1094" s="220" t="s">
        <v>715</v>
      </c>
      <c r="AH1094" s="220"/>
      <c r="AI1094" s="220"/>
      <c r="AJ1094" s="62"/>
      <c r="AK1094" s="220" t="s">
        <v>1270</v>
      </c>
      <c r="AL1094" s="220"/>
      <c r="AM1094" s="220"/>
      <c r="AN1094" s="63"/>
    </row>
    <row r="1095" spans="2:40" ht="6.95" customHeight="1" thickBot="1" x14ac:dyDescent="0.3">
      <c r="B1095" s="64"/>
      <c r="C1095" s="65"/>
      <c r="D1095" s="65"/>
      <c r="E1095" s="65"/>
      <c r="F1095" s="65"/>
      <c r="G1095" s="65"/>
      <c r="H1095" s="65"/>
      <c r="I1095" s="65"/>
      <c r="J1095" s="66"/>
      <c r="L1095" s="64"/>
      <c r="M1095" s="65"/>
      <c r="N1095" s="65"/>
      <c r="O1095" s="65"/>
      <c r="P1095" s="65"/>
      <c r="Q1095" s="65"/>
      <c r="R1095" s="65"/>
      <c r="S1095" s="65"/>
      <c r="T1095" s="66"/>
      <c r="V1095" s="64"/>
      <c r="W1095" s="65"/>
      <c r="X1095" s="65"/>
      <c r="Y1095" s="65"/>
      <c r="Z1095" s="65"/>
      <c r="AA1095" s="65"/>
      <c r="AB1095" s="65"/>
      <c r="AC1095" s="65"/>
      <c r="AD1095" s="66"/>
      <c r="AF1095" s="64"/>
      <c r="AG1095" s="65"/>
      <c r="AH1095" s="65"/>
      <c r="AI1095" s="65"/>
      <c r="AJ1095" s="65"/>
      <c r="AK1095" s="65"/>
      <c r="AL1095" s="65"/>
      <c r="AM1095" s="65"/>
      <c r="AN1095" s="66"/>
    </row>
    <row r="1096" spans="2:40" ht="32.1" customHeight="1" thickTop="1" x14ac:dyDescent="0.25">
      <c r="B1096" s="57"/>
      <c r="C1096" s="58"/>
      <c r="D1096" s="217" t="s">
        <v>697</v>
      </c>
      <c r="E1096" s="218"/>
      <c r="F1096" s="218"/>
      <c r="G1096" s="218"/>
      <c r="H1096" s="218"/>
      <c r="I1096" s="218"/>
      <c r="J1096" s="219"/>
      <c r="L1096" s="57"/>
      <c r="M1096" s="58"/>
      <c r="N1096" s="217" t="s">
        <v>697</v>
      </c>
      <c r="O1096" s="218"/>
      <c r="P1096" s="218"/>
      <c r="Q1096" s="218"/>
      <c r="R1096" s="218"/>
      <c r="S1096" s="218"/>
      <c r="T1096" s="219"/>
      <c r="V1096" s="57"/>
      <c r="W1096" s="58"/>
      <c r="X1096" s="217" t="s">
        <v>697</v>
      </c>
      <c r="Y1096" s="218"/>
      <c r="Z1096" s="218"/>
      <c r="AA1096" s="218"/>
      <c r="AB1096" s="218"/>
      <c r="AC1096" s="218"/>
      <c r="AD1096" s="219"/>
      <c r="AF1096" s="57"/>
      <c r="AG1096" s="58"/>
      <c r="AH1096" s="217" t="s">
        <v>697</v>
      </c>
      <c r="AI1096" s="218"/>
      <c r="AJ1096" s="218"/>
      <c r="AK1096" s="218"/>
      <c r="AL1096" s="218"/>
      <c r="AM1096" s="218"/>
      <c r="AN1096" s="219"/>
    </row>
    <row r="1097" spans="2:40" ht="6.95" customHeight="1" x14ac:dyDescent="0.25">
      <c r="B1097" s="59"/>
      <c r="J1097" s="60"/>
      <c r="L1097" s="59"/>
      <c r="T1097" s="60"/>
      <c r="V1097" s="59"/>
      <c r="AD1097" s="60"/>
      <c r="AF1097" s="59"/>
      <c r="AN1097" s="60"/>
    </row>
    <row r="1098" spans="2:40" ht="18" customHeight="1" x14ac:dyDescent="0.25">
      <c r="B1098" s="61"/>
      <c r="C1098" s="214" t="s">
        <v>698</v>
      </c>
      <c r="D1098" s="215"/>
      <c r="E1098" s="216"/>
      <c r="F1098" s="62"/>
      <c r="G1098" s="214" t="s">
        <v>1477</v>
      </c>
      <c r="H1098" s="215"/>
      <c r="I1098" s="216"/>
      <c r="J1098" s="63"/>
      <c r="L1098" s="61"/>
      <c r="M1098" s="214" t="s">
        <v>698</v>
      </c>
      <c r="N1098" s="215"/>
      <c r="O1098" s="216"/>
      <c r="P1098" s="62"/>
      <c r="Q1098" s="214" t="s">
        <v>1478</v>
      </c>
      <c r="R1098" s="215"/>
      <c r="S1098" s="216"/>
      <c r="T1098" s="63"/>
      <c r="V1098" s="61"/>
      <c r="W1098" s="214" t="s">
        <v>698</v>
      </c>
      <c r="X1098" s="215"/>
      <c r="Y1098" s="216"/>
      <c r="Z1098" s="62"/>
      <c r="AA1098" s="214" t="s">
        <v>1479</v>
      </c>
      <c r="AB1098" s="215"/>
      <c r="AC1098" s="216"/>
      <c r="AD1098" s="63"/>
      <c r="AF1098" s="61"/>
      <c r="AG1098" s="214" t="s">
        <v>698</v>
      </c>
      <c r="AH1098" s="215"/>
      <c r="AI1098" s="216"/>
      <c r="AJ1098" s="62"/>
      <c r="AK1098" s="214" t="s">
        <v>1480</v>
      </c>
      <c r="AL1098" s="215"/>
      <c r="AM1098" s="216"/>
      <c r="AN1098" s="63"/>
    </row>
    <row r="1099" spans="2:40" ht="6.95" customHeight="1" x14ac:dyDescent="0.25">
      <c r="B1099" s="59"/>
      <c r="C1099" s="62"/>
      <c r="D1099" s="62"/>
      <c r="E1099" s="62"/>
      <c r="F1099" s="62"/>
      <c r="G1099" s="62"/>
      <c r="H1099" s="62"/>
      <c r="I1099" s="62"/>
      <c r="J1099" s="60"/>
      <c r="L1099" s="59"/>
      <c r="M1099" s="62"/>
      <c r="N1099" s="62"/>
      <c r="O1099" s="62"/>
      <c r="P1099" s="62"/>
      <c r="Q1099" s="62"/>
      <c r="R1099" s="62"/>
      <c r="S1099" s="62"/>
      <c r="T1099" s="60"/>
      <c r="V1099" s="59"/>
      <c r="W1099" s="62"/>
      <c r="X1099" s="62"/>
      <c r="Y1099" s="62"/>
      <c r="Z1099" s="62"/>
      <c r="AA1099" s="62"/>
      <c r="AB1099" s="62"/>
      <c r="AC1099" s="62"/>
      <c r="AD1099" s="60"/>
      <c r="AF1099" s="59"/>
      <c r="AG1099" s="62"/>
      <c r="AH1099" s="62"/>
      <c r="AI1099" s="62"/>
      <c r="AJ1099" s="62"/>
      <c r="AK1099" s="62"/>
      <c r="AL1099" s="62"/>
      <c r="AM1099" s="62"/>
      <c r="AN1099" s="60"/>
    </row>
    <row r="1100" spans="2:40" ht="18" customHeight="1" x14ac:dyDescent="0.25">
      <c r="B1100" s="61"/>
      <c r="C1100" s="214" t="s">
        <v>699</v>
      </c>
      <c r="D1100" s="215"/>
      <c r="E1100" s="216"/>
      <c r="F1100" s="62"/>
      <c r="G1100" s="214" t="s">
        <v>1639</v>
      </c>
      <c r="H1100" s="215"/>
      <c r="I1100" s="216"/>
      <c r="J1100" s="63"/>
      <c r="L1100" s="61"/>
      <c r="M1100" s="214" t="s">
        <v>699</v>
      </c>
      <c r="N1100" s="215"/>
      <c r="O1100" s="216"/>
      <c r="P1100" s="62"/>
      <c r="Q1100" s="214" t="s">
        <v>1639</v>
      </c>
      <c r="R1100" s="215"/>
      <c r="S1100" s="216"/>
      <c r="T1100" s="63"/>
      <c r="V1100" s="61"/>
      <c r="W1100" s="214" t="s">
        <v>699</v>
      </c>
      <c r="X1100" s="215"/>
      <c r="Y1100" s="216"/>
      <c r="Z1100" s="62"/>
      <c r="AA1100" s="214" t="s">
        <v>1639</v>
      </c>
      <c r="AB1100" s="215"/>
      <c r="AC1100" s="216"/>
      <c r="AD1100" s="63"/>
      <c r="AF1100" s="61"/>
      <c r="AG1100" s="214" t="s">
        <v>699</v>
      </c>
      <c r="AH1100" s="215"/>
      <c r="AI1100" s="216"/>
      <c r="AJ1100" s="62"/>
      <c r="AK1100" s="214" t="s">
        <v>1639</v>
      </c>
      <c r="AL1100" s="215"/>
      <c r="AM1100" s="216"/>
      <c r="AN1100" s="63"/>
    </row>
    <row r="1101" spans="2:40" ht="6.95" customHeight="1" x14ac:dyDescent="0.25">
      <c r="B1101" s="59"/>
      <c r="C1101" s="62"/>
      <c r="D1101" s="62"/>
      <c r="E1101" s="62"/>
      <c r="F1101" s="62"/>
      <c r="G1101" s="62"/>
      <c r="H1101" s="62"/>
      <c r="I1101" s="62"/>
      <c r="J1101" s="60"/>
      <c r="L1101" s="59"/>
      <c r="M1101" s="62"/>
      <c r="N1101" s="62"/>
      <c r="O1101" s="62"/>
      <c r="P1101" s="62"/>
      <c r="Q1101" s="62"/>
      <c r="R1101" s="62"/>
      <c r="S1101" s="62"/>
      <c r="T1101" s="60"/>
      <c r="V1101" s="59"/>
      <c r="W1101" s="62"/>
      <c r="X1101" s="62"/>
      <c r="Y1101" s="62"/>
      <c r="Z1101" s="62"/>
      <c r="AA1101" s="62"/>
      <c r="AB1101" s="62"/>
      <c r="AC1101" s="62"/>
      <c r="AD1101" s="60"/>
      <c r="AF1101" s="59"/>
      <c r="AG1101" s="62"/>
      <c r="AH1101" s="62"/>
      <c r="AI1101" s="62"/>
      <c r="AJ1101" s="62"/>
      <c r="AK1101" s="62"/>
      <c r="AL1101" s="62"/>
      <c r="AM1101" s="62"/>
      <c r="AN1101" s="60"/>
    </row>
    <row r="1102" spans="2:40" ht="18" customHeight="1" x14ac:dyDescent="0.25">
      <c r="B1102" s="61"/>
      <c r="C1102" s="214" t="s">
        <v>701</v>
      </c>
      <c r="D1102" s="215"/>
      <c r="E1102" s="216"/>
      <c r="F1102" s="62"/>
      <c r="G1102" s="214" t="s">
        <v>986</v>
      </c>
      <c r="H1102" s="215"/>
      <c r="I1102" s="216"/>
      <c r="J1102" s="63"/>
      <c r="L1102" s="61"/>
      <c r="M1102" s="214" t="s">
        <v>701</v>
      </c>
      <c r="N1102" s="215"/>
      <c r="O1102" s="216"/>
      <c r="P1102" s="62"/>
      <c r="Q1102" s="214" t="s">
        <v>986</v>
      </c>
      <c r="R1102" s="215"/>
      <c r="S1102" s="216"/>
      <c r="T1102" s="63"/>
      <c r="V1102" s="61"/>
      <c r="W1102" s="214" t="s">
        <v>701</v>
      </c>
      <c r="X1102" s="215"/>
      <c r="Y1102" s="216"/>
      <c r="Z1102" s="62"/>
      <c r="AA1102" s="214" t="s">
        <v>986</v>
      </c>
      <c r="AB1102" s="215"/>
      <c r="AC1102" s="216"/>
      <c r="AD1102" s="63"/>
      <c r="AF1102" s="61"/>
      <c r="AG1102" s="214" t="s">
        <v>701</v>
      </c>
      <c r="AH1102" s="215"/>
      <c r="AI1102" s="216"/>
      <c r="AJ1102" s="62"/>
      <c r="AK1102" s="214" t="s">
        <v>986</v>
      </c>
      <c r="AL1102" s="215"/>
      <c r="AM1102" s="216"/>
      <c r="AN1102" s="63"/>
    </row>
    <row r="1103" spans="2:40" ht="6.95" customHeight="1" x14ac:dyDescent="0.25">
      <c r="B1103" s="59"/>
      <c r="C1103" s="62"/>
      <c r="D1103" s="62"/>
      <c r="E1103" s="62"/>
      <c r="F1103" s="62"/>
      <c r="G1103" s="62"/>
      <c r="H1103" s="62"/>
      <c r="I1103" s="62"/>
      <c r="J1103" s="60"/>
      <c r="L1103" s="59"/>
      <c r="M1103" s="62"/>
      <c r="N1103" s="62"/>
      <c r="O1103" s="62"/>
      <c r="P1103" s="62"/>
      <c r="Q1103" s="62"/>
      <c r="R1103" s="62"/>
      <c r="S1103" s="62"/>
      <c r="T1103" s="60"/>
      <c r="V1103" s="59"/>
      <c r="W1103" s="62"/>
      <c r="X1103" s="62"/>
      <c r="Y1103" s="62"/>
      <c r="Z1103" s="62"/>
      <c r="AA1103" s="62"/>
      <c r="AB1103" s="62"/>
      <c r="AC1103" s="62"/>
      <c r="AD1103" s="60"/>
      <c r="AF1103" s="59"/>
      <c r="AG1103" s="62"/>
      <c r="AH1103" s="62"/>
      <c r="AI1103" s="62"/>
      <c r="AJ1103" s="62"/>
      <c r="AK1103" s="62"/>
      <c r="AL1103" s="62"/>
      <c r="AM1103" s="62"/>
      <c r="AN1103" s="60"/>
    </row>
    <row r="1104" spans="2:40" ht="18" customHeight="1" x14ac:dyDescent="0.25">
      <c r="B1104" s="61"/>
      <c r="C1104" s="214" t="s">
        <v>703</v>
      </c>
      <c r="D1104" s="215"/>
      <c r="E1104" s="216"/>
      <c r="F1104" s="62"/>
      <c r="G1104" s="214" t="s">
        <v>109</v>
      </c>
      <c r="H1104" s="215"/>
      <c r="I1104" s="216"/>
      <c r="J1104" s="63"/>
      <c r="L1104" s="61"/>
      <c r="M1104" s="214" t="s">
        <v>703</v>
      </c>
      <c r="N1104" s="215"/>
      <c r="O1104" s="216"/>
      <c r="P1104" s="62"/>
      <c r="Q1104" s="214" t="s">
        <v>109</v>
      </c>
      <c r="R1104" s="215"/>
      <c r="S1104" s="216"/>
      <c r="T1104" s="63"/>
      <c r="V1104" s="61"/>
      <c r="W1104" s="214" t="s">
        <v>703</v>
      </c>
      <c r="X1104" s="215"/>
      <c r="Y1104" s="216"/>
      <c r="Z1104" s="62"/>
      <c r="AA1104" s="214" t="s">
        <v>109</v>
      </c>
      <c r="AB1104" s="215"/>
      <c r="AC1104" s="216"/>
      <c r="AD1104" s="63"/>
      <c r="AF1104" s="61"/>
      <c r="AG1104" s="214" t="s">
        <v>703</v>
      </c>
      <c r="AH1104" s="215"/>
      <c r="AI1104" s="216"/>
      <c r="AJ1104" s="62"/>
      <c r="AK1104" s="214" t="s">
        <v>109</v>
      </c>
      <c r="AL1104" s="215"/>
      <c r="AM1104" s="216"/>
      <c r="AN1104" s="63"/>
    </row>
    <row r="1105" spans="2:40" ht="6.6" customHeight="1" x14ac:dyDescent="0.25">
      <c r="B1105" s="59"/>
      <c r="C1105" s="62"/>
      <c r="D1105" s="62"/>
      <c r="E1105" s="62"/>
      <c r="F1105" s="62"/>
      <c r="G1105" s="62"/>
      <c r="H1105" s="62"/>
      <c r="I1105" s="62"/>
      <c r="J1105" s="60"/>
      <c r="L1105" s="59"/>
      <c r="M1105" s="62"/>
      <c r="N1105" s="62"/>
      <c r="O1105" s="62"/>
      <c r="P1105" s="62"/>
      <c r="Q1105" s="62"/>
      <c r="R1105" s="62"/>
      <c r="S1105" s="62"/>
      <c r="T1105" s="60"/>
      <c r="V1105" s="59"/>
      <c r="W1105" s="62"/>
      <c r="X1105" s="62"/>
      <c r="Y1105" s="62"/>
      <c r="Z1105" s="62"/>
      <c r="AA1105" s="62"/>
      <c r="AB1105" s="62"/>
      <c r="AC1105" s="62"/>
      <c r="AD1105" s="60"/>
      <c r="AF1105" s="59"/>
      <c r="AG1105" s="62"/>
      <c r="AH1105" s="62"/>
      <c r="AI1105" s="62"/>
      <c r="AJ1105" s="62"/>
      <c r="AK1105" s="62"/>
      <c r="AL1105" s="62"/>
      <c r="AM1105" s="62"/>
      <c r="AN1105" s="60"/>
    </row>
    <row r="1106" spans="2:40" ht="18" customHeight="1" x14ac:dyDescent="0.25">
      <c r="B1106" s="61"/>
      <c r="C1106" s="214" t="s">
        <v>705</v>
      </c>
      <c r="D1106" s="215"/>
      <c r="E1106" s="216"/>
      <c r="F1106" s="62"/>
      <c r="G1106" s="214" t="s">
        <v>109</v>
      </c>
      <c r="H1106" s="215"/>
      <c r="I1106" s="216"/>
      <c r="J1106" s="63"/>
      <c r="L1106" s="61"/>
      <c r="M1106" s="214" t="s">
        <v>705</v>
      </c>
      <c r="N1106" s="215"/>
      <c r="O1106" s="216"/>
      <c r="P1106" s="62"/>
      <c r="Q1106" s="214" t="s">
        <v>109</v>
      </c>
      <c r="R1106" s="215"/>
      <c r="S1106" s="216"/>
      <c r="T1106" s="63"/>
      <c r="V1106" s="61"/>
      <c r="W1106" s="214" t="s">
        <v>705</v>
      </c>
      <c r="X1106" s="215"/>
      <c r="Y1106" s="216"/>
      <c r="Z1106" s="62"/>
      <c r="AA1106" s="214" t="s">
        <v>109</v>
      </c>
      <c r="AB1106" s="215"/>
      <c r="AC1106" s="216"/>
      <c r="AD1106" s="63"/>
      <c r="AF1106" s="61"/>
      <c r="AG1106" s="214" t="s">
        <v>705</v>
      </c>
      <c r="AH1106" s="215"/>
      <c r="AI1106" s="216"/>
      <c r="AJ1106" s="62"/>
      <c r="AK1106" s="214" t="s">
        <v>109</v>
      </c>
      <c r="AL1106" s="215"/>
      <c r="AM1106" s="216"/>
      <c r="AN1106" s="63"/>
    </row>
    <row r="1107" spans="2:40" ht="6.95" customHeight="1" x14ac:dyDescent="0.25">
      <c r="B1107" s="59"/>
      <c r="C1107" s="62"/>
      <c r="D1107" s="62"/>
      <c r="E1107" s="62"/>
      <c r="F1107" s="62"/>
      <c r="G1107" s="62"/>
      <c r="H1107" s="62"/>
      <c r="I1107" s="62"/>
      <c r="J1107" s="60"/>
      <c r="L1107" s="59"/>
      <c r="M1107" s="62"/>
      <c r="N1107" s="62"/>
      <c r="O1107" s="62"/>
      <c r="P1107" s="62"/>
      <c r="Q1107" s="62"/>
      <c r="R1107" s="62"/>
      <c r="S1107" s="62"/>
      <c r="T1107" s="60"/>
      <c r="V1107" s="59"/>
      <c r="W1107" s="62"/>
      <c r="X1107" s="62"/>
      <c r="Y1107" s="62"/>
      <c r="Z1107" s="62"/>
      <c r="AA1107" s="62"/>
      <c r="AB1107" s="62"/>
      <c r="AC1107" s="62"/>
      <c r="AD1107" s="60"/>
      <c r="AF1107" s="59"/>
      <c r="AG1107" s="62"/>
      <c r="AH1107" s="62"/>
      <c r="AI1107" s="62"/>
      <c r="AJ1107" s="62"/>
      <c r="AK1107" s="62"/>
      <c r="AL1107" s="62"/>
      <c r="AM1107" s="62"/>
      <c r="AN1107" s="60"/>
    </row>
    <row r="1108" spans="2:40" ht="18" customHeight="1" x14ac:dyDescent="0.25">
      <c r="B1108" s="61"/>
      <c r="C1108" s="214" t="s">
        <v>708</v>
      </c>
      <c r="D1108" s="215"/>
      <c r="E1108" s="216"/>
      <c r="F1108" s="62"/>
      <c r="G1108" s="214" t="s">
        <v>109</v>
      </c>
      <c r="H1108" s="215"/>
      <c r="I1108" s="216"/>
      <c r="J1108" s="63"/>
      <c r="L1108" s="61"/>
      <c r="M1108" s="214" t="s">
        <v>708</v>
      </c>
      <c r="N1108" s="215"/>
      <c r="O1108" s="216"/>
      <c r="P1108" s="62"/>
      <c r="Q1108" s="214" t="s">
        <v>109</v>
      </c>
      <c r="R1108" s="215"/>
      <c r="S1108" s="216"/>
      <c r="T1108" s="63"/>
      <c r="V1108" s="61"/>
      <c r="W1108" s="214" t="s">
        <v>708</v>
      </c>
      <c r="X1108" s="215"/>
      <c r="Y1108" s="216"/>
      <c r="Z1108" s="62"/>
      <c r="AA1108" s="214" t="s">
        <v>109</v>
      </c>
      <c r="AB1108" s="215"/>
      <c r="AC1108" s="216"/>
      <c r="AD1108" s="63"/>
      <c r="AF1108" s="61"/>
      <c r="AG1108" s="214" t="s">
        <v>708</v>
      </c>
      <c r="AH1108" s="215"/>
      <c r="AI1108" s="216"/>
      <c r="AJ1108" s="62"/>
      <c r="AK1108" s="214" t="s">
        <v>109</v>
      </c>
      <c r="AL1108" s="215"/>
      <c r="AM1108" s="216"/>
      <c r="AN1108" s="63"/>
    </row>
    <row r="1109" spans="2:40" ht="6.95" customHeight="1" x14ac:dyDescent="0.25">
      <c r="B1109" s="59"/>
      <c r="C1109" s="62"/>
      <c r="D1109" s="62"/>
      <c r="E1109" s="62"/>
      <c r="F1109" s="62"/>
      <c r="G1109" s="62"/>
      <c r="H1109" s="62"/>
      <c r="I1109" s="62"/>
      <c r="J1109" s="60"/>
      <c r="L1109" s="59"/>
      <c r="M1109" s="62"/>
      <c r="N1109" s="62"/>
      <c r="O1109" s="62"/>
      <c r="P1109" s="62"/>
      <c r="Q1109" s="62"/>
      <c r="R1109" s="62"/>
      <c r="S1109" s="62"/>
      <c r="T1109" s="60"/>
      <c r="V1109" s="59"/>
      <c r="W1109" s="62"/>
      <c r="X1109" s="62"/>
      <c r="Y1109" s="62"/>
      <c r="Z1109" s="62"/>
      <c r="AA1109" s="62"/>
      <c r="AB1109" s="62"/>
      <c r="AC1109" s="62"/>
      <c r="AD1109" s="60"/>
      <c r="AF1109" s="59"/>
      <c r="AG1109" s="62"/>
      <c r="AH1109" s="62"/>
      <c r="AI1109" s="62"/>
      <c r="AJ1109" s="62"/>
      <c r="AK1109" s="62"/>
      <c r="AL1109" s="62"/>
      <c r="AM1109" s="62"/>
      <c r="AN1109" s="60"/>
    </row>
    <row r="1110" spans="2:40" ht="18" customHeight="1" x14ac:dyDescent="0.25">
      <c r="B1110" s="61"/>
      <c r="C1110" s="214" t="s">
        <v>711</v>
      </c>
      <c r="D1110" s="215"/>
      <c r="E1110" s="216"/>
      <c r="F1110" s="62"/>
      <c r="G1110" s="214" t="s">
        <v>712</v>
      </c>
      <c r="H1110" s="215"/>
      <c r="I1110" s="216"/>
      <c r="J1110" s="63"/>
      <c r="L1110" s="61"/>
      <c r="M1110" s="214" t="s">
        <v>711</v>
      </c>
      <c r="N1110" s="215"/>
      <c r="O1110" s="216"/>
      <c r="P1110" s="62"/>
      <c r="Q1110" s="214" t="s">
        <v>712</v>
      </c>
      <c r="R1110" s="215"/>
      <c r="S1110" s="216"/>
      <c r="T1110" s="63"/>
      <c r="V1110" s="61"/>
      <c r="W1110" s="214" t="s">
        <v>711</v>
      </c>
      <c r="X1110" s="215"/>
      <c r="Y1110" s="216"/>
      <c r="Z1110" s="62"/>
      <c r="AA1110" s="214" t="s">
        <v>712</v>
      </c>
      <c r="AB1110" s="215"/>
      <c r="AC1110" s="216"/>
      <c r="AD1110" s="63"/>
      <c r="AF1110" s="61"/>
      <c r="AG1110" s="214" t="s">
        <v>711</v>
      </c>
      <c r="AH1110" s="215"/>
      <c r="AI1110" s="216"/>
      <c r="AJ1110" s="62"/>
      <c r="AK1110" s="214" t="s">
        <v>712</v>
      </c>
      <c r="AL1110" s="215"/>
      <c r="AM1110" s="216"/>
      <c r="AN1110" s="63"/>
    </row>
    <row r="1111" spans="2:40" ht="6.95" customHeight="1" x14ac:dyDescent="0.25">
      <c r="B1111" s="59"/>
      <c r="C1111" s="62"/>
      <c r="D1111" s="62"/>
      <c r="E1111" s="62"/>
      <c r="F1111" s="62"/>
      <c r="G1111" s="62"/>
      <c r="H1111" s="62"/>
      <c r="I1111" s="62"/>
      <c r="J1111" s="60"/>
      <c r="L1111" s="59"/>
      <c r="M1111" s="62"/>
      <c r="N1111" s="62"/>
      <c r="O1111" s="62"/>
      <c r="P1111" s="62"/>
      <c r="Q1111" s="62"/>
      <c r="R1111" s="62"/>
      <c r="S1111" s="62"/>
      <c r="T1111" s="60"/>
      <c r="V1111" s="59"/>
      <c r="W1111" s="62"/>
      <c r="X1111" s="62"/>
      <c r="Y1111" s="62"/>
      <c r="Z1111" s="62"/>
      <c r="AA1111" s="62"/>
      <c r="AB1111" s="62"/>
      <c r="AC1111" s="62"/>
      <c r="AD1111" s="60"/>
      <c r="AF1111" s="59"/>
      <c r="AG1111" s="62"/>
      <c r="AH1111" s="62"/>
      <c r="AI1111" s="62"/>
      <c r="AJ1111" s="62"/>
      <c r="AK1111" s="62"/>
      <c r="AL1111" s="62"/>
      <c r="AM1111" s="62"/>
      <c r="AN1111" s="60"/>
    </row>
    <row r="1112" spans="2:40" ht="18" customHeight="1" x14ac:dyDescent="0.25">
      <c r="B1112" s="61"/>
      <c r="C1112" s="214" t="s">
        <v>1273</v>
      </c>
      <c r="D1112" s="215"/>
      <c r="E1112" s="216"/>
      <c r="F1112" s="62"/>
      <c r="G1112" s="214" t="s">
        <v>1481</v>
      </c>
      <c r="H1112" s="215"/>
      <c r="I1112" s="216"/>
      <c r="J1112" s="63"/>
      <c r="L1112" s="61"/>
      <c r="M1112" s="214" t="s">
        <v>1273</v>
      </c>
      <c r="N1112" s="215"/>
      <c r="O1112" s="216"/>
      <c r="P1112" s="62"/>
      <c r="Q1112" s="214" t="s">
        <v>1482</v>
      </c>
      <c r="R1112" s="215"/>
      <c r="S1112" s="216"/>
      <c r="T1112" s="63"/>
      <c r="V1112" s="61"/>
      <c r="W1112" s="214" t="s">
        <v>1273</v>
      </c>
      <c r="X1112" s="215"/>
      <c r="Y1112" s="216"/>
      <c r="Z1112" s="62"/>
      <c r="AA1112" s="214" t="s">
        <v>1483</v>
      </c>
      <c r="AB1112" s="215"/>
      <c r="AC1112" s="216"/>
      <c r="AD1112" s="63"/>
      <c r="AF1112" s="61"/>
      <c r="AG1112" s="214" t="s">
        <v>1273</v>
      </c>
      <c r="AH1112" s="215"/>
      <c r="AI1112" s="216"/>
      <c r="AJ1112" s="62"/>
      <c r="AK1112" s="214" t="s">
        <v>1484</v>
      </c>
      <c r="AL1112" s="215"/>
      <c r="AM1112" s="216"/>
      <c r="AN1112" s="63"/>
    </row>
    <row r="1113" spans="2:40" ht="6.95" customHeight="1" x14ac:dyDescent="0.25">
      <c r="B1113" s="59"/>
      <c r="C1113" s="62"/>
      <c r="D1113" s="62"/>
      <c r="E1113" s="62"/>
      <c r="F1113" s="62"/>
      <c r="G1113" s="62"/>
      <c r="H1113" s="62"/>
      <c r="I1113" s="62"/>
      <c r="J1113" s="60"/>
      <c r="L1113" s="59"/>
      <c r="M1113" s="62"/>
      <c r="N1113" s="62"/>
      <c r="O1113" s="62"/>
      <c r="P1113" s="62"/>
      <c r="Q1113" s="62"/>
      <c r="R1113" s="62"/>
      <c r="S1113" s="62"/>
      <c r="T1113" s="60"/>
      <c r="V1113" s="59"/>
      <c r="W1113" s="62"/>
      <c r="X1113" s="62"/>
      <c r="Y1113" s="62"/>
      <c r="Z1113" s="62"/>
      <c r="AA1113" s="62"/>
      <c r="AB1113" s="62"/>
      <c r="AC1113" s="62"/>
      <c r="AD1113" s="60"/>
      <c r="AF1113" s="59"/>
      <c r="AG1113" s="62"/>
      <c r="AH1113" s="62"/>
      <c r="AI1113" s="62"/>
      <c r="AJ1113" s="62"/>
      <c r="AK1113" s="62"/>
      <c r="AL1113" s="62"/>
      <c r="AM1113" s="62"/>
      <c r="AN1113" s="60"/>
    </row>
    <row r="1114" spans="2:40" ht="18" customHeight="1" x14ac:dyDescent="0.25">
      <c r="B1114" s="61"/>
      <c r="C1114" s="214" t="s">
        <v>713</v>
      </c>
      <c r="D1114" s="215"/>
      <c r="E1114" s="216"/>
      <c r="F1114" s="62"/>
      <c r="G1114" s="220" t="s">
        <v>1293</v>
      </c>
      <c r="H1114" s="220"/>
      <c r="I1114" s="220"/>
      <c r="J1114" s="63"/>
      <c r="L1114" s="61"/>
      <c r="M1114" s="214" t="s">
        <v>713</v>
      </c>
      <c r="N1114" s="215"/>
      <c r="O1114" s="216"/>
      <c r="P1114" s="62"/>
      <c r="Q1114" s="220" t="s">
        <v>1293</v>
      </c>
      <c r="R1114" s="220"/>
      <c r="S1114" s="220"/>
      <c r="T1114" s="63"/>
      <c r="V1114" s="61"/>
      <c r="W1114" s="214" t="s">
        <v>713</v>
      </c>
      <c r="X1114" s="215"/>
      <c r="Y1114" s="216"/>
      <c r="Z1114" s="62"/>
      <c r="AA1114" s="220" t="s">
        <v>1293</v>
      </c>
      <c r="AB1114" s="220"/>
      <c r="AC1114" s="220"/>
      <c r="AD1114" s="63"/>
      <c r="AF1114" s="61"/>
      <c r="AG1114" s="214" t="s">
        <v>713</v>
      </c>
      <c r="AH1114" s="215"/>
      <c r="AI1114" s="216"/>
      <c r="AJ1114" s="62"/>
      <c r="AK1114" s="220" t="s">
        <v>1293</v>
      </c>
      <c r="AL1114" s="220"/>
      <c r="AM1114" s="220"/>
      <c r="AN1114" s="63"/>
    </row>
    <row r="1115" spans="2:40" ht="6.95" customHeight="1" x14ac:dyDescent="0.25">
      <c r="B1115" s="59"/>
      <c r="C1115" s="128"/>
      <c r="D1115" s="128"/>
      <c r="E1115" s="128"/>
      <c r="F1115" s="62"/>
      <c r="G1115" s="128"/>
      <c r="H1115" s="128"/>
      <c r="I1115" s="128"/>
      <c r="J1115" s="63"/>
      <c r="L1115" s="59"/>
      <c r="M1115" s="128"/>
      <c r="N1115" s="128"/>
      <c r="O1115" s="128"/>
      <c r="P1115" s="62"/>
      <c r="Q1115" s="128"/>
      <c r="R1115" s="128"/>
      <c r="S1115" s="128"/>
      <c r="T1115" s="63"/>
      <c r="V1115" s="59"/>
      <c r="W1115" s="128"/>
      <c r="X1115" s="128"/>
      <c r="Y1115" s="128"/>
      <c r="Z1115" s="62"/>
      <c r="AA1115" s="128"/>
      <c r="AB1115" s="128"/>
      <c r="AC1115" s="128"/>
      <c r="AD1115" s="63"/>
      <c r="AF1115" s="59"/>
      <c r="AG1115" s="128"/>
      <c r="AH1115" s="128"/>
      <c r="AI1115" s="128"/>
      <c r="AJ1115" s="62"/>
      <c r="AK1115" s="128"/>
      <c r="AL1115" s="128"/>
      <c r="AM1115" s="128"/>
      <c r="AN1115" s="63"/>
    </row>
    <row r="1116" spans="2:40" ht="18" customHeight="1" x14ac:dyDescent="0.25">
      <c r="B1116" s="59"/>
      <c r="C1116" s="220" t="s">
        <v>715</v>
      </c>
      <c r="D1116" s="220"/>
      <c r="E1116" s="220"/>
      <c r="F1116" s="62"/>
      <c r="G1116" s="220" t="s">
        <v>1270</v>
      </c>
      <c r="H1116" s="220"/>
      <c r="I1116" s="220"/>
      <c r="J1116" s="63"/>
      <c r="L1116" s="59"/>
      <c r="M1116" s="220" t="s">
        <v>715</v>
      </c>
      <c r="N1116" s="220"/>
      <c r="O1116" s="220"/>
      <c r="P1116" s="62"/>
      <c r="Q1116" s="220" t="s">
        <v>1270</v>
      </c>
      <c r="R1116" s="220"/>
      <c r="S1116" s="220"/>
      <c r="T1116" s="63"/>
      <c r="V1116" s="59"/>
      <c r="W1116" s="220" t="s">
        <v>715</v>
      </c>
      <c r="X1116" s="220"/>
      <c r="Y1116" s="220"/>
      <c r="Z1116" s="62"/>
      <c r="AA1116" s="220" t="s">
        <v>1270</v>
      </c>
      <c r="AB1116" s="220"/>
      <c r="AC1116" s="220"/>
      <c r="AD1116" s="63"/>
      <c r="AF1116" s="59"/>
      <c r="AG1116" s="220" t="s">
        <v>715</v>
      </c>
      <c r="AH1116" s="220"/>
      <c r="AI1116" s="220"/>
      <c r="AJ1116" s="62"/>
      <c r="AK1116" s="220" t="s">
        <v>1270</v>
      </c>
      <c r="AL1116" s="220"/>
      <c r="AM1116" s="220"/>
      <c r="AN1116" s="63"/>
    </row>
    <row r="1117" spans="2:40" ht="6.95" customHeight="1" thickBot="1" x14ac:dyDescent="0.3">
      <c r="B1117" s="64"/>
      <c r="C1117" s="65"/>
      <c r="D1117" s="65"/>
      <c r="E1117" s="65"/>
      <c r="F1117" s="65"/>
      <c r="G1117" s="65"/>
      <c r="H1117" s="65"/>
      <c r="I1117" s="65"/>
      <c r="J1117" s="66"/>
      <c r="L1117" s="64"/>
      <c r="M1117" s="65"/>
      <c r="N1117" s="65"/>
      <c r="O1117" s="65"/>
      <c r="P1117" s="65"/>
      <c r="Q1117" s="65"/>
      <c r="R1117" s="65"/>
      <c r="S1117" s="65"/>
      <c r="T1117" s="66"/>
      <c r="V1117" s="64"/>
      <c r="W1117" s="65"/>
      <c r="X1117" s="65"/>
      <c r="Y1117" s="65"/>
      <c r="Z1117" s="65"/>
      <c r="AA1117" s="65"/>
      <c r="AB1117" s="65"/>
      <c r="AC1117" s="65"/>
      <c r="AD1117" s="66"/>
      <c r="AF1117" s="64"/>
      <c r="AG1117" s="65"/>
      <c r="AH1117" s="65"/>
      <c r="AI1117" s="65"/>
      <c r="AJ1117" s="65"/>
      <c r="AK1117" s="65"/>
      <c r="AL1117" s="65"/>
      <c r="AM1117" s="65"/>
      <c r="AN1117" s="66"/>
    </row>
    <row r="1118" spans="2:40" ht="32.1" customHeight="1" thickTop="1" x14ac:dyDescent="0.25">
      <c r="B1118" s="57"/>
      <c r="C1118" s="58"/>
      <c r="D1118" s="217" t="s">
        <v>697</v>
      </c>
      <c r="E1118" s="218"/>
      <c r="F1118" s="218"/>
      <c r="G1118" s="218"/>
      <c r="H1118" s="218"/>
      <c r="I1118" s="218"/>
      <c r="J1118" s="219"/>
      <c r="L1118" s="57"/>
      <c r="M1118" s="58"/>
      <c r="N1118" s="217" t="s">
        <v>697</v>
      </c>
      <c r="O1118" s="218"/>
      <c r="P1118" s="218"/>
      <c r="Q1118" s="218"/>
      <c r="R1118" s="218"/>
      <c r="S1118" s="218"/>
      <c r="T1118" s="219"/>
      <c r="V1118" s="57"/>
      <c r="W1118" s="58"/>
      <c r="X1118" s="217" t="s">
        <v>697</v>
      </c>
      <c r="Y1118" s="217"/>
      <c r="Z1118" s="217"/>
      <c r="AA1118" s="217"/>
      <c r="AB1118" s="217"/>
      <c r="AC1118" s="217"/>
      <c r="AD1118" s="225"/>
      <c r="AF1118" s="57"/>
      <c r="AG1118" s="58"/>
      <c r="AH1118" s="217" t="s">
        <v>697</v>
      </c>
      <c r="AI1118" s="217"/>
      <c r="AJ1118" s="217"/>
      <c r="AK1118" s="217"/>
      <c r="AL1118" s="217"/>
      <c r="AM1118" s="217"/>
      <c r="AN1118" s="225"/>
    </row>
    <row r="1119" spans="2:40" ht="6.95" customHeight="1" x14ac:dyDescent="0.25">
      <c r="B1119" s="59"/>
      <c r="J1119" s="60"/>
      <c r="L1119" s="59"/>
      <c r="T1119" s="60"/>
      <c r="V1119" s="59"/>
      <c r="AD1119" s="60"/>
      <c r="AF1119" s="59"/>
      <c r="AN1119" s="60"/>
    </row>
    <row r="1120" spans="2:40" ht="18" customHeight="1" x14ac:dyDescent="0.25">
      <c r="B1120" s="61"/>
      <c r="C1120" s="214" t="s">
        <v>698</v>
      </c>
      <c r="D1120" s="215"/>
      <c r="E1120" s="216"/>
      <c r="F1120" s="62"/>
      <c r="G1120" s="214" t="s">
        <v>1485</v>
      </c>
      <c r="H1120" s="215"/>
      <c r="I1120" s="216"/>
      <c r="J1120" s="63"/>
      <c r="L1120" s="61"/>
      <c r="M1120" s="214" t="s">
        <v>698</v>
      </c>
      <c r="N1120" s="215"/>
      <c r="O1120" s="216"/>
      <c r="P1120" s="62"/>
      <c r="Q1120" s="214" t="s">
        <v>1486</v>
      </c>
      <c r="R1120" s="215"/>
      <c r="S1120" s="216"/>
      <c r="T1120" s="63"/>
      <c r="V1120" s="61"/>
      <c r="W1120" s="214" t="s">
        <v>698</v>
      </c>
      <c r="X1120" s="215"/>
      <c r="Y1120" s="216"/>
      <c r="Z1120" s="62"/>
      <c r="AA1120" s="214" t="s">
        <v>1487</v>
      </c>
      <c r="AB1120" s="215"/>
      <c r="AC1120" s="216"/>
      <c r="AD1120" s="63"/>
      <c r="AF1120" s="61"/>
      <c r="AG1120" s="214" t="s">
        <v>698</v>
      </c>
      <c r="AH1120" s="215"/>
      <c r="AI1120" s="216"/>
      <c r="AJ1120" s="62"/>
      <c r="AK1120" s="214" t="s">
        <v>1488</v>
      </c>
      <c r="AL1120" s="215"/>
      <c r="AM1120" s="216"/>
      <c r="AN1120" s="63"/>
    </row>
    <row r="1121" spans="2:40" ht="6.95" customHeight="1" x14ac:dyDescent="0.25">
      <c r="B1121" s="59"/>
      <c r="C1121" s="62"/>
      <c r="D1121" s="62"/>
      <c r="E1121" s="62"/>
      <c r="F1121" s="62"/>
      <c r="G1121" s="62"/>
      <c r="H1121" s="62"/>
      <c r="I1121" s="62"/>
      <c r="J1121" s="60"/>
      <c r="L1121" s="59"/>
      <c r="M1121" s="62"/>
      <c r="N1121" s="62"/>
      <c r="O1121" s="62"/>
      <c r="P1121" s="62"/>
      <c r="Q1121" s="62"/>
      <c r="R1121" s="62"/>
      <c r="S1121" s="62"/>
      <c r="T1121" s="60"/>
      <c r="V1121" s="59"/>
      <c r="W1121" s="62"/>
      <c r="X1121" s="62"/>
      <c r="Y1121" s="62"/>
      <c r="Z1121" s="62"/>
      <c r="AA1121" s="62"/>
      <c r="AB1121" s="62"/>
      <c r="AC1121" s="62"/>
      <c r="AD1121" s="60"/>
      <c r="AF1121" s="59"/>
      <c r="AG1121" s="62"/>
      <c r="AH1121" s="62"/>
      <c r="AI1121" s="62"/>
      <c r="AJ1121" s="62"/>
      <c r="AK1121" s="62"/>
      <c r="AL1121" s="62"/>
      <c r="AM1121" s="62"/>
      <c r="AN1121" s="60"/>
    </row>
    <row r="1122" spans="2:40" ht="18" customHeight="1" x14ac:dyDescent="0.25">
      <c r="B1122" s="61"/>
      <c r="C1122" s="214" t="s">
        <v>699</v>
      </c>
      <c r="D1122" s="215"/>
      <c r="E1122" s="216"/>
      <c r="F1122" s="62"/>
      <c r="G1122" s="214" t="s">
        <v>1639</v>
      </c>
      <c r="H1122" s="215"/>
      <c r="I1122" s="216"/>
      <c r="J1122" s="63"/>
      <c r="L1122" s="61"/>
      <c r="M1122" s="214" t="s">
        <v>699</v>
      </c>
      <c r="N1122" s="215"/>
      <c r="O1122" s="216"/>
      <c r="P1122" s="62"/>
      <c r="Q1122" s="214" t="s">
        <v>1639</v>
      </c>
      <c r="R1122" s="215"/>
      <c r="S1122" s="216"/>
      <c r="T1122" s="63"/>
      <c r="V1122" s="61"/>
      <c r="W1122" s="214" t="s">
        <v>699</v>
      </c>
      <c r="X1122" s="215"/>
      <c r="Y1122" s="216"/>
      <c r="Z1122" s="62"/>
      <c r="AA1122" s="214" t="s">
        <v>1639</v>
      </c>
      <c r="AB1122" s="215"/>
      <c r="AC1122" s="216"/>
      <c r="AD1122" s="63"/>
      <c r="AF1122" s="61"/>
      <c r="AG1122" s="214" t="s">
        <v>699</v>
      </c>
      <c r="AH1122" s="215"/>
      <c r="AI1122" s="216"/>
      <c r="AJ1122" s="62"/>
      <c r="AK1122" s="214" t="s">
        <v>1639</v>
      </c>
      <c r="AL1122" s="215"/>
      <c r="AM1122" s="216"/>
      <c r="AN1122" s="63"/>
    </row>
    <row r="1123" spans="2:40" ht="6.95" customHeight="1" x14ac:dyDescent="0.25">
      <c r="B1123" s="59"/>
      <c r="C1123" s="62"/>
      <c r="D1123" s="62"/>
      <c r="E1123" s="62"/>
      <c r="F1123" s="62"/>
      <c r="G1123" s="62"/>
      <c r="H1123" s="62"/>
      <c r="I1123" s="62"/>
      <c r="J1123" s="60"/>
      <c r="L1123" s="59"/>
      <c r="M1123" s="62"/>
      <c r="N1123" s="62"/>
      <c r="O1123" s="62"/>
      <c r="P1123" s="62"/>
      <c r="Q1123" s="62"/>
      <c r="R1123" s="62"/>
      <c r="S1123" s="62"/>
      <c r="T1123" s="60"/>
      <c r="V1123" s="59"/>
      <c r="W1123" s="62"/>
      <c r="X1123" s="62"/>
      <c r="Y1123" s="62"/>
      <c r="Z1123" s="62"/>
      <c r="AA1123" s="62"/>
      <c r="AB1123" s="62"/>
      <c r="AC1123" s="62"/>
      <c r="AD1123" s="60"/>
      <c r="AF1123" s="59"/>
      <c r="AG1123" s="62"/>
      <c r="AH1123" s="62"/>
      <c r="AI1123" s="62"/>
      <c r="AJ1123" s="62"/>
      <c r="AK1123" s="62"/>
      <c r="AL1123" s="62"/>
      <c r="AM1123" s="62"/>
      <c r="AN1123" s="60"/>
    </row>
    <row r="1124" spans="2:40" ht="18" customHeight="1" x14ac:dyDescent="0.25">
      <c r="B1124" s="61"/>
      <c r="C1124" s="214" t="s">
        <v>701</v>
      </c>
      <c r="D1124" s="215"/>
      <c r="E1124" s="216"/>
      <c r="F1124" s="62"/>
      <c r="G1124" s="214" t="s">
        <v>986</v>
      </c>
      <c r="H1124" s="215"/>
      <c r="I1124" s="216"/>
      <c r="J1124" s="63"/>
      <c r="L1124" s="61"/>
      <c r="M1124" s="214" t="s">
        <v>701</v>
      </c>
      <c r="N1124" s="215"/>
      <c r="O1124" s="216"/>
      <c r="P1124" s="62"/>
      <c r="Q1124" s="214" t="s">
        <v>986</v>
      </c>
      <c r="R1124" s="215"/>
      <c r="S1124" s="216"/>
      <c r="T1124" s="63"/>
      <c r="V1124" s="61"/>
      <c r="W1124" s="214" t="s">
        <v>701</v>
      </c>
      <c r="X1124" s="215"/>
      <c r="Y1124" s="216"/>
      <c r="Z1124" s="62"/>
      <c r="AA1124" s="214" t="s">
        <v>986</v>
      </c>
      <c r="AB1124" s="215"/>
      <c r="AC1124" s="216"/>
      <c r="AD1124" s="63"/>
      <c r="AF1124" s="61"/>
      <c r="AG1124" s="214" t="s">
        <v>701</v>
      </c>
      <c r="AH1124" s="215"/>
      <c r="AI1124" s="216"/>
      <c r="AJ1124" s="62"/>
      <c r="AK1124" s="214" t="s">
        <v>986</v>
      </c>
      <c r="AL1124" s="215"/>
      <c r="AM1124" s="216"/>
      <c r="AN1124" s="63"/>
    </row>
    <row r="1125" spans="2:40" ht="6.95" customHeight="1" x14ac:dyDescent="0.25">
      <c r="B1125" s="59"/>
      <c r="C1125" s="62"/>
      <c r="D1125" s="62"/>
      <c r="E1125" s="62"/>
      <c r="F1125" s="62"/>
      <c r="G1125" s="62"/>
      <c r="H1125" s="62"/>
      <c r="I1125" s="62"/>
      <c r="J1125" s="60"/>
      <c r="L1125" s="59"/>
      <c r="M1125" s="62"/>
      <c r="N1125" s="62"/>
      <c r="O1125" s="62"/>
      <c r="P1125" s="62"/>
      <c r="Q1125" s="62"/>
      <c r="R1125" s="62"/>
      <c r="S1125" s="62"/>
      <c r="T1125" s="60"/>
      <c r="V1125" s="59"/>
      <c r="W1125" s="62"/>
      <c r="X1125" s="62"/>
      <c r="Y1125" s="62"/>
      <c r="Z1125" s="62"/>
      <c r="AA1125" s="62"/>
      <c r="AB1125" s="62"/>
      <c r="AC1125" s="62"/>
      <c r="AD1125" s="60"/>
      <c r="AF1125" s="59"/>
      <c r="AG1125" s="62"/>
      <c r="AH1125" s="62"/>
      <c r="AI1125" s="62"/>
      <c r="AJ1125" s="62"/>
      <c r="AK1125" s="62"/>
      <c r="AL1125" s="62"/>
      <c r="AM1125" s="62"/>
      <c r="AN1125" s="60"/>
    </row>
    <row r="1126" spans="2:40" ht="18" customHeight="1" x14ac:dyDescent="0.25">
      <c r="B1126" s="61"/>
      <c r="C1126" s="214" t="s">
        <v>703</v>
      </c>
      <c r="D1126" s="215"/>
      <c r="E1126" s="216"/>
      <c r="F1126" s="62"/>
      <c r="G1126" s="214" t="s">
        <v>109</v>
      </c>
      <c r="H1126" s="215"/>
      <c r="I1126" s="216"/>
      <c r="J1126" s="63"/>
      <c r="L1126" s="61"/>
      <c r="M1126" s="214" t="s">
        <v>703</v>
      </c>
      <c r="N1126" s="215"/>
      <c r="O1126" s="216"/>
      <c r="P1126" s="62"/>
      <c r="Q1126" s="214" t="s">
        <v>109</v>
      </c>
      <c r="R1126" s="215"/>
      <c r="S1126" s="216"/>
      <c r="T1126" s="63"/>
      <c r="V1126" s="61"/>
      <c r="W1126" s="214" t="s">
        <v>703</v>
      </c>
      <c r="X1126" s="215"/>
      <c r="Y1126" s="216"/>
      <c r="Z1126" s="62"/>
      <c r="AA1126" s="214" t="s">
        <v>109</v>
      </c>
      <c r="AB1126" s="215"/>
      <c r="AC1126" s="216"/>
      <c r="AD1126" s="63"/>
      <c r="AF1126" s="61"/>
      <c r="AG1126" s="214" t="s">
        <v>703</v>
      </c>
      <c r="AH1126" s="215"/>
      <c r="AI1126" s="216"/>
      <c r="AJ1126" s="62"/>
      <c r="AK1126" s="214" t="s">
        <v>109</v>
      </c>
      <c r="AL1126" s="215"/>
      <c r="AM1126" s="216"/>
      <c r="AN1126" s="63"/>
    </row>
    <row r="1127" spans="2:40" ht="6.6" customHeight="1" x14ac:dyDescent="0.25">
      <c r="B1127" s="59"/>
      <c r="C1127" s="62"/>
      <c r="D1127" s="62"/>
      <c r="E1127" s="62"/>
      <c r="F1127" s="62"/>
      <c r="G1127" s="62"/>
      <c r="H1127" s="62"/>
      <c r="I1127" s="62"/>
      <c r="J1127" s="60"/>
      <c r="L1127" s="59"/>
      <c r="M1127" s="62"/>
      <c r="N1127" s="62"/>
      <c r="O1127" s="62"/>
      <c r="P1127" s="62"/>
      <c r="Q1127" s="62"/>
      <c r="R1127" s="62"/>
      <c r="S1127" s="62"/>
      <c r="T1127" s="60"/>
      <c r="V1127" s="59"/>
      <c r="W1127" s="62"/>
      <c r="X1127" s="62"/>
      <c r="Y1127" s="62"/>
      <c r="Z1127" s="62"/>
      <c r="AA1127" s="62"/>
      <c r="AB1127" s="62"/>
      <c r="AC1127" s="62"/>
      <c r="AD1127" s="60"/>
      <c r="AF1127" s="59"/>
      <c r="AG1127" s="62"/>
      <c r="AH1127" s="62"/>
      <c r="AI1127" s="62"/>
      <c r="AJ1127" s="62"/>
      <c r="AK1127" s="62"/>
      <c r="AL1127" s="62"/>
      <c r="AM1127" s="62"/>
      <c r="AN1127" s="60"/>
    </row>
    <row r="1128" spans="2:40" ht="18" customHeight="1" x14ac:dyDescent="0.25">
      <c r="B1128" s="61"/>
      <c r="C1128" s="214" t="s">
        <v>705</v>
      </c>
      <c r="D1128" s="215"/>
      <c r="E1128" s="216"/>
      <c r="F1128" s="62"/>
      <c r="G1128" s="214" t="s">
        <v>109</v>
      </c>
      <c r="H1128" s="215"/>
      <c r="I1128" s="216"/>
      <c r="J1128" s="63"/>
      <c r="L1128" s="61"/>
      <c r="M1128" s="214" t="s">
        <v>705</v>
      </c>
      <c r="N1128" s="215"/>
      <c r="O1128" s="216"/>
      <c r="P1128" s="62"/>
      <c r="Q1128" s="214" t="s">
        <v>109</v>
      </c>
      <c r="R1128" s="215"/>
      <c r="S1128" s="216"/>
      <c r="T1128" s="63"/>
      <c r="V1128" s="61"/>
      <c r="W1128" s="214" t="s">
        <v>705</v>
      </c>
      <c r="X1128" s="215"/>
      <c r="Y1128" s="216"/>
      <c r="Z1128" s="62"/>
      <c r="AA1128" s="214" t="s">
        <v>109</v>
      </c>
      <c r="AB1128" s="215"/>
      <c r="AC1128" s="216"/>
      <c r="AD1128" s="63"/>
      <c r="AF1128" s="61"/>
      <c r="AG1128" s="214" t="s">
        <v>705</v>
      </c>
      <c r="AH1128" s="215"/>
      <c r="AI1128" s="216"/>
      <c r="AJ1128" s="62"/>
      <c r="AK1128" s="214" t="s">
        <v>109</v>
      </c>
      <c r="AL1128" s="215"/>
      <c r="AM1128" s="216"/>
      <c r="AN1128" s="63"/>
    </row>
    <row r="1129" spans="2:40" ht="6.95" customHeight="1" x14ac:dyDescent="0.25">
      <c r="B1129" s="59"/>
      <c r="C1129" s="62"/>
      <c r="D1129" s="62"/>
      <c r="E1129" s="62"/>
      <c r="F1129" s="62"/>
      <c r="G1129" s="62"/>
      <c r="H1129" s="62"/>
      <c r="I1129" s="62"/>
      <c r="J1129" s="60"/>
      <c r="L1129" s="59"/>
      <c r="M1129" s="62"/>
      <c r="N1129" s="62"/>
      <c r="O1129" s="62"/>
      <c r="P1129" s="62"/>
      <c r="Q1129" s="62"/>
      <c r="R1129" s="62"/>
      <c r="S1129" s="62"/>
      <c r="T1129" s="60"/>
      <c r="V1129" s="59"/>
      <c r="W1129" s="62"/>
      <c r="X1129" s="62"/>
      <c r="Y1129" s="62"/>
      <c r="Z1129" s="62"/>
      <c r="AA1129" s="62"/>
      <c r="AB1129" s="62"/>
      <c r="AC1129" s="62"/>
      <c r="AD1129" s="60"/>
      <c r="AF1129" s="59"/>
      <c r="AG1129" s="62"/>
      <c r="AH1129" s="62"/>
      <c r="AI1129" s="62"/>
      <c r="AJ1129" s="62"/>
      <c r="AK1129" s="62"/>
      <c r="AL1129" s="62"/>
      <c r="AM1129" s="62"/>
      <c r="AN1129" s="60"/>
    </row>
    <row r="1130" spans="2:40" ht="18" customHeight="1" x14ac:dyDescent="0.25">
      <c r="B1130" s="61"/>
      <c r="C1130" s="214" t="s">
        <v>708</v>
      </c>
      <c r="D1130" s="215"/>
      <c r="E1130" s="216"/>
      <c r="F1130" s="62"/>
      <c r="G1130" s="214" t="s">
        <v>109</v>
      </c>
      <c r="H1130" s="215"/>
      <c r="I1130" s="216"/>
      <c r="J1130" s="63"/>
      <c r="L1130" s="61"/>
      <c r="M1130" s="214" t="s">
        <v>708</v>
      </c>
      <c r="N1130" s="215"/>
      <c r="O1130" s="216"/>
      <c r="P1130" s="62"/>
      <c r="Q1130" s="214" t="s">
        <v>109</v>
      </c>
      <c r="R1130" s="215"/>
      <c r="S1130" s="216"/>
      <c r="T1130" s="63"/>
      <c r="V1130" s="61"/>
      <c r="W1130" s="214" t="s">
        <v>708</v>
      </c>
      <c r="X1130" s="215"/>
      <c r="Y1130" s="216"/>
      <c r="Z1130" s="62"/>
      <c r="AA1130" s="214" t="s">
        <v>109</v>
      </c>
      <c r="AB1130" s="215"/>
      <c r="AC1130" s="216"/>
      <c r="AD1130" s="63"/>
      <c r="AF1130" s="61"/>
      <c r="AG1130" s="214" t="s">
        <v>708</v>
      </c>
      <c r="AH1130" s="215"/>
      <c r="AI1130" s="216"/>
      <c r="AJ1130" s="62"/>
      <c r="AK1130" s="214" t="s">
        <v>109</v>
      </c>
      <c r="AL1130" s="215"/>
      <c r="AM1130" s="216"/>
      <c r="AN1130" s="63"/>
    </row>
    <row r="1131" spans="2:40" ht="6.95" customHeight="1" x14ac:dyDescent="0.25">
      <c r="B1131" s="59"/>
      <c r="C1131" s="62"/>
      <c r="D1131" s="62"/>
      <c r="E1131" s="62"/>
      <c r="F1131" s="62"/>
      <c r="G1131" s="62"/>
      <c r="H1131" s="62"/>
      <c r="I1131" s="62"/>
      <c r="J1131" s="60"/>
      <c r="L1131" s="59"/>
      <c r="M1131" s="62"/>
      <c r="N1131" s="62"/>
      <c r="O1131" s="62"/>
      <c r="P1131" s="62"/>
      <c r="Q1131" s="62"/>
      <c r="R1131" s="62"/>
      <c r="S1131" s="62"/>
      <c r="T1131" s="60"/>
      <c r="V1131" s="59"/>
      <c r="W1131" s="62"/>
      <c r="X1131" s="62"/>
      <c r="Y1131" s="62"/>
      <c r="Z1131" s="62"/>
      <c r="AA1131" s="62"/>
      <c r="AB1131" s="62"/>
      <c r="AC1131" s="62"/>
      <c r="AD1131" s="60"/>
      <c r="AF1131" s="59"/>
      <c r="AG1131" s="62"/>
      <c r="AH1131" s="62"/>
      <c r="AI1131" s="62"/>
      <c r="AJ1131" s="62"/>
      <c r="AK1131" s="62"/>
      <c r="AL1131" s="62"/>
      <c r="AM1131" s="62"/>
      <c r="AN1131" s="60"/>
    </row>
    <row r="1132" spans="2:40" ht="18" customHeight="1" x14ac:dyDescent="0.25">
      <c r="B1132" s="61"/>
      <c r="C1132" s="214" t="s">
        <v>711</v>
      </c>
      <c r="D1132" s="215"/>
      <c r="E1132" s="216"/>
      <c r="F1132" s="62"/>
      <c r="G1132" s="214" t="s">
        <v>712</v>
      </c>
      <c r="H1132" s="215"/>
      <c r="I1132" s="216"/>
      <c r="J1132" s="63"/>
      <c r="L1132" s="61"/>
      <c r="M1132" s="214" t="s">
        <v>711</v>
      </c>
      <c r="N1132" s="215"/>
      <c r="O1132" s="216"/>
      <c r="P1132" s="62"/>
      <c r="Q1132" s="214" t="s">
        <v>712</v>
      </c>
      <c r="R1132" s="215"/>
      <c r="S1132" s="216"/>
      <c r="T1132" s="63"/>
      <c r="V1132" s="61"/>
      <c r="W1132" s="214" t="s">
        <v>711</v>
      </c>
      <c r="X1132" s="215"/>
      <c r="Y1132" s="216"/>
      <c r="Z1132" s="62"/>
      <c r="AA1132" s="214" t="s">
        <v>712</v>
      </c>
      <c r="AB1132" s="215"/>
      <c r="AC1132" s="216"/>
      <c r="AD1132" s="63"/>
      <c r="AF1132" s="61"/>
      <c r="AG1132" s="214" t="s">
        <v>711</v>
      </c>
      <c r="AH1132" s="215"/>
      <c r="AI1132" s="216"/>
      <c r="AJ1132" s="62"/>
      <c r="AK1132" s="214" t="s">
        <v>712</v>
      </c>
      <c r="AL1132" s="215"/>
      <c r="AM1132" s="216"/>
      <c r="AN1132" s="63"/>
    </row>
    <row r="1133" spans="2:40" ht="6.95" customHeight="1" x14ac:dyDescent="0.25">
      <c r="B1133" s="59"/>
      <c r="C1133" s="62"/>
      <c r="D1133" s="62"/>
      <c r="E1133" s="62"/>
      <c r="F1133" s="62"/>
      <c r="G1133" s="62"/>
      <c r="H1133" s="62"/>
      <c r="I1133" s="62"/>
      <c r="J1133" s="60"/>
      <c r="L1133" s="59"/>
      <c r="M1133" s="62"/>
      <c r="N1133" s="62"/>
      <c r="O1133" s="62"/>
      <c r="P1133" s="62"/>
      <c r="Q1133" s="62"/>
      <c r="R1133" s="62"/>
      <c r="S1133" s="62"/>
      <c r="T1133" s="60"/>
      <c r="V1133" s="59"/>
      <c r="W1133" s="62"/>
      <c r="X1133" s="62"/>
      <c r="Y1133" s="62"/>
      <c r="Z1133" s="62"/>
      <c r="AA1133" s="62"/>
      <c r="AB1133" s="62"/>
      <c r="AC1133" s="62"/>
      <c r="AD1133" s="60"/>
      <c r="AF1133" s="59"/>
      <c r="AG1133" s="62"/>
      <c r="AH1133" s="62"/>
      <c r="AI1133" s="62"/>
      <c r="AJ1133" s="62"/>
      <c r="AK1133" s="62"/>
      <c r="AL1133" s="62"/>
      <c r="AM1133" s="62"/>
      <c r="AN1133" s="60"/>
    </row>
    <row r="1134" spans="2:40" ht="18" customHeight="1" x14ac:dyDescent="0.25">
      <c r="B1134" s="61"/>
      <c r="C1134" s="214" t="s">
        <v>1273</v>
      </c>
      <c r="D1134" s="215"/>
      <c r="E1134" s="216"/>
      <c r="F1134" s="62"/>
      <c r="G1134" s="214" t="s">
        <v>1489</v>
      </c>
      <c r="H1134" s="215"/>
      <c r="I1134" s="216"/>
      <c r="J1134" s="63"/>
      <c r="L1134" s="61"/>
      <c r="M1134" s="214" t="s">
        <v>1273</v>
      </c>
      <c r="N1134" s="215"/>
      <c r="O1134" s="216"/>
      <c r="P1134" s="62"/>
      <c r="Q1134" s="214" t="s">
        <v>1490</v>
      </c>
      <c r="R1134" s="215"/>
      <c r="S1134" s="216"/>
      <c r="T1134" s="63"/>
      <c r="V1134" s="61"/>
      <c r="W1134" s="214" t="s">
        <v>1273</v>
      </c>
      <c r="X1134" s="215"/>
      <c r="Y1134" s="216"/>
      <c r="Z1134" s="62"/>
      <c r="AA1134" s="214" t="s">
        <v>1491</v>
      </c>
      <c r="AB1134" s="215"/>
      <c r="AC1134" s="216"/>
      <c r="AD1134" s="63"/>
      <c r="AF1134" s="61"/>
      <c r="AG1134" s="214" t="s">
        <v>1273</v>
      </c>
      <c r="AH1134" s="215"/>
      <c r="AI1134" s="216"/>
      <c r="AJ1134" s="62"/>
      <c r="AK1134" s="214" t="s">
        <v>1492</v>
      </c>
      <c r="AL1134" s="215"/>
      <c r="AM1134" s="216"/>
      <c r="AN1134" s="63"/>
    </row>
    <row r="1135" spans="2:40" ht="6.95" customHeight="1" x14ac:dyDescent="0.25">
      <c r="B1135" s="59"/>
      <c r="C1135" s="62"/>
      <c r="D1135" s="62"/>
      <c r="E1135" s="62"/>
      <c r="F1135" s="62"/>
      <c r="G1135" s="62"/>
      <c r="H1135" s="62"/>
      <c r="I1135" s="62"/>
      <c r="J1135" s="60"/>
      <c r="L1135" s="59"/>
      <c r="M1135" s="62"/>
      <c r="N1135" s="62"/>
      <c r="O1135" s="62"/>
      <c r="P1135" s="62"/>
      <c r="Q1135" s="62"/>
      <c r="R1135" s="62"/>
      <c r="S1135" s="62"/>
      <c r="T1135" s="60"/>
      <c r="V1135" s="59"/>
      <c r="W1135" s="62"/>
      <c r="X1135" s="62"/>
      <c r="Y1135" s="62"/>
      <c r="Z1135" s="62"/>
      <c r="AA1135" s="62"/>
      <c r="AB1135" s="62"/>
      <c r="AC1135" s="62"/>
      <c r="AD1135" s="60"/>
      <c r="AF1135" s="59"/>
      <c r="AG1135" s="62"/>
      <c r="AH1135" s="62"/>
      <c r="AI1135" s="62"/>
      <c r="AJ1135" s="62"/>
      <c r="AK1135" s="62"/>
      <c r="AL1135" s="62"/>
      <c r="AM1135" s="62"/>
      <c r="AN1135" s="60"/>
    </row>
    <row r="1136" spans="2:40" ht="18" customHeight="1" x14ac:dyDescent="0.25">
      <c r="B1136" s="61"/>
      <c r="C1136" s="214" t="s">
        <v>713</v>
      </c>
      <c r="D1136" s="215"/>
      <c r="E1136" s="216"/>
      <c r="F1136" s="62"/>
      <c r="G1136" s="220" t="s">
        <v>1293</v>
      </c>
      <c r="H1136" s="220"/>
      <c r="I1136" s="220"/>
      <c r="J1136" s="63"/>
      <c r="L1136" s="61"/>
      <c r="M1136" s="214" t="s">
        <v>713</v>
      </c>
      <c r="N1136" s="215"/>
      <c r="O1136" s="216"/>
      <c r="P1136" s="62"/>
      <c r="Q1136" s="220" t="s">
        <v>1293</v>
      </c>
      <c r="R1136" s="220"/>
      <c r="S1136" s="220"/>
      <c r="T1136" s="63"/>
      <c r="V1136" s="61"/>
      <c r="W1136" s="214" t="s">
        <v>713</v>
      </c>
      <c r="X1136" s="215"/>
      <c r="Y1136" s="216"/>
      <c r="Z1136" s="62"/>
      <c r="AA1136" s="220" t="s">
        <v>1293</v>
      </c>
      <c r="AB1136" s="220"/>
      <c r="AC1136" s="220"/>
      <c r="AD1136" s="63"/>
      <c r="AF1136" s="61"/>
      <c r="AG1136" s="214" t="s">
        <v>713</v>
      </c>
      <c r="AH1136" s="215"/>
      <c r="AI1136" s="216"/>
      <c r="AJ1136" s="62"/>
      <c r="AK1136" s="220" t="s">
        <v>1293</v>
      </c>
      <c r="AL1136" s="220"/>
      <c r="AM1136" s="220"/>
      <c r="AN1136" s="63"/>
    </row>
    <row r="1137" spans="2:40" ht="6.95" customHeight="1" x14ac:dyDescent="0.25">
      <c r="B1137" s="59"/>
      <c r="C1137" s="128"/>
      <c r="D1137" s="128"/>
      <c r="E1137" s="128"/>
      <c r="F1137" s="62"/>
      <c r="G1137" s="128"/>
      <c r="H1137" s="128"/>
      <c r="I1137" s="128"/>
      <c r="J1137" s="63"/>
      <c r="L1137" s="59"/>
      <c r="M1137" s="128"/>
      <c r="N1137" s="128"/>
      <c r="O1137" s="128"/>
      <c r="P1137" s="62"/>
      <c r="Q1137" s="128"/>
      <c r="R1137" s="128"/>
      <c r="S1137" s="128"/>
      <c r="T1137" s="63"/>
      <c r="V1137" s="59"/>
      <c r="W1137" s="128"/>
      <c r="X1137" s="128"/>
      <c r="Y1137" s="128"/>
      <c r="Z1137" s="62"/>
      <c r="AA1137" s="128"/>
      <c r="AB1137" s="128"/>
      <c r="AC1137" s="128"/>
      <c r="AD1137" s="63"/>
      <c r="AF1137" s="59"/>
      <c r="AG1137" s="128"/>
      <c r="AH1137" s="128"/>
      <c r="AI1137" s="128"/>
      <c r="AJ1137" s="62"/>
      <c r="AK1137" s="128"/>
      <c r="AL1137" s="128"/>
      <c r="AM1137" s="128"/>
      <c r="AN1137" s="63"/>
    </row>
    <row r="1138" spans="2:40" ht="18" customHeight="1" x14ac:dyDescent="0.25">
      <c r="B1138" s="59"/>
      <c r="C1138" s="220" t="s">
        <v>715</v>
      </c>
      <c r="D1138" s="220"/>
      <c r="E1138" s="220"/>
      <c r="F1138" s="62"/>
      <c r="G1138" s="220" t="s">
        <v>1270</v>
      </c>
      <c r="H1138" s="220"/>
      <c r="I1138" s="220"/>
      <c r="J1138" s="63"/>
      <c r="L1138" s="59"/>
      <c r="M1138" s="220" t="s">
        <v>715</v>
      </c>
      <c r="N1138" s="220"/>
      <c r="O1138" s="220"/>
      <c r="P1138" s="62"/>
      <c r="Q1138" s="220" t="s">
        <v>1270</v>
      </c>
      <c r="R1138" s="220"/>
      <c r="S1138" s="220"/>
      <c r="T1138" s="63"/>
      <c r="V1138" s="59"/>
      <c r="W1138" s="220" t="s">
        <v>715</v>
      </c>
      <c r="X1138" s="220"/>
      <c r="Y1138" s="220"/>
      <c r="Z1138" s="62"/>
      <c r="AA1138" s="220" t="s">
        <v>1270</v>
      </c>
      <c r="AB1138" s="220"/>
      <c r="AC1138" s="220"/>
      <c r="AD1138" s="63"/>
      <c r="AF1138" s="59"/>
      <c r="AG1138" s="220" t="s">
        <v>715</v>
      </c>
      <c r="AH1138" s="220"/>
      <c r="AI1138" s="220"/>
      <c r="AJ1138" s="62"/>
      <c r="AK1138" s="220" t="s">
        <v>1270</v>
      </c>
      <c r="AL1138" s="220"/>
      <c r="AM1138" s="220"/>
      <c r="AN1138" s="63"/>
    </row>
    <row r="1139" spans="2:40" ht="6.95" customHeight="1" thickBot="1" x14ac:dyDescent="0.3">
      <c r="B1139" s="64"/>
      <c r="C1139" s="65"/>
      <c r="D1139" s="65"/>
      <c r="E1139" s="65"/>
      <c r="F1139" s="65"/>
      <c r="G1139" s="65"/>
      <c r="H1139" s="65"/>
      <c r="I1139" s="65"/>
      <c r="J1139" s="66"/>
      <c r="L1139" s="64"/>
      <c r="M1139" s="65"/>
      <c r="N1139" s="65"/>
      <c r="O1139" s="65"/>
      <c r="P1139" s="65"/>
      <c r="Q1139" s="65"/>
      <c r="R1139" s="65"/>
      <c r="S1139" s="65"/>
      <c r="T1139" s="66"/>
      <c r="V1139" s="64"/>
      <c r="W1139" s="65"/>
      <c r="X1139" s="65"/>
      <c r="Y1139" s="65"/>
      <c r="Z1139" s="65"/>
      <c r="AA1139" s="65"/>
      <c r="AB1139" s="65"/>
      <c r="AC1139" s="65"/>
      <c r="AD1139" s="66"/>
      <c r="AF1139" s="64"/>
      <c r="AG1139" s="65"/>
      <c r="AH1139" s="65"/>
      <c r="AI1139" s="65"/>
      <c r="AJ1139" s="65"/>
      <c r="AK1139" s="65"/>
      <c r="AL1139" s="65"/>
      <c r="AM1139" s="65"/>
      <c r="AN1139" s="66"/>
    </row>
    <row r="1140" spans="2:40" ht="32.1" customHeight="1" thickTop="1" x14ac:dyDescent="0.25">
      <c r="B1140" s="57"/>
      <c r="C1140" s="58"/>
      <c r="D1140" s="217" t="s">
        <v>697</v>
      </c>
      <c r="E1140" s="218"/>
      <c r="F1140" s="218"/>
      <c r="G1140" s="218"/>
      <c r="H1140" s="218"/>
      <c r="I1140" s="218"/>
      <c r="J1140" s="219"/>
      <c r="L1140" s="57"/>
      <c r="M1140" s="58"/>
      <c r="N1140" s="217" t="s">
        <v>697</v>
      </c>
      <c r="O1140" s="218"/>
      <c r="P1140" s="218"/>
      <c r="Q1140" s="218"/>
      <c r="R1140" s="218"/>
      <c r="S1140" s="218"/>
      <c r="T1140" s="219"/>
      <c r="V1140" s="57"/>
      <c r="W1140" s="58"/>
      <c r="X1140" s="217" t="s">
        <v>697</v>
      </c>
      <c r="Y1140" s="217"/>
      <c r="Z1140" s="217"/>
      <c r="AA1140" s="217"/>
      <c r="AB1140" s="217"/>
      <c r="AC1140" s="217"/>
      <c r="AD1140" s="225"/>
      <c r="AF1140" s="57"/>
      <c r="AG1140" s="58"/>
      <c r="AH1140" s="217" t="s">
        <v>697</v>
      </c>
      <c r="AI1140" s="217"/>
      <c r="AJ1140" s="217"/>
      <c r="AK1140" s="217"/>
      <c r="AL1140" s="217"/>
      <c r="AM1140" s="217"/>
      <c r="AN1140" s="225"/>
    </row>
    <row r="1141" spans="2:40" ht="6.95" customHeight="1" x14ac:dyDescent="0.25">
      <c r="B1141" s="59"/>
      <c r="J1141" s="60"/>
      <c r="L1141" s="59"/>
      <c r="T1141" s="60"/>
      <c r="V1141" s="59"/>
      <c r="AD1141" s="60"/>
      <c r="AF1141" s="59"/>
      <c r="AN1141" s="60"/>
    </row>
    <row r="1142" spans="2:40" ht="18" customHeight="1" x14ac:dyDescent="0.25">
      <c r="B1142" s="61"/>
      <c r="C1142" s="214" t="s">
        <v>698</v>
      </c>
      <c r="D1142" s="215"/>
      <c r="E1142" s="216"/>
      <c r="F1142" s="62"/>
      <c r="G1142" s="214" t="s">
        <v>1493</v>
      </c>
      <c r="H1142" s="215"/>
      <c r="I1142" s="216"/>
      <c r="J1142" s="63"/>
      <c r="L1142" s="61"/>
      <c r="M1142" s="214" t="s">
        <v>698</v>
      </c>
      <c r="N1142" s="215"/>
      <c r="O1142" s="216"/>
      <c r="P1142" s="62"/>
      <c r="Q1142" s="214" t="s">
        <v>1494</v>
      </c>
      <c r="R1142" s="215"/>
      <c r="S1142" s="216"/>
      <c r="T1142" s="63"/>
      <c r="V1142" s="61"/>
      <c r="W1142" s="214" t="s">
        <v>698</v>
      </c>
      <c r="X1142" s="215"/>
      <c r="Y1142" s="216"/>
      <c r="Z1142" s="62"/>
      <c r="AA1142" s="214" t="s">
        <v>1495</v>
      </c>
      <c r="AB1142" s="215"/>
      <c r="AC1142" s="216"/>
      <c r="AD1142" s="63"/>
      <c r="AF1142" s="61"/>
      <c r="AG1142" s="214" t="s">
        <v>698</v>
      </c>
      <c r="AH1142" s="215"/>
      <c r="AI1142" s="216"/>
      <c r="AJ1142" s="62"/>
      <c r="AK1142" s="214" t="s">
        <v>1496</v>
      </c>
      <c r="AL1142" s="215"/>
      <c r="AM1142" s="216"/>
      <c r="AN1142" s="63"/>
    </row>
    <row r="1143" spans="2:40" ht="6.95" customHeight="1" x14ac:dyDescent="0.25">
      <c r="B1143" s="59"/>
      <c r="C1143" s="62"/>
      <c r="D1143" s="62"/>
      <c r="E1143" s="62"/>
      <c r="F1143" s="62"/>
      <c r="G1143" s="62"/>
      <c r="H1143" s="62"/>
      <c r="I1143" s="62"/>
      <c r="J1143" s="60"/>
      <c r="L1143" s="59"/>
      <c r="M1143" s="62"/>
      <c r="N1143" s="62"/>
      <c r="O1143" s="62"/>
      <c r="P1143" s="62"/>
      <c r="Q1143" s="62"/>
      <c r="R1143" s="62"/>
      <c r="S1143" s="62"/>
      <c r="T1143" s="60"/>
      <c r="V1143" s="59"/>
      <c r="W1143" s="62"/>
      <c r="X1143" s="62"/>
      <c r="Y1143" s="62"/>
      <c r="Z1143" s="62"/>
      <c r="AA1143" s="62"/>
      <c r="AB1143" s="62"/>
      <c r="AC1143" s="62"/>
      <c r="AD1143" s="60"/>
      <c r="AF1143" s="59"/>
      <c r="AG1143" s="62"/>
      <c r="AH1143" s="62"/>
      <c r="AI1143" s="62"/>
      <c r="AJ1143" s="62"/>
      <c r="AK1143" s="62"/>
      <c r="AL1143" s="62"/>
      <c r="AM1143" s="62"/>
      <c r="AN1143" s="60"/>
    </row>
    <row r="1144" spans="2:40" ht="18" customHeight="1" x14ac:dyDescent="0.25">
      <c r="B1144" s="61"/>
      <c r="C1144" s="214" t="s">
        <v>699</v>
      </c>
      <c r="D1144" s="215"/>
      <c r="E1144" s="216"/>
      <c r="F1144" s="62"/>
      <c r="G1144" s="214" t="s">
        <v>1639</v>
      </c>
      <c r="H1144" s="215"/>
      <c r="I1144" s="216"/>
      <c r="J1144" s="63"/>
      <c r="L1144" s="61"/>
      <c r="M1144" s="214" t="s">
        <v>699</v>
      </c>
      <c r="N1144" s="215"/>
      <c r="O1144" s="216"/>
      <c r="P1144" s="62"/>
      <c r="Q1144" s="214" t="s">
        <v>1639</v>
      </c>
      <c r="R1144" s="215"/>
      <c r="S1144" s="216"/>
      <c r="T1144" s="63"/>
      <c r="V1144" s="61"/>
      <c r="W1144" s="214" t="s">
        <v>699</v>
      </c>
      <c r="X1144" s="215"/>
      <c r="Y1144" s="216"/>
      <c r="Z1144" s="62"/>
      <c r="AA1144" s="214" t="s">
        <v>1639</v>
      </c>
      <c r="AB1144" s="215"/>
      <c r="AC1144" s="216"/>
      <c r="AD1144" s="63"/>
      <c r="AF1144" s="61"/>
      <c r="AG1144" s="214" t="s">
        <v>699</v>
      </c>
      <c r="AH1144" s="215"/>
      <c r="AI1144" s="216"/>
      <c r="AJ1144" s="62"/>
      <c r="AK1144" s="214" t="s">
        <v>1639</v>
      </c>
      <c r="AL1144" s="215"/>
      <c r="AM1144" s="216"/>
      <c r="AN1144" s="63"/>
    </row>
    <row r="1145" spans="2:40" ht="6.95" customHeight="1" x14ac:dyDescent="0.25">
      <c r="B1145" s="59"/>
      <c r="C1145" s="62"/>
      <c r="D1145" s="62"/>
      <c r="E1145" s="62"/>
      <c r="F1145" s="62"/>
      <c r="G1145" s="62"/>
      <c r="H1145" s="62"/>
      <c r="I1145" s="62"/>
      <c r="J1145" s="60"/>
      <c r="L1145" s="59"/>
      <c r="M1145" s="62"/>
      <c r="N1145" s="62"/>
      <c r="O1145" s="62"/>
      <c r="P1145" s="62"/>
      <c r="Q1145" s="62"/>
      <c r="R1145" s="62"/>
      <c r="S1145" s="62"/>
      <c r="T1145" s="60"/>
      <c r="V1145" s="59"/>
      <c r="W1145" s="62"/>
      <c r="X1145" s="62"/>
      <c r="Y1145" s="62"/>
      <c r="Z1145" s="62"/>
      <c r="AA1145" s="62"/>
      <c r="AB1145" s="62"/>
      <c r="AC1145" s="62"/>
      <c r="AD1145" s="60"/>
      <c r="AF1145" s="59"/>
      <c r="AG1145" s="62"/>
      <c r="AH1145" s="62"/>
      <c r="AI1145" s="62"/>
      <c r="AJ1145" s="62"/>
      <c r="AK1145" s="62"/>
      <c r="AL1145" s="62"/>
      <c r="AM1145" s="62"/>
      <c r="AN1145" s="60"/>
    </row>
    <row r="1146" spans="2:40" ht="18" customHeight="1" x14ac:dyDescent="0.25">
      <c r="B1146" s="61"/>
      <c r="C1146" s="214" t="s">
        <v>701</v>
      </c>
      <c r="D1146" s="215"/>
      <c r="E1146" s="216"/>
      <c r="F1146" s="62"/>
      <c r="G1146" s="214" t="s">
        <v>986</v>
      </c>
      <c r="H1146" s="215"/>
      <c r="I1146" s="216"/>
      <c r="J1146" s="63"/>
      <c r="L1146" s="61"/>
      <c r="M1146" s="214" t="s">
        <v>701</v>
      </c>
      <c r="N1146" s="215"/>
      <c r="O1146" s="216"/>
      <c r="P1146" s="62"/>
      <c r="Q1146" s="214" t="s">
        <v>986</v>
      </c>
      <c r="R1146" s="215"/>
      <c r="S1146" s="216"/>
      <c r="T1146" s="63"/>
      <c r="V1146" s="61"/>
      <c r="W1146" s="214" t="s">
        <v>701</v>
      </c>
      <c r="X1146" s="215"/>
      <c r="Y1146" s="216"/>
      <c r="Z1146" s="62"/>
      <c r="AA1146" s="214" t="s">
        <v>986</v>
      </c>
      <c r="AB1146" s="215"/>
      <c r="AC1146" s="216"/>
      <c r="AD1146" s="63"/>
      <c r="AF1146" s="61"/>
      <c r="AG1146" s="214" t="s">
        <v>701</v>
      </c>
      <c r="AH1146" s="215"/>
      <c r="AI1146" s="216"/>
      <c r="AJ1146" s="62"/>
      <c r="AK1146" s="214" t="s">
        <v>986</v>
      </c>
      <c r="AL1146" s="215"/>
      <c r="AM1146" s="216"/>
      <c r="AN1146" s="63"/>
    </row>
    <row r="1147" spans="2:40" ht="6.95" customHeight="1" x14ac:dyDescent="0.25">
      <c r="B1147" s="59"/>
      <c r="C1147" s="62"/>
      <c r="D1147" s="62"/>
      <c r="E1147" s="62"/>
      <c r="F1147" s="62"/>
      <c r="G1147" s="62"/>
      <c r="H1147" s="62"/>
      <c r="I1147" s="62"/>
      <c r="J1147" s="60"/>
      <c r="L1147" s="59"/>
      <c r="M1147" s="62"/>
      <c r="N1147" s="62"/>
      <c r="O1147" s="62"/>
      <c r="P1147" s="62"/>
      <c r="Q1147" s="62"/>
      <c r="R1147" s="62"/>
      <c r="S1147" s="62"/>
      <c r="T1147" s="60"/>
      <c r="V1147" s="59"/>
      <c r="W1147" s="62"/>
      <c r="X1147" s="62"/>
      <c r="Y1147" s="62"/>
      <c r="Z1147" s="62"/>
      <c r="AA1147" s="62"/>
      <c r="AB1147" s="62"/>
      <c r="AC1147" s="62"/>
      <c r="AD1147" s="60"/>
      <c r="AF1147" s="59"/>
      <c r="AG1147" s="62"/>
      <c r="AH1147" s="62"/>
      <c r="AI1147" s="62"/>
      <c r="AJ1147" s="62"/>
      <c r="AK1147" s="62"/>
      <c r="AL1147" s="62"/>
      <c r="AM1147" s="62"/>
      <c r="AN1147" s="60"/>
    </row>
    <row r="1148" spans="2:40" ht="18" customHeight="1" x14ac:dyDescent="0.25">
      <c r="B1148" s="61"/>
      <c r="C1148" s="214" t="s">
        <v>703</v>
      </c>
      <c r="D1148" s="215"/>
      <c r="E1148" s="216"/>
      <c r="F1148" s="62"/>
      <c r="G1148" s="214" t="s">
        <v>109</v>
      </c>
      <c r="H1148" s="215"/>
      <c r="I1148" s="216"/>
      <c r="J1148" s="63"/>
      <c r="L1148" s="61"/>
      <c r="M1148" s="214" t="s">
        <v>703</v>
      </c>
      <c r="N1148" s="215"/>
      <c r="O1148" s="216"/>
      <c r="P1148" s="62"/>
      <c r="Q1148" s="214" t="s">
        <v>109</v>
      </c>
      <c r="R1148" s="215"/>
      <c r="S1148" s="216"/>
      <c r="T1148" s="63"/>
      <c r="V1148" s="61"/>
      <c r="W1148" s="214" t="s">
        <v>703</v>
      </c>
      <c r="X1148" s="215"/>
      <c r="Y1148" s="216"/>
      <c r="Z1148" s="62"/>
      <c r="AA1148" s="214" t="s">
        <v>109</v>
      </c>
      <c r="AB1148" s="215"/>
      <c r="AC1148" s="216"/>
      <c r="AD1148" s="63"/>
      <c r="AF1148" s="61"/>
      <c r="AG1148" s="214" t="s">
        <v>703</v>
      </c>
      <c r="AH1148" s="215"/>
      <c r="AI1148" s="216"/>
      <c r="AJ1148" s="62"/>
      <c r="AK1148" s="214" t="s">
        <v>109</v>
      </c>
      <c r="AL1148" s="215"/>
      <c r="AM1148" s="216"/>
      <c r="AN1148" s="63"/>
    </row>
    <row r="1149" spans="2:40" ht="6.6" customHeight="1" x14ac:dyDescent="0.25">
      <c r="B1149" s="59"/>
      <c r="C1149" s="62"/>
      <c r="D1149" s="62"/>
      <c r="E1149" s="62"/>
      <c r="F1149" s="62"/>
      <c r="G1149" s="62"/>
      <c r="H1149" s="62"/>
      <c r="I1149" s="62"/>
      <c r="J1149" s="60"/>
      <c r="L1149" s="59"/>
      <c r="M1149" s="62"/>
      <c r="N1149" s="62"/>
      <c r="O1149" s="62"/>
      <c r="P1149" s="62"/>
      <c r="Q1149" s="62"/>
      <c r="R1149" s="62"/>
      <c r="S1149" s="62"/>
      <c r="T1149" s="60"/>
      <c r="V1149" s="59"/>
      <c r="W1149" s="62"/>
      <c r="X1149" s="62"/>
      <c r="Y1149" s="62"/>
      <c r="Z1149" s="62"/>
      <c r="AA1149" s="62"/>
      <c r="AB1149" s="62"/>
      <c r="AC1149" s="62"/>
      <c r="AD1149" s="60"/>
      <c r="AF1149" s="59"/>
      <c r="AG1149" s="62"/>
      <c r="AH1149" s="62"/>
      <c r="AI1149" s="62"/>
      <c r="AJ1149" s="62"/>
      <c r="AK1149" s="62"/>
      <c r="AL1149" s="62"/>
      <c r="AM1149" s="62"/>
      <c r="AN1149" s="60"/>
    </row>
    <row r="1150" spans="2:40" ht="18" customHeight="1" x14ac:dyDescent="0.25">
      <c r="B1150" s="61"/>
      <c r="C1150" s="214" t="s">
        <v>705</v>
      </c>
      <c r="D1150" s="215"/>
      <c r="E1150" s="216"/>
      <c r="F1150" s="62"/>
      <c r="G1150" s="214" t="s">
        <v>109</v>
      </c>
      <c r="H1150" s="215"/>
      <c r="I1150" s="216"/>
      <c r="J1150" s="63"/>
      <c r="L1150" s="61"/>
      <c r="M1150" s="214" t="s">
        <v>705</v>
      </c>
      <c r="N1150" s="215"/>
      <c r="O1150" s="216"/>
      <c r="P1150" s="62"/>
      <c r="Q1150" s="214" t="s">
        <v>109</v>
      </c>
      <c r="R1150" s="215"/>
      <c r="S1150" s="216"/>
      <c r="T1150" s="63"/>
      <c r="V1150" s="61"/>
      <c r="W1150" s="214" t="s">
        <v>705</v>
      </c>
      <c r="X1150" s="215"/>
      <c r="Y1150" s="216"/>
      <c r="Z1150" s="62"/>
      <c r="AA1150" s="214" t="s">
        <v>109</v>
      </c>
      <c r="AB1150" s="215"/>
      <c r="AC1150" s="216"/>
      <c r="AD1150" s="63"/>
      <c r="AF1150" s="61"/>
      <c r="AG1150" s="214" t="s">
        <v>705</v>
      </c>
      <c r="AH1150" s="215"/>
      <c r="AI1150" s="216"/>
      <c r="AJ1150" s="62"/>
      <c r="AK1150" s="214" t="s">
        <v>109</v>
      </c>
      <c r="AL1150" s="215"/>
      <c r="AM1150" s="216"/>
      <c r="AN1150" s="63"/>
    </row>
    <row r="1151" spans="2:40" ht="6.95" customHeight="1" x14ac:dyDescent="0.25">
      <c r="B1151" s="59"/>
      <c r="C1151" s="62"/>
      <c r="D1151" s="62"/>
      <c r="E1151" s="62"/>
      <c r="F1151" s="62"/>
      <c r="G1151" s="62"/>
      <c r="H1151" s="62"/>
      <c r="I1151" s="62"/>
      <c r="J1151" s="60"/>
      <c r="L1151" s="59"/>
      <c r="M1151" s="62"/>
      <c r="N1151" s="62"/>
      <c r="O1151" s="62"/>
      <c r="P1151" s="62"/>
      <c r="Q1151" s="62"/>
      <c r="R1151" s="62"/>
      <c r="S1151" s="62"/>
      <c r="T1151" s="60"/>
      <c r="V1151" s="59"/>
      <c r="W1151" s="62"/>
      <c r="X1151" s="62"/>
      <c r="Y1151" s="62"/>
      <c r="Z1151" s="62"/>
      <c r="AA1151" s="62"/>
      <c r="AB1151" s="62"/>
      <c r="AC1151" s="62"/>
      <c r="AD1151" s="60"/>
      <c r="AF1151" s="59"/>
      <c r="AG1151" s="62"/>
      <c r="AH1151" s="62"/>
      <c r="AI1151" s="62"/>
      <c r="AJ1151" s="62"/>
      <c r="AK1151" s="62"/>
      <c r="AL1151" s="62"/>
      <c r="AM1151" s="62"/>
      <c r="AN1151" s="60"/>
    </row>
    <row r="1152" spans="2:40" ht="18" customHeight="1" x14ac:dyDescent="0.25">
      <c r="B1152" s="61"/>
      <c r="C1152" s="214" t="s">
        <v>708</v>
      </c>
      <c r="D1152" s="215"/>
      <c r="E1152" s="216"/>
      <c r="F1152" s="62"/>
      <c r="G1152" s="214" t="s">
        <v>109</v>
      </c>
      <c r="H1152" s="215"/>
      <c r="I1152" s="216"/>
      <c r="J1152" s="63"/>
      <c r="L1152" s="61"/>
      <c r="M1152" s="214" t="s">
        <v>708</v>
      </c>
      <c r="N1152" s="215"/>
      <c r="O1152" s="216"/>
      <c r="P1152" s="62"/>
      <c r="Q1152" s="214" t="s">
        <v>109</v>
      </c>
      <c r="R1152" s="215"/>
      <c r="S1152" s="216"/>
      <c r="T1152" s="63"/>
      <c r="V1152" s="61"/>
      <c r="W1152" s="214" t="s">
        <v>708</v>
      </c>
      <c r="X1152" s="215"/>
      <c r="Y1152" s="216"/>
      <c r="Z1152" s="62"/>
      <c r="AA1152" s="214" t="s">
        <v>109</v>
      </c>
      <c r="AB1152" s="215"/>
      <c r="AC1152" s="216"/>
      <c r="AD1152" s="63"/>
      <c r="AF1152" s="61"/>
      <c r="AG1152" s="214" t="s">
        <v>708</v>
      </c>
      <c r="AH1152" s="215"/>
      <c r="AI1152" s="216"/>
      <c r="AJ1152" s="62"/>
      <c r="AK1152" s="214" t="s">
        <v>109</v>
      </c>
      <c r="AL1152" s="215"/>
      <c r="AM1152" s="216"/>
      <c r="AN1152" s="63"/>
    </row>
    <row r="1153" spans="2:40" ht="6.95" customHeight="1" x14ac:dyDescent="0.25">
      <c r="B1153" s="59"/>
      <c r="C1153" s="62"/>
      <c r="D1153" s="62"/>
      <c r="E1153" s="62"/>
      <c r="F1153" s="62"/>
      <c r="G1153" s="62"/>
      <c r="H1153" s="62"/>
      <c r="I1153" s="62"/>
      <c r="J1153" s="60"/>
      <c r="L1153" s="59"/>
      <c r="M1153" s="62"/>
      <c r="N1153" s="62"/>
      <c r="O1153" s="62"/>
      <c r="P1153" s="62"/>
      <c r="Q1153" s="62"/>
      <c r="R1153" s="62"/>
      <c r="S1153" s="62"/>
      <c r="T1153" s="60"/>
      <c r="V1153" s="59"/>
      <c r="W1153" s="62"/>
      <c r="X1153" s="62"/>
      <c r="Y1153" s="62"/>
      <c r="Z1153" s="62"/>
      <c r="AA1153" s="62"/>
      <c r="AB1153" s="62"/>
      <c r="AC1153" s="62"/>
      <c r="AD1153" s="60"/>
      <c r="AF1153" s="59"/>
      <c r="AG1153" s="62"/>
      <c r="AH1153" s="62"/>
      <c r="AI1153" s="62"/>
      <c r="AJ1153" s="62"/>
      <c r="AK1153" s="62"/>
      <c r="AL1153" s="62"/>
      <c r="AM1153" s="62"/>
      <c r="AN1153" s="60"/>
    </row>
    <row r="1154" spans="2:40" ht="18" customHeight="1" x14ac:dyDescent="0.25">
      <c r="B1154" s="61"/>
      <c r="C1154" s="214" t="s">
        <v>711</v>
      </c>
      <c r="D1154" s="215"/>
      <c r="E1154" s="216"/>
      <c r="F1154" s="62"/>
      <c r="G1154" s="214" t="s">
        <v>712</v>
      </c>
      <c r="H1154" s="215"/>
      <c r="I1154" s="216"/>
      <c r="J1154" s="63"/>
      <c r="L1154" s="61"/>
      <c r="M1154" s="214" t="s">
        <v>711</v>
      </c>
      <c r="N1154" s="215"/>
      <c r="O1154" s="216"/>
      <c r="P1154" s="62"/>
      <c r="Q1154" s="214" t="s">
        <v>712</v>
      </c>
      <c r="R1154" s="215"/>
      <c r="S1154" s="216"/>
      <c r="T1154" s="63"/>
      <c r="V1154" s="61"/>
      <c r="W1154" s="214" t="s">
        <v>711</v>
      </c>
      <c r="X1154" s="215"/>
      <c r="Y1154" s="216"/>
      <c r="Z1154" s="62"/>
      <c r="AA1154" s="214" t="s">
        <v>712</v>
      </c>
      <c r="AB1154" s="215"/>
      <c r="AC1154" s="216"/>
      <c r="AD1154" s="63"/>
      <c r="AF1154" s="61"/>
      <c r="AG1154" s="214" t="s">
        <v>711</v>
      </c>
      <c r="AH1154" s="215"/>
      <c r="AI1154" s="216"/>
      <c r="AJ1154" s="62"/>
      <c r="AK1154" s="214" t="s">
        <v>712</v>
      </c>
      <c r="AL1154" s="215"/>
      <c r="AM1154" s="216"/>
      <c r="AN1154" s="63"/>
    </row>
    <row r="1155" spans="2:40" ht="6.95" customHeight="1" x14ac:dyDescent="0.25">
      <c r="B1155" s="59"/>
      <c r="C1155" s="62"/>
      <c r="D1155" s="62"/>
      <c r="E1155" s="62"/>
      <c r="F1155" s="62"/>
      <c r="G1155" s="62"/>
      <c r="H1155" s="62"/>
      <c r="I1155" s="62"/>
      <c r="J1155" s="60"/>
      <c r="L1155" s="59"/>
      <c r="M1155" s="62"/>
      <c r="N1155" s="62"/>
      <c r="O1155" s="62"/>
      <c r="P1155" s="62"/>
      <c r="Q1155" s="62"/>
      <c r="R1155" s="62"/>
      <c r="S1155" s="62"/>
      <c r="T1155" s="60"/>
      <c r="V1155" s="59"/>
      <c r="W1155" s="62"/>
      <c r="X1155" s="62"/>
      <c r="Y1155" s="62"/>
      <c r="Z1155" s="62"/>
      <c r="AA1155" s="62"/>
      <c r="AB1155" s="62"/>
      <c r="AC1155" s="62"/>
      <c r="AD1155" s="60"/>
      <c r="AF1155" s="59"/>
      <c r="AG1155" s="62"/>
      <c r="AH1155" s="62"/>
      <c r="AI1155" s="62"/>
      <c r="AJ1155" s="62"/>
      <c r="AK1155" s="62"/>
      <c r="AL1155" s="62"/>
      <c r="AM1155" s="62"/>
      <c r="AN1155" s="60"/>
    </row>
    <row r="1156" spans="2:40" ht="18" customHeight="1" x14ac:dyDescent="0.25">
      <c r="B1156" s="61"/>
      <c r="C1156" s="214" t="s">
        <v>1273</v>
      </c>
      <c r="D1156" s="215"/>
      <c r="E1156" s="216"/>
      <c r="F1156" s="62"/>
      <c r="G1156" s="214" t="s">
        <v>1497</v>
      </c>
      <c r="H1156" s="215"/>
      <c r="I1156" s="216"/>
      <c r="J1156" s="63"/>
      <c r="L1156" s="61"/>
      <c r="M1156" s="214" t="s">
        <v>1273</v>
      </c>
      <c r="N1156" s="215"/>
      <c r="O1156" s="216"/>
      <c r="P1156" s="62"/>
      <c r="Q1156" s="214" t="s">
        <v>1498</v>
      </c>
      <c r="R1156" s="215"/>
      <c r="S1156" s="216"/>
      <c r="T1156" s="63"/>
      <c r="V1156" s="61"/>
      <c r="W1156" s="214" t="s">
        <v>1273</v>
      </c>
      <c r="X1156" s="215"/>
      <c r="Y1156" s="216"/>
      <c r="Z1156" s="62"/>
      <c r="AA1156" s="214" t="s">
        <v>1499</v>
      </c>
      <c r="AB1156" s="215"/>
      <c r="AC1156" s="216"/>
      <c r="AD1156" s="63"/>
      <c r="AF1156" s="61"/>
      <c r="AG1156" s="214" t="s">
        <v>1273</v>
      </c>
      <c r="AH1156" s="215"/>
      <c r="AI1156" s="216"/>
      <c r="AJ1156" s="62"/>
      <c r="AK1156" s="214" t="s">
        <v>1500</v>
      </c>
      <c r="AL1156" s="215"/>
      <c r="AM1156" s="216"/>
      <c r="AN1156" s="63"/>
    </row>
    <row r="1157" spans="2:40" ht="6.95" customHeight="1" x14ac:dyDescent="0.25">
      <c r="B1157" s="59"/>
      <c r="C1157" s="62"/>
      <c r="D1157" s="62"/>
      <c r="E1157" s="62"/>
      <c r="F1157" s="62"/>
      <c r="G1157" s="62"/>
      <c r="H1157" s="62"/>
      <c r="I1157" s="62"/>
      <c r="J1157" s="60"/>
      <c r="L1157" s="59"/>
      <c r="M1157" s="62"/>
      <c r="N1157" s="62"/>
      <c r="O1157" s="62"/>
      <c r="P1157" s="62"/>
      <c r="Q1157" s="62"/>
      <c r="R1157" s="62"/>
      <c r="S1157" s="62"/>
      <c r="T1157" s="60"/>
      <c r="V1157" s="59"/>
      <c r="W1157" s="62"/>
      <c r="X1157" s="62"/>
      <c r="Y1157" s="62"/>
      <c r="Z1157" s="62"/>
      <c r="AA1157" s="62"/>
      <c r="AB1157" s="62"/>
      <c r="AC1157" s="62"/>
      <c r="AD1157" s="60"/>
      <c r="AF1157" s="59"/>
      <c r="AG1157" s="62"/>
      <c r="AH1157" s="62"/>
      <c r="AI1157" s="62"/>
      <c r="AJ1157" s="62"/>
      <c r="AK1157" s="62"/>
      <c r="AL1157" s="62"/>
      <c r="AM1157" s="62"/>
      <c r="AN1157" s="60"/>
    </row>
    <row r="1158" spans="2:40" ht="18" customHeight="1" x14ac:dyDescent="0.25">
      <c r="B1158" s="61"/>
      <c r="C1158" s="214" t="s">
        <v>713</v>
      </c>
      <c r="D1158" s="215"/>
      <c r="E1158" s="216"/>
      <c r="F1158" s="62"/>
      <c r="G1158" s="220" t="s">
        <v>1293</v>
      </c>
      <c r="H1158" s="220"/>
      <c r="I1158" s="220"/>
      <c r="J1158" s="63"/>
      <c r="L1158" s="61"/>
      <c r="M1158" s="214" t="s">
        <v>713</v>
      </c>
      <c r="N1158" s="215"/>
      <c r="O1158" s="216"/>
      <c r="P1158" s="62"/>
      <c r="Q1158" s="220" t="s">
        <v>1293</v>
      </c>
      <c r="R1158" s="220"/>
      <c r="S1158" s="220"/>
      <c r="T1158" s="63"/>
      <c r="V1158" s="61"/>
      <c r="W1158" s="214" t="s">
        <v>713</v>
      </c>
      <c r="X1158" s="215"/>
      <c r="Y1158" s="216"/>
      <c r="Z1158" s="62"/>
      <c r="AA1158" s="220" t="s">
        <v>1293</v>
      </c>
      <c r="AB1158" s="220"/>
      <c r="AC1158" s="220"/>
      <c r="AD1158" s="63"/>
      <c r="AF1158" s="61"/>
      <c r="AG1158" s="214" t="s">
        <v>713</v>
      </c>
      <c r="AH1158" s="215"/>
      <c r="AI1158" s="216"/>
      <c r="AJ1158" s="62"/>
      <c r="AK1158" s="220" t="s">
        <v>1293</v>
      </c>
      <c r="AL1158" s="220"/>
      <c r="AM1158" s="220"/>
      <c r="AN1158" s="63"/>
    </row>
    <row r="1159" spans="2:40" ht="6.95" customHeight="1" x14ac:dyDescent="0.25">
      <c r="B1159" s="59"/>
      <c r="C1159" s="128"/>
      <c r="D1159" s="128"/>
      <c r="E1159" s="128"/>
      <c r="F1159" s="62"/>
      <c r="G1159" s="128"/>
      <c r="H1159" s="128"/>
      <c r="I1159" s="128"/>
      <c r="J1159" s="63"/>
      <c r="L1159" s="59"/>
      <c r="M1159" s="128"/>
      <c r="N1159" s="128"/>
      <c r="O1159" s="128"/>
      <c r="P1159" s="62"/>
      <c r="Q1159" s="128"/>
      <c r="R1159" s="128"/>
      <c r="S1159" s="128"/>
      <c r="T1159" s="63"/>
      <c r="V1159" s="59"/>
      <c r="W1159" s="128"/>
      <c r="X1159" s="128"/>
      <c r="Y1159" s="128"/>
      <c r="Z1159" s="62"/>
      <c r="AA1159" s="128"/>
      <c r="AB1159" s="128"/>
      <c r="AC1159" s="128"/>
      <c r="AD1159" s="63"/>
      <c r="AF1159" s="59"/>
      <c r="AG1159" s="128"/>
      <c r="AH1159" s="128"/>
      <c r="AI1159" s="128"/>
      <c r="AJ1159" s="62"/>
      <c r="AK1159" s="128"/>
      <c r="AL1159" s="128"/>
      <c r="AM1159" s="128"/>
      <c r="AN1159" s="63"/>
    </row>
    <row r="1160" spans="2:40" ht="18" customHeight="1" x14ac:dyDescent="0.25">
      <c r="B1160" s="59"/>
      <c r="C1160" s="220" t="s">
        <v>715</v>
      </c>
      <c r="D1160" s="220"/>
      <c r="E1160" s="220"/>
      <c r="F1160" s="62"/>
      <c r="G1160" s="220" t="s">
        <v>1270</v>
      </c>
      <c r="H1160" s="220"/>
      <c r="I1160" s="220"/>
      <c r="J1160" s="63"/>
      <c r="L1160" s="59"/>
      <c r="M1160" s="220" t="s">
        <v>715</v>
      </c>
      <c r="N1160" s="220"/>
      <c r="O1160" s="220"/>
      <c r="P1160" s="62"/>
      <c r="Q1160" s="220" t="s">
        <v>1270</v>
      </c>
      <c r="R1160" s="220"/>
      <c r="S1160" s="220"/>
      <c r="T1160" s="63"/>
      <c r="V1160" s="59"/>
      <c r="W1160" s="220" t="s">
        <v>715</v>
      </c>
      <c r="X1160" s="220"/>
      <c r="Y1160" s="220"/>
      <c r="Z1160" s="62"/>
      <c r="AA1160" s="220" t="s">
        <v>1270</v>
      </c>
      <c r="AB1160" s="220"/>
      <c r="AC1160" s="220"/>
      <c r="AD1160" s="63"/>
      <c r="AF1160" s="59"/>
      <c r="AG1160" s="220" t="s">
        <v>715</v>
      </c>
      <c r="AH1160" s="220"/>
      <c r="AI1160" s="220"/>
      <c r="AJ1160" s="62"/>
      <c r="AK1160" s="220" t="s">
        <v>1270</v>
      </c>
      <c r="AL1160" s="220"/>
      <c r="AM1160" s="220"/>
      <c r="AN1160" s="63"/>
    </row>
    <row r="1161" spans="2:40" ht="6.95" customHeight="1" thickBot="1" x14ac:dyDescent="0.3">
      <c r="B1161" s="64"/>
      <c r="C1161" s="65"/>
      <c r="D1161" s="65"/>
      <c r="E1161" s="65"/>
      <c r="F1161" s="65"/>
      <c r="G1161" s="65"/>
      <c r="H1161" s="65"/>
      <c r="I1161" s="65"/>
      <c r="J1161" s="66"/>
      <c r="L1161" s="64"/>
      <c r="M1161" s="65"/>
      <c r="N1161" s="65"/>
      <c r="O1161" s="65"/>
      <c r="P1161" s="65"/>
      <c r="Q1161" s="65"/>
      <c r="R1161" s="65"/>
      <c r="S1161" s="65"/>
      <c r="T1161" s="66"/>
      <c r="V1161" s="64"/>
      <c r="W1161" s="65"/>
      <c r="X1161" s="65"/>
      <c r="Y1161" s="65"/>
      <c r="Z1161" s="65"/>
      <c r="AA1161" s="65"/>
      <c r="AB1161" s="65"/>
      <c r="AC1161" s="65"/>
      <c r="AD1161" s="66"/>
      <c r="AF1161" s="64"/>
      <c r="AG1161" s="65"/>
      <c r="AH1161" s="65"/>
      <c r="AI1161" s="65"/>
      <c r="AJ1161" s="65"/>
      <c r="AK1161" s="65"/>
      <c r="AL1161" s="65"/>
      <c r="AM1161" s="65"/>
      <c r="AN1161" s="66"/>
    </row>
    <row r="1162" spans="2:40" ht="32.1" customHeight="1" thickTop="1" x14ac:dyDescent="0.25">
      <c r="B1162" s="57"/>
      <c r="C1162" s="58"/>
      <c r="D1162" s="217" t="s">
        <v>697</v>
      </c>
      <c r="E1162" s="218"/>
      <c r="F1162" s="218"/>
      <c r="G1162" s="218"/>
      <c r="H1162" s="218"/>
      <c r="I1162" s="218"/>
      <c r="J1162" s="219"/>
      <c r="L1162" s="57"/>
      <c r="M1162" s="58"/>
      <c r="N1162" s="217" t="s">
        <v>697</v>
      </c>
      <c r="O1162" s="218"/>
      <c r="P1162" s="218"/>
      <c r="Q1162" s="218"/>
      <c r="R1162" s="218"/>
      <c r="S1162" s="218"/>
      <c r="T1162" s="219"/>
      <c r="V1162" s="57"/>
      <c r="W1162" s="58"/>
      <c r="X1162" s="217" t="s">
        <v>697</v>
      </c>
      <c r="Y1162" s="218"/>
      <c r="Z1162" s="218"/>
      <c r="AA1162" s="218"/>
      <c r="AB1162" s="218"/>
      <c r="AC1162" s="218"/>
      <c r="AD1162" s="219"/>
      <c r="AF1162" s="57"/>
      <c r="AG1162" s="58"/>
      <c r="AH1162" s="217" t="s">
        <v>697</v>
      </c>
      <c r="AI1162" s="218"/>
      <c r="AJ1162" s="218"/>
      <c r="AK1162" s="218"/>
      <c r="AL1162" s="218"/>
      <c r="AM1162" s="218"/>
      <c r="AN1162" s="219"/>
    </row>
    <row r="1163" spans="2:40" ht="6.95" customHeight="1" x14ac:dyDescent="0.25">
      <c r="B1163" s="59"/>
      <c r="J1163" s="60"/>
      <c r="L1163" s="59"/>
      <c r="T1163" s="60"/>
      <c r="V1163" s="59"/>
      <c r="AD1163" s="60"/>
      <c r="AF1163" s="59"/>
      <c r="AN1163" s="60"/>
    </row>
    <row r="1164" spans="2:40" ht="18" customHeight="1" x14ac:dyDescent="0.25">
      <c r="B1164" s="61"/>
      <c r="C1164" s="214" t="s">
        <v>698</v>
      </c>
      <c r="D1164" s="215"/>
      <c r="E1164" s="216"/>
      <c r="F1164" s="62"/>
      <c r="G1164" s="214" t="s">
        <v>1501</v>
      </c>
      <c r="H1164" s="215"/>
      <c r="I1164" s="216"/>
      <c r="J1164" s="63"/>
      <c r="L1164" s="61"/>
      <c r="M1164" s="214" t="s">
        <v>698</v>
      </c>
      <c r="N1164" s="215"/>
      <c r="O1164" s="216"/>
      <c r="P1164" s="62"/>
      <c r="Q1164" s="214" t="s">
        <v>1502</v>
      </c>
      <c r="R1164" s="215"/>
      <c r="S1164" s="216"/>
      <c r="T1164" s="63"/>
      <c r="V1164" s="61"/>
      <c r="W1164" s="214" t="s">
        <v>698</v>
      </c>
      <c r="X1164" s="215"/>
      <c r="Y1164" s="216"/>
      <c r="Z1164" s="62"/>
      <c r="AA1164" s="214" t="s">
        <v>1503</v>
      </c>
      <c r="AB1164" s="215"/>
      <c r="AC1164" s="216"/>
      <c r="AD1164" s="63"/>
      <c r="AF1164" s="61"/>
      <c r="AG1164" s="214" t="s">
        <v>698</v>
      </c>
      <c r="AH1164" s="215"/>
      <c r="AI1164" s="216"/>
      <c r="AJ1164" s="62"/>
      <c r="AK1164" s="214" t="s">
        <v>1504</v>
      </c>
      <c r="AL1164" s="215"/>
      <c r="AM1164" s="216"/>
      <c r="AN1164" s="63"/>
    </row>
    <row r="1165" spans="2:40" ht="6.95" customHeight="1" x14ac:dyDescent="0.25">
      <c r="B1165" s="59"/>
      <c r="C1165" s="62"/>
      <c r="D1165" s="62"/>
      <c r="E1165" s="62"/>
      <c r="F1165" s="62"/>
      <c r="G1165" s="62"/>
      <c r="H1165" s="62"/>
      <c r="I1165" s="62"/>
      <c r="J1165" s="60"/>
      <c r="L1165" s="59"/>
      <c r="M1165" s="62"/>
      <c r="N1165" s="62"/>
      <c r="O1165" s="62"/>
      <c r="P1165" s="62"/>
      <c r="Q1165" s="62"/>
      <c r="R1165" s="62"/>
      <c r="S1165" s="62"/>
      <c r="T1165" s="60"/>
      <c r="V1165" s="59"/>
      <c r="W1165" s="62"/>
      <c r="X1165" s="62"/>
      <c r="Y1165" s="62"/>
      <c r="Z1165" s="62"/>
      <c r="AA1165" s="62"/>
      <c r="AB1165" s="62"/>
      <c r="AC1165" s="62"/>
      <c r="AD1165" s="60"/>
      <c r="AF1165" s="59"/>
      <c r="AG1165" s="62"/>
      <c r="AH1165" s="62"/>
      <c r="AI1165" s="62"/>
      <c r="AJ1165" s="62"/>
      <c r="AK1165" s="62"/>
      <c r="AL1165" s="62"/>
      <c r="AM1165" s="62"/>
      <c r="AN1165" s="60"/>
    </row>
    <row r="1166" spans="2:40" ht="18" customHeight="1" x14ac:dyDescent="0.25">
      <c r="B1166" s="61"/>
      <c r="C1166" s="214" t="s">
        <v>699</v>
      </c>
      <c r="D1166" s="215"/>
      <c r="E1166" s="216"/>
      <c r="F1166" s="62"/>
      <c r="G1166" s="214" t="s">
        <v>1639</v>
      </c>
      <c r="H1166" s="215"/>
      <c r="I1166" s="216"/>
      <c r="J1166" s="63"/>
      <c r="L1166" s="61"/>
      <c r="M1166" s="214" t="s">
        <v>699</v>
      </c>
      <c r="N1166" s="215"/>
      <c r="O1166" s="216"/>
      <c r="P1166" s="62"/>
      <c r="Q1166" s="214" t="s">
        <v>1639</v>
      </c>
      <c r="R1166" s="215"/>
      <c r="S1166" s="216"/>
      <c r="T1166" s="63"/>
      <c r="V1166" s="61"/>
      <c r="W1166" s="214" t="s">
        <v>699</v>
      </c>
      <c r="X1166" s="215"/>
      <c r="Y1166" s="216"/>
      <c r="Z1166" s="62"/>
      <c r="AA1166" s="214" t="s">
        <v>1639</v>
      </c>
      <c r="AB1166" s="215"/>
      <c r="AC1166" s="216"/>
      <c r="AD1166" s="63"/>
      <c r="AF1166" s="61"/>
      <c r="AG1166" s="214" t="s">
        <v>699</v>
      </c>
      <c r="AH1166" s="215"/>
      <c r="AI1166" s="216"/>
      <c r="AJ1166" s="62"/>
      <c r="AK1166" s="214" t="s">
        <v>1639</v>
      </c>
      <c r="AL1166" s="215"/>
      <c r="AM1166" s="216"/>
      <c r="AN1166" s="63"/>
    </row>
    <row r="1167" spans="2:40" ht="6.95" customHeight="1" x14ac:dyDescent="0.25">
      <c r="B1167" s="59"/>
      <c r="C1167" s="62"/>
      <c r="D1167" s="62"/>
      <c r="E1167" s="62"/>
      <c r="F1167" s="62"/>
      <c r="G1167" s="62"/>
      <c r="H1167" s="62"/>
      <c r="I1167" s="62"/>
      <c r="J1167" s="60"/>
      <c r="L1167" s="59"/>
      <c r="M1167" s="62"/>
      <c r="N1167" s="62"/>
      <c r="O1167" s="62"/>
      <c r="P1167" s="62"/>
      <c r="Q1167" s="62"/>
      <c r="R1167" s="62"/>
      <c r="S1167" s="62"/>
      <c r="T1167" s="60"/>
      <c r="V1167" s="59"/>
      <c r="W1167" s="62"/>
      <c r="X1167" s="62"/>
      <c r="Y1167" s="62"/>
      <c r="Z1167" s="62"/>
      <c r="AA1167" s="62"/>
      <c r="AB1167" s="62"/>
      <c r="AC1167" s="62"/>
      <c r="AD1167" s="60"/>
      <c r="AF1167" s="59"/>
      <c r="AG1167" s="62"/>
      <c r="AH1167" s="62"/>
      <c r="AI1167" s="62"/>
      <c r="AJ1167" s="62"/>
      <c r="AK1167" s="62"/>
      <c r="AL1167" s="62"/>
      <c r="AM1167" s="62"/>
      <c r="AN1167" s="60"/>
    </row>
    <row r="1168" spans="2:40" ht="18" customHeight="1" x14ac:dyDescent="0.25">
      <c r="B1168" s="61"/>
      <c r="C1168" s="214" t="s">
        <v>701</v>
      </c>
      <c r="D1168" s="215"/>
      <c r="E1168" s="216"/>
      <c r="F1168" s="62"/>
      <c r="G1168" s="214" t="s">
        <v>986</v>
      </c>
      <c r="H1168" s="215"/>
      <c r="I1168" s="216"/>
      <c r="J1168" s="63"/>
      <c r="L1168" s="61"/>
      <c r="M1168" s="214" t="s">
        <v>701</v>
      </c>
      <c r="N1168" s="215"/>
      <c r="O1168" s="216"/>
      <c r="P1168" s="62"/>
      <c r="Q1168" s="214" t="s">
        <v>986</v>
      </c>
      <c r="R1168" s="215"/>
      <c r="S1168" s="216"/>
      <c r="T1168" s="63"/>
      <c r="V1168" s="61"/>
      <c r="W1168" s="214" t="s">
        <v>701</v>
      </c>
      <c r="X1168" s="215"/>
      <c r="Y1168" s="216"/>
      <c r="Z1168" s="62"/>
      <c r="AA1168" s="214" t="s">
        <v>986</v>
      </c>
      <c r="AB1168" s="215"/>
      <c r="AC1168" s="216"/>
      <c r="AD1168" s="63"/>
      <c r="AF1168" s="61"/>
      <c r="AG1168" s="214" t="s">
        <v>701</v>
      </c>
      <c r="AH1168" s="215"/>
      <c r="AI1168" s="216"/>
      <c r="AJ1168" s="62"/>
      <c r="AK1168" s="214" t="s">
        <v>986</v>
      </c>
      <c r="AL1168" s="215"/>
      <c r="AM1168" s="216"/>
      <c r="AN1168" s="63"/>
    </row>
    <row r="1169" spans="2:40" ht="6.95" customHeight="1" x14ac:dyDescent="0.25">
      <c r="B1169" s="59"/>
      <c r="C1169" s="62"/>
      <c r="D1169" s="62"/>
      <c r="E1169" s="62"/>
      <c r="F1169" s="62"/>
      <c r="G1169" s="62"/>
      <c r="H1169" s="62"/>
      <c r="I1169" s="62"/>
      <c r="J1169" s="60"/>
      <c r="L1169" s="59"/>
      <c r="M1169" s="62"/>
      <c r="N1169" s="62"/>
      <c r="O1169" s="62"/>
      <c r="P1169" s="62"/>
      <c r="Q1169" s="62"/>
      <c r="R1169" s="62"/>
      <c r="S1169" s="62"/>
      <c r="T1169" s="60"/>
      <c r="V1169" s="59"/>
      <c r="W1169" s="62"/>
      <c r="X1169" s="62"/>
      <c r="Y1169" s="62"/>
      <c r="Z1169" s="62"/>
      <c r="AA1169" s="62"/>
      <c r="AB1169" s="62"/>
      <c r="AC1169" s="62"/>
      <c r="AD1169" s="60"/>
      <c r="AF1169" s="59"/>
      <c r="AG1169" s="62"/>
      <c r="AH1169" s="62"/>
      <c r="AI1169" s="62"/>
      <c r="AJ1169" s="62"/>
      <c r="AK1169" s="62"/>
      <c r="AL1169" s="62"/>
      <c r="AM1169" s="62"/>
      <c r="AN1169" s="60"/>
    </row>
    <row r="1170" spans="2:40" ht="18" customHeight="1" x14ac:dyDescent="0.25">
      <c r="B1170" s="61"/>
      <c r="C1170" s="214" t="s">
        <v>703</v>
      </c>
      <c r="D1170" s="215"/>
      <c r="E1170" s="216"/>
      <c r="F1170" s="62"/>
      <c r="G1170" s="214" t="s">
        <v>109</v>
      </c>
      <c r="H1170" s="215"/>
      <c r="I1170" s="216"/>
      <c r="J1170" s="63"/>
      <c r="L1170" s="61"/>
      <c r="M1170" s="214" t="s">
        <v>703</v>
      </c>
      <c r="N1170" s="215"/>
      <c r="O1170" s="216"/>
      <c r="P1170" s="62"/>
      <c r="Q1170" s="214" t="s">
        <v>109</v>
      </c>
      <c r="R1170" s="215"/>
      <c r="S1170" s="216"/>
      <c r="T1170" s="63"/>
      <c r="V1170" s="61"/>
      <c r="W1170" s="214" t="s">
        <v>703</v>
      </c>
      <c r="X1170" s="215"/>
      <c r="Y1170" s="216"/>
      <c r="Z1170" s="62"/>
      <c r="AA1170" s="214" t="s">
        <v>109</v>
      </c>
      <c r="AB1170" s="215"/>
      <c r="AC1170" s="216"/>
      <c r="AD1170" s="63"/>
      <c r="AF1170" s="61"/>
      <c r="AG1170" s="214" t="s">
        <v>703</v>
      </c>
      <c r="AH1170" s="215"/>
      <c r="AI1170" s="216"/>
      <c r="AJ1170" s="62"/>
      <c r="AK1170" s="214" t="s">
        <v>109</v>
      </c>
      <c r="AL1170" s="215"/>
      <c r="AM1170" s="216"/>
      <c r="AN1170" s="63"/>
    </row>
    <row r="1171" spans="2:40" ht="6.6" customHeight="1" x14ac:dyDescent="0.25">
      <c r="B1171" s="59"/>
      <c r="C1171" s="62"/>
      <c r="D1171" s="62"/>
      <c r="E1171" s="62"/>
      <c r="F1171" s="62"/>
      <c r="G1171" s="62"/>
      <c r="H1171" s="62"/>
      <c r="I1171" s="62"/>
      <c r="J1171" s="60"/>
      <c r="L1171" s="59"/>
      <c r="M1171" s="62"/>
      <c r="N1171" s="62"/>
      <c r="O1171" s="62"/>
      <c r="P1171" s="62"/>
      <c r="Q1171" s="62"/>
      <c r="R1171" s="62"/>
      <c r="S1171" s="62"/>
      <c r="T1171" s="60"/>
      <c r="V1171" s="59"/>
      <c r="W1171" s="62"/>
      <c r="X1171" s="62"/>
      <c r="Y1171" s="62"/>
      <c r="Z1171" s="62"/>
      <c r="AA1171" s="62"/>
      <c r="AB1171" s="62"/>
      <c r="AC1171" s="62"/>
      <c r="AD1171" s="60"/>
      <c r="AF1171" s="59"/>
      <c r="AG1171" s="62"/>
      <c r="AH1171" s="62"/>
      <c r="AI1171" s="62"/>
      <c r="AJ1171" s="62"/>
      <c r="AK1171" s="62"/>
      <c r="AL1171" s="62"/>
      <c r="AM1171" s="62"/>
      <c r="AN1171" s="60"/>
    </row>
    <row r="1172" spans="2:40" ht="18" customHeight="1" x14ac:dyDescent="0.25">
      <c r="B1172" s="61"/>
      <c r="C1172" s="214" t="s">
        <v>705</v>
      </c>
      <c r="D1172" s="215"/>
      <c r="E1172" s="216"/>
      <c r="F1172" s="62"/>
      <c r="G1172" s="214" t="s">
        <v>109</v>
      </c>
      <c r="H1172" s="215"/>
      <c r="I1172" s="216"/>
      <c r="J1172" s="63"/>
      <c r="L1172" s="61"/>
      <c r="M1172" s="214" t="s">
        <v>705</v>
      </c>
      <c r="N1172" s="215"/>
      <c r="O1172" s="216"/>
      <c r="P1172" s="62"/>
      <c r="Q1172" s="214" t="s">
        <v>109</v>
      </c>
      <c r="R1172" s="215"/>
      <c r="S1172" s="216"/>
      <c r="T1172" s="63"/>
      <c r="V1172" s="61"/>
      <c r="W1172" s="214" t="s">
        <v>705</v>
      </c>
      <c r="X1172" s="215"/>
      <c r="Y1172" s="216"/>
      <c r="Z1172" s="62"/>
      <c r="AA1172" s="214" t="s">
        <v>109</v>
      </c>
      <c r="AB1172" s="215"/>
      <c r="AC1172" s="216"/>
      <c r="AD1172" s="63"/>
      <c r="AF1172" s="61"/>
      <c r="AG1172" s="214" t="s">
        <v>705</v>
      </c>
      <c r="AH1172" s="215"/>
      <c r="AI1172" s="216"/>
      <c r="AJ1172" s="62"/>
      <c r="AK1172" s="214" t="s">
        <v>109</v>
      </c>
      <c r="AL1172" s="215"/>
      <c r="AM1172" s="216"/>
      <c r="AN1172" s="63"/>
    </row>
    <row r="1173" spans="2:40" ht="6.95" customHeight="1" x14ac:dyDescent="0.25">
      <c r="B1173" s="59"/>
      <c r="C1173" s="62"/>
      <c r="D1173" s="62"/>
      <c r="E1173" s="62"/>
      <c r="F1173" s="62"/>
      <c r="G1173" s="62"/>
      <c r="H1173" s="62"/>
      <c r="I1173" s="62"/>
      <c r="J1173" s="60"/>
      <c r="L1173" s="59"/>
      <c r="M1173" s="62"/>
      <c r="N1173" s="62"/>
      <c r="O1173" s="62"/>
      <c r="P1173" s="62"/>
      <c r="Q1173" s="62"/>
      <c r="R1173" s="62"/>
      <c r="S1173" s="62"/>
      <c r="T1173" s="60"/>
      <c r="V1173" s="59"/>
      <c r="W1173" s="62"/>
      <c r="X1173" s="62"/>
      <c r="Y1173" s="62"/>
      <c r="Z1173" s="62"/>
      <c r="AA1173" s="62"/>
      <c r="AB1173" s="62"/>
      <c r="AC1173" s="62"/>
      <c r="AD1173" s="60"/>
      <c r="AF1173" s="59"/>
      <c r="AG1173" s="62"/>
      <c r="AH1173" s="62"/>
      <c r="AI1173" s="62"/>
      <c r="AJ1173" s="62"/>
      <c r="AK1173" s="62"/>
      <c r="AL1173" s="62"/>
      <c r="AM1173" s="62"/>
      <c r="AN1173" s="60"/>
    </row>
    <row r="1174" spans="2:40" ht="18" customHeight="1" x14ac:dyDescent="0.25">
      <c r="B1174" s="61"/>
      <c r="C1174" s="214" t="s">
        <v>708</v>
      </c>
      <c r="D1174" s="215"/>
      <c r="E1174" s="216"/>
      <c r="F1174" s="62"/>
      <c r="G1174" s="214" t="s">
        <v>109</v>
      </c>
      <c r="H1174" s="215"/>
      <c r="I1174" s="216"/>
      <c r="J1174" s="63"/>
      <c r="L1174" s="61"/>
      <c r="M1174" s="214" t="s">
        <v>708</v>
      </c>
      <c r="N1174" s="215"/>
      <c r="O1174" s="216"/>
      <c r="P1174" s="62"/>
      <c r="Q1174" s="214" t="s">
        <v>109</v>
      </c>
      <c r="R1174" s="215"/>
      <c r="S1174" s="216"/>
      <c r="T1174" s="63"/>
      <c r="V1174" s="61"/>
      <c r="W1174" s="214" t="s">
        <v>708</v>
      </c>
      <c r="X1174" s="215"/>
      <c r="Y1174" s="216"/>
      <c r="Z1174" s="62"/>
      <c r="AA1174" s="214" t="s">
        <v>109</v>
      </c>
      <c r="AB1174" s="215"/>
      <c r="AC1174" s="216"/>
      <c r="AD1174" s="63"/>
      <c r="AF1174" s="61"/>
      <c r="AG1174" s="214" t="s">
        <v>708</v>
      </c>
      <c r="AH1174" s="215"/>
      <c r="AI1174" s="216"/>
      <c r="AJ1174" s="62"/>
      <c r="AK1174" s="214" t="s">
        <v>109</v>
      </c>
      <c r="AL1174" s="215"/>
      <c r="AM1174" s="216"/>
      <c r="AN1174" s="63"/>
    </row>
    <row r="1175" spans="2:40" ht="6.95" customHeight="1" x14ac:dyDescent="0.25">
      <c r="B1175" s="59"/>
      <c r="C1175" s="62"/>
      <c r="D1175" s="62"/>
      <c r="E1175" s="62"/>
      <c r="F1175" s="62"/>
      <c r="G1175" s="62"/>
      <c r="H1175" s="62"/>
      <c r="I1175" s="62"/>
      <c r="J1175" s="60"/>
      <c r="L1175" s="59"/>
      <c r="M1175" s="62"/>
      <c r="N1175" s="62"/>
      <c r="O1175" s="62"/>
      <c r="P1175" s="62"/>
      <c r="Q1175" s="62"/>
      <c r="R1175" s="62"/>
      <c r="S1175" s="62"/>
      <c r="T1175" s="60"/>
      <c r="V1175" s="59"/>
      <c r="W1175" s="62"/>
      <c r="X1175" s="62"/>
      <c r="Y1175" s="62"/>
      <c r="Z1175" s="62"/>
      <c r="AA1175" s="62"/>
      <c r="AB1175" s="62"/>
      <c r="AC1175" s="62"/>
      <c r="AD1175" s="60"/>
      <c r="AF1175" s="59"/>
      <c r="AG1175" s="62"/>
      <c r="AH1175" s="62"/>
      <c r="AI1175" s="62"/>
      <c r="AJ1175" s="62"/>
      <c r="AK1175" s="62"/>
      <c r="AL1175" s="62"/>
      <c r="AM1175" s="62"/>
      <c r="AN1175" s="60"/>
    </row>
    <row r="1176" spans="2:40" ht="18" customHeight="1" x14ac:dyDescent="0.25">
      <c r="B1176" s="61"/>
      <c r="C1176" s="214" t="s">
        <v>711</v>
      </c>
      <c r="D1176" s="215"/>
      <c r="E1176" s="216"/>
      <c r="F1176" s="62"/>
      <c r="G1176" s="214" t="s">
        <v>712</v>
      </c>
      <c r="H1176" s="215"/>
      <c r="I1176" s="216"/>
      <c r="J1176" s="63"/>
      <c r="L1176" s="61"/>
      <c r="M1176" s="214" t="s">
        <v>711</v>
      </c>
      <c r="N1176" s="215"/>
      <c r="O1176" s="216"/>
      <c r="P1176" s="62"/>
      <c r="Q1176" s="214" t="s">
        <v>712</v>
      </c>
      <c r="R1176" s="215"/>
      <c r="S1176" s="216"/>
      <c r="T1176" s="63"/>
      <c r="V1176" s="61"/>
      <c r="W1176" s="214" t="s">
        <v>711</v>
      </c>
      <c r="X1176" s="215"/>
      <c r="Y1176" s="216"/>
      <c r="Z1176" s="62"/>
      <c r="AA1176" s="214" t="s">
        <v>712</v>
      </c>
      <c r="AB1176" s="215"/>
      <c r="AC1176" s="216"/>
      <c r="AD1176" s="63"/>
      <c r="AF1176" s="61"/>
      <c r="AG1176" s="214" t="s">
        <v>711</v>
      </c>
      <c r="AH1176" s="215"/>
      <c r="AI1176" s="216"/>
      <c r="AJ1176" s="62"/>
      <c r="AK1176" s="214" t="s">
        <v>712</v>
      </c>
      <c r="AL1176" s="215"/>
      <c r="AM1176" s="216"/>
      <c r="AN1176" s="63"/>
    </row>
    <row r="1177" spans="2:40" ht="6.95" customHeight="1" x14ac:dyDescent="0.25">
      <c r="B1177" s="59"/>
      <c r="C1177" s="62"/>
      <c r="D1177" s="62"/>
      <c r="E1177" s="62"/>
      <c r="F1177" s="62"/>
      <c r="G1177" s="62"/>
      <c r="H1177" s="62"/>
      <c r="I1177" s="62"/>
      <c r="J1177" s="60"/>
      <c r="L1177" s="59"/>
      <c r="M1177" s="62"/>
      <c r="N1177" s="62"/>
      <c r="O1177" s="62"/>
      <c r="P1177" s="62"/>
      <c r="Q1177" s="62"/>
      <c r="R1177" s="62"/>
      <c r="S1177" s="62"/>
      <c r="T1177" s="60"/>
      <c r="V1177" s="59"/>
      <c r="W1177" s="62"/>
      <c r="X1177" s="62"/>
      <c r="Y1177" s="62"/>
      <c r="Z1177" s="62"/>
      <c r="AA1177" s="62"/>
      <c r="AB1177" s="62"/>
      <c r="AC1177" s="62"/>
      <c r="AD1177" s="60"/>
      <c r="AF1177" s="59"/>
      <c r="AG1177" s="62"/>
      <c r="AH1177" s="62"/>
      <c r="AI1177" s="62"/>
      <c r="AJ1177" s="62"/>
      <c r="AK1177" s="62"/>
      <c r="AL1177" s="62"/>
      <c r="AM1177" s="62"/>
      <c r="AN1177" s="60"/>
    </row>
    <row r="1178" spans="2:40" ht="18" customHeight="1" x14ac:dyDescent="0.25">
      <c r="B1178" s="61"/>
      <c r="C1178" s="214" t="s">
        <v>1273</v>
      </c>
      <c r="D1178" s="215"/>
      <c r="E1178" s="216"/>
      <c r="F1178" s="62"/>
      <c r="G1178" s="214" t="s">
        <v>1505</v>
      </c>
      <c r="H1178" s="215"/>
      <c r="I1178" s="216"/>
      <c r="J1178" s="63"/>
      <c r="L1178" s="61"/>
      <c r="M1178" s="214" t="s">
        <v>1273</v>
      </c>
      <c r="N1178" s="215"/>
      <c r="O1178" s="216"/>
      <c r="P1178" s="62"/>
      <c r="Q1178" s="214" t="s">
        <v>1506</v>
      </c>
      <c r="R1178" s="215"/>
      <c r="S1178" s="216"/>
      <c r="T1178" s="63"/>
      <c r="V1178" s="61"/>
      <c r="W1178" s="214" t="s">
        <v>1273</v>
      </c>
      <c r="X1178" s="215"/>
      <c r="Y1178" s="216"/>
      <c r="Z1178" s="62"/>
      <c r="AA1178" s="214" t="s">
        <v>1507</v>
      </c>
      <c r="AB1178" s="215"/>
      <c r="AC1178" s="216"/>
      <c r="AD1178" s="63"/>
      <c r="AF1178" s="61"/>
      <c r="AG1178" s="214" t="s">
        <v>1273</v>
      </c>
      <c r="AH1178" s="215"/>
      <c r="AI1178" s="216"/>
      <c r="AJ1178" s="62"/>
      <c r="AK1178" s="214" t="s">
        <v>1508</v>
      </c>
      <c r="AL1178" s="215"/>
      <c r="AM1178" s="216"/>
      <c r="AN1178" s="63"/>
    </row>
    <row r="1179" spans="2:40" ht="6.95" customHeight="1" x14ac:dyDescent="0.25">
      <c r="B1179" s="59"/>
      <c r="C1179" s="62"/>
      <c r="D1179" s="62"/>
      <c r="E1179" s="62"/>
      <c r="F1179" s="62"/>
      <c r="G1179" s="62"/>
      <c r="H1179" s="62"/>
      <c r="I1179" s="62"/>
      <c r="J1179" s="60"/>
      <c r="L1179" s="59"/>
      <c r="M1179" s="62"/>
      <c r="N1179" s="62"/>
      <c r="O1179" s="62"/>
      <c r="P1179" s="62"/>
      <c r="Q1179" s="62"/>
      <c r="R1179" s="62"/>
      <c r="S1179" s="62"/>
      <c r="T1179" s="60"/>
      <c r="V1179" s="59"/>
      <c r="W1179" s="62"/>
      <c r="X1179" s="62"/>
      <c r="Y1179" s="62"/>
      <c r="Z1179" s="62"/>
      <c r="AA1179" s="62"/>
      <c r="AB1179" s="62"/>
      <c r="AC1179" s="62"/>
      <c r="AD1179" s="60"/>
      <c r="AF1179" s="59"/>
      <c r="AG1179" s="62"/>
      <c r="AH1179" s="62"/>
      <c r="AI1179" s="62"/>
      <c r="AJ1179" s="62"/>
      <c r="AK1179" s="62"/>
      <c r="AL1179" s="62"/>
      <c r="AM1179" s="62"/>
      <c r="AN1179" s="60"/>
    </row>
    <row r="1180" spans="2:40" ht="18" customHeight="1" x14ac:dyDescent="0.25">
      <c r="B1180" s="61"/>
      <c r="C1180" s="214" t="s">
        <v>713</v>
      </c>
      <c r="D1180" s="215"/>
      <c r="E1180" s="216"/>
      <c r="F1180" s="62"/>
      <c r="G1180" s="220" t="s">
        <v>1293</v>
      </c>
      <c r="H1180" s="220"/>
      <c r="I1180" s="220"/>
      <c r="J1180" s="63"/>
      <c r="L1180" s="61"/>
      <c r="M1180" s="214" t="s">
        <v>713</v>
      </c>
      <c r="N1180" s="215"/>
      <c r="O1180" s="216"/>
      <c r="P1180" s="62"/>
      <c r="Q1180" s="220" t="s">
        <v>1293</v>
      </c>
      <c r="R1180" s="220"/>
      <c r="S1180" s="220"/>
      <c r="T1180" s="63"/>
      <c r="V1180" s="61"/>
      <c r="W1180" s="214" t="s">
        <v>713</v>
      </c>
      <c r="X1180" s="215"/>
      <c r="Y1180" s="216"/>
      <c r="Z1180" s="62"/>
      <c r="AA1180" s="220" t="s">
        <v>1293</v>
      </c>
      <c r="AB1180" s="220"/>
      <c r="AC1180" s="220"/>
      <c r="AD1180" s="63"/>
      <c r="AF1180" s="61"/>
      <c r="AG1180" s="214" t="s">
        <v>713</v>
      </c>
      <c r="AH1180" s="215"/>
      <c r="AI1180" s="216"/>
      <c r="AJ1180" s="62"/>
      <c r="AK1180" s="220" t="s">
        <v>1293</v>
      </c>
      <c r="AL1180" s="220"/>
      <c r="AM1180" s="220"/>
      <c r="AN1180" s="63"/>
    </row>
    <row r="1181" spans="2:40" ht="6.95" customHeight="1" x14ac:dyDescent="0.25">
      <c r="B1181" s="59"/>
      <c r="C1181" s="128"/>
      <c r="D1181" s="128"/>
      <c r="E1181" s="128"/>
      <c r="F1181" s="62"/>
      <c r="G1181" s="128"/>
      <c r="H1181" s="128"/>
      <c r="I1181" s="128"/>
      <c r="J1181" s="63"/>
      <c r="L1181" s="59"/>
      <c r="M1181" s="128"/>
      <c r="N1181" s="128"/>
      <c r="O1181" s="128"/>
      <c r="P1181" s="62"/>
      <c r="Q1181" s="128"/>
      <c r="R1181" s="128"/>
      <c r="S1181" s="128"/>
      <c r="T1181" s="63"/>
      <c r="V1181" s="59"/>
      <c r="W1181" s="128"/>
      <c r="X1181" s="128"/>
      <c r="Y1181" s="128"/>
      <c r="Z1181" s="62"/>
      <c r="AA1181" s="128"/>
      <c r="AB1181" s="128"/>
      <c r="AC1181" s="128"/>
      <c r="AD1181" s="63"/>
      <c r="AF1181" s="59"/>
      <c r="AG1181" s="128"/>
      <c r="AH1181" s="128"/>
      <c r="AI1181" s="128"/>
      <c r="AJ1181" s="62"/>
      <c r="AK1181" s="128"/>
      <c r="AL1181" s="128"/>
      <c r="AM1181" s="128"/>
      <c r="AN1181" s="63"/>
    </row>
    <row r="1182" spans="2:40" ht="18" customHeight="1" x14ac:dyDescent="0.25">
      <c r="B1182" s="59"/>
      <c r="C1182" s="220" t="s">
        <v>715</v>
      </c>
      <c r="D1182" s="220"/>
      <c r="E1182" s="220"/>
      <c r="F1182" s="62"/>
      <c r="G1182" s="220" t="s">
        <v>1270</v>
      </c>
      <c r="H1182" s="220"/>
      <c r="I1182" s="220"/>
      <c r="J1182" s="63"/>
      <c r="L1182" s="59"/>
      <c r="M1182" s="220" t="s">
        <v>715</v>
      </c>
      <c r="N1182" s="220"/>
      <c r="O1182" s="220"/>
      <c r="P1182" s="62"/>
      <c r="Q1182" s="220" t="s">
        <v>1270</v>
      </c>
      <c r="R1182" s="220"/>
      <c r="S1182" s="220"/>
      <c r="T1182" s="63"/>
      <c r="V1182" s="59"/>
      <c r="W1182" s="220" t="s">
        <v>715</v>
      </c>
      <c r="X1182" s="220"/>
      <c r="Y1182" s="220"/>
      <c r="Z1182" s="62"/>
      <c r="AA1182" s="220" t="s">
        <v>1270</v>
      </c>
      <c r="AB1182" s="220"/>
      <c r="AC1182" s="220"/>
      <c r="AD1182" s="63"/>
      <c r="AF1182" s="59"/>
      <c r="AG1182" s="220" t="s">
        <v>715</v>
      </c>
      <c r="AH1182" s="220"/>
      <c r="AI1182" s="220"/>
      <c r="AJ1182" s="62"/>
      <c r="AK1182" s="220" t="s">
        <v>1270</v>
      </c>
      <c r="AL1182" s="220"/>
      <c r="AM1182" s="220"/>
      <c r="AN1182" s="63"/>
    </row>
    <row r="1183" spans="2:40" ht="6.95" customHeight="1" thickBot="1" x14ac:dyDescent="0.3">
      <c r="B1183" s="64"/>
      <c r="C1183" s="65"/>
      <c r="D1183" s="65"/>
      <c r="E1183" s="65"/>
      <c r="F1183" s="65"/>
      <c r="G1183" s="65"/>
      <c r="H1183" s="65"/>
      <c r="I1183" s="65"/>
      <c r="J1183" s="66"/>
      <c r="L1183" s="64"/>
      <c r="M1183" s="65"/>
      <c r="N1183" s="65"/>
      <c r="O1183" s="65"/>
      <c r="P1183" s="65"/>
      <c r="Q1183" s="65"/>
      <c r="R1183" s="65"/>
      <c r="S1183" s="65"/>
      <c r="T1183" s="66"/>
      <c r="V1183" s="64"/>
      <c r="W1183" s="65"/>
      <c r="X1183" s="65"/>
      <c r="Y1183" s="65"/>
      <c r="Z1183" s="65"/>
      <c r="AA1183" s="65"/>
      <c r="AB1183" s="65"/>
      <c r="AC1183" s="65"/>
      <c r="AD1183" s="66"/>
      <c r="AF1183" s="64"/>
      <c r="AG1183" s="65"/>
      <c r="AH1183" s="65"/>
      <c r="AI1183" s="65"/>
      <c r="AJ1183" s="65"/>
      <c r="AK1183" s="65"/>
      <c r="AL1183" s="65"/>
      <c r="AM1183" s="65"/>
      <c r="AN1183" s="66"/>
    </row>
    <row r="1184" spans="2:40" ht="32.1" customHeight="1" thickTop="1" x14ac:dyDescent="0.25">
      <c r="B1184" s="57"/>
      <c r="C1184" s="58"/>
      <c r="D1184" s="217" t="s">
        <v>697</v>
      </c>
      <c r="E1184" s="218"/>
      <c r="F1184" s="218"/>
      <c r="G1184" s="218"/>
      <c r="H1184" s="218"/>
      <c r="I1184" s="218"/>
      <c r="J1184" s="219"/>
      <c r="L1184" s="57"/>
      <c r="M1184" s="58"/>
      <c r="N1184" s="217" t="s">
        <v>697</v>
      </c>
      <c r="O1184" s="218"/>
      <c r="P1184" s="218"/>
      <c r="Q1184" s="218"/>
      <c r="R1184" s="218"/>
      <c r="S1184" s="218"/>
      <c r="T1184" s="219"/>
      <c r="V1184" s="57"/>
      <c r="W1184" s="58"/>
      <c r="X1184" s="217" t="s">
        <v>697</v>
      </c>
      <c r="Y1184" s="218"/>
      <c r="Z1184" s="218"/>
      <c r="AA1184" s="218"/>
      <c r="AB1184" s="218"/>
      <c r="AC1184" s="218"/>
      <c r="AD1184" s="219"/>
      <c r="AF1184" s="57"/>
      <c r="AG1184" s="58"/>
      <c r="AH1184" s="217" t="s">
        <v>697</v>
      </c>
      <c r="AI1184" s="218"/>
      <c r="AJ1184" s="218"/>
      <c r="AK1184" s="218"/>
      <c r="AL1184" s="218"/>
      <c r="AM1184" s="218"/>
      <c r="AN1184" s="219"/>
    </row>
    <row r="1185" spans="2:40" ht="6.95" customHeight="1" x14ac:dyDescent="0.25">
      <c r="B1185" s="59"/>
      <c r="J1185" s="60"/>
      <c r="L1185" s="59"/>
      <c r="T1185" s="60"/>
      <c r="V1185" s="59"/>
      <c r="AD1185" s="60"/>
      <c r="AF1185" s="59"/>
      <c r="AN1185" s="60"/>
    </row>
    <row r="1186" spans="2:40" ht="18" customHeight="1" x14ac:dyDescent="0.25">
      <c r="B1186" s="61"/>
      <c r="C1186" s="214" t="s">
        <v>698</v>
      </c>
      <c r="D1186" s="215"/>
      <c r="E1186" s="216"/>
      <c r="F1186" s="62"/>
      <c r="G1186" s="214" t="s">
        <v>1509</v>
      </c>
      <c r="H1186" s="215"/>
      <c r="I1186" s="216"/>
      <c r="J1186" s="63"/>
      <c r="L1186" s="61"/>
      <c r="M1186" s="214" t="s">
        <v>698</v>
      </c>
      <c r="N1186" s="215"/>
      <c r="O1186" s="216"/>
      <c r="P1186" s="62"/>
      <c r="Q1186" s="214" t="s">
        <v>1510</v>
      </c>
      <c r="R1186" s="215"/>
      <c r="S1186" s="216"/>
      <c r="T1186" s="63"/>
      <c r="V1186" s="61"/>
      <c r="W1186" s="214" t="s">
        <v>698</v>
      </c>
      <c r="X1186" s="215"/>
      <c r="Y1186" s="216"/>
      <c r="Z1186" s="62"/>
      <c r="AA1186" s="214" t="s">
        <v>1511</v>
      </c>
      <c r="AB1186" s="215"/>
      <c r="AC1186" s="216"/>
      <c r="AD1186" s="63"/>
      <c r="AF1186" s="61"/>
      <c r="AG1186" s="214" t="s">
        <v>698</v>
      </c>
      <c r="AH1186" s="215"/>
      <c r="AI1186" s="216"/>
      <c r="AJ1186" s="62"/>
      <c r="AK1186" s="214" t="s">
        <v>1512</v>
      </c>
      <c r="AL1186" s="215"/>
      <c r="AM1186" s="216"/>
      <c r="AN1186" s="63"/>
    </row>
    <row r="1187" spans="2:40" ht="6.95" customHeight="1" x14ac:dyDescent="0.25">
      <c r="B1187" s="59"/>
      <c r="C1187" s="62"/>
      <c r="D1187" s="62"/>
      <c r="E1187" s="62"/>
      <c r="F1187" s="62"/>
      <c r="G1187" s="62"/>
      <c r="H1187" s="62"/>
      <c r="I1187" s="62"/>
      <c r="J1187" s="60"/>
      <c r="L1187" s="59"/>
      <c r="M1187" s="62"/>
      <c r="N1187" s="62"/>
      <c r="O1187" s="62"/>
      <c r="P1187" s="62"/>
      <c r="Q1187" s="62"/>
      <c r="R1187" s="62"/>
      <c r="S1187" s="62"/>
      <c r="T1187" s="60"/>
      <c r="V1187" s="59"/>
      <c r="W1187" s="62"/>
      <c r="X1187" s="62"/>
      <c r="Y1187" s="62"/>
      <c r="Z1187" s="62"/>
      <c r="AA1187" s="62"/>
      <c r="AB1187" s="62"/>
      <c r="AC1187" s="62"/>
      <c r="AD1187" s="60"/>
      <c r="AF1187" s="59"/>
      <c r="AG1187" s="62"/>
      <c r="AH1187" s="62"/>
      <c r="AI1187" s="62"/>
      <c r="AJ1187" s="62"/>
      <c r="AK1187" s="62"/>
      <c r="AL1187" s="62"/>
      <c r="AM1187" s="62"/>
      <c r="AN1187" s="60"/>
    </row>
    <row r="1188" spans="2:40" ht="18" customHeight="1" x14ac:dyDescent="0.25">
      <c r="B1188" s="61"/>
      <c r="C1188" s="214" t="s">
        <v>699</v>
      </c>
      <c r="D1188" s="215"/>
      <c r="E1188" s="216"/>
      <c r="F1188" s="62"/>
      <c r="G1188" s="214" t="s">
        <v>1639</v>
      </c>
      <c r="H1188" s="215"/>
      <c r="I1188" s="216"/>
      <c r="J1188" s="63"/>
      <c r="L1188" s="61"/>
      <c r="M1188" s="214" t="s">
        <v>699</v>
      </c>
      <c r="N1188" s="215"/>
      <c r="O1188" s="216"/>
      <c r="P1188" s="62"/>
      <c r="Q1188" s="214" t="s">
        <v>1639</v>
      </c>
      <c r="R1188" s="215"/>
      <c r="S1188" s="216"/>
      <c r="T1188" s="63"/>
      <c r="V1188" s="61"/>
      <c r="W1188" s="214" t="s">
        <v>699</v>
      </c>
      <c r="X1188" s="215"/>
      <c r="Y1188" s="216"/>
      <c r="Z1188" s="62"/>
      <c r="AA1188" s="214" t="s">
        <v>1639</v>
      </c>
      <c r="AB1188" s="215"/>
      <c r="AC1188" s="216"/>
      <c r="AD1188" s="63"/>
      <c r="AF1188" s="61"/>
      <c r="AG1188" s="214" t="s">
        <v>699</v>
      </c>
      <c r="AH1188" s="215"/>
      <c r="AI1188" s="216"/>
      <c r="AJ1188" s="62"/>
      <c r="AK1188" s="214" t="s">
        <v>1639</v>
      </c>
      <c r="AL1188" s="215"/>
      <c r="AM1188" s="216"/>
      <c r="AN1188" s="63"/>
    </row>
    <row r="1189" spans="2:40" ht="6.95" customHeight="1" x14ac:dyDescent="0.25">
      <c r="B1189" s="59"/>
      <c r="C1189" s="62"/>
      <c r="D1189" s="62"/>
      <c r="E1189" s="62"/>
      <c r="F1189" s="62"/>
      <c r="G1189" s="62"/>
      <c r="H1189" s="62"/>
      <c r="I1189" s="62"/>
      <c r="J1189" s="60"/>
      <c r="L1189" s="59"/>
      <c r="M1189" s="62"/>
      <c r="N1189" s="62"/>
      <c r="O1189" s="62"/>
      <c r="P1189" s="62"/>
      <c r="Q1189" s="62"/>
      <c r="R1189" s="62"/>
      <c r="S1189" s="62"/>
      <c r="T1189" s="60"/>
      <c r="V1189" s="59"/>
      <c r="W1189" s="62"/>
      <c r="X1189" s="62"/>
      <c r="Y1189" s="62"/>
      <c r="Z1189" s="62"/>
      <c r="AA1189" s="62"/>
      <c r="AB1189" s="62"/>
      <c r="AC1189" s="62"/>
      <c r="AD1189" s="60"/>
      <c r="AF1189" s="59"/>
      <c r="AG1189" s="62"/>
      <c r="AH1189" s="62"/>
      <c r="AI1189" s="62"/>
      <c r="AJ1189" s="62"/>
      <c r="AK1189" s="62"/>
      <c r="AL1189" s="62"/>
      <c r="AM1189" s="62"/>
      <c r="AN1189" s="60"/>
    </row>
    <row r="1190" spans="2:40" ht="18" customHeight="1" x14ac:dyDescent="0.25">
      <c r="B1190" s="61"/>
      <c r="C1190" s="214" t="s">
        <v>701</v>
      </c>
      <c r="D1190" s="215"/>
      <c r="E1190" s="216"/>
      <c r="F1190" s="62"/>
      <c r="G1190" s="214" t="s">
        <v>986</v>
      </c>
      <c r="H1190" s="215"/>
      <c r="I1190" s="216"/>
      <c r="J1190" s="63"/>
      <c r="L1190" s="61"/>
      <c r="M1190" s="214" t="s">
        <v>701</v>
      </c>
      <c r="N1190" s="215"/>
      <c r="O1190" s="216"/>
      <c r="P1190" s="62"/>
      <c r="Q1190" s="214" t="s">
        <v>986</v>
      </c>
      <c r="R1190" s="215"/>
      <c r="S1190" s="216"/>
      <c r="T1190" s="63"/>
      <c r="V1190" s="61"/>
      <c r="W1190" s="214" t="s">
        <v>701</v>
      </c>
      <c r="X1190" s="215"/>
      <c r="Y1190" s="216"/>
      <c r="Z1190" s="62"/>
      <c r="AA1190" s="214" t="s">
        <v>986</v>
      </c>
      <c r="AB1190" s="215"/>
      <c r="AC1190" s="216"/>
      <c r="AD1190" s="63"/>
      <c r="AF1190" s="61"/>
      <c r="AG1190" s="214" t="s">
        <v>701</v>
      </c>
      <c r="AH1190" s="215"/>
      <c r="AI1190" s="216"/>
      <c r="AJ1190" s="62"/>
      <c r="AK1190" s="214" t="s">
        <v>986</v>
      </c>
      <c r="AL1190" s="215"/>
      <c r="AM1190" s="216"/>
      <c r="AN1190" s="63"/>
    </row>
    <row r="1191" spans="2:40" ht="6.95" customHeight="1" x14ac:dyDescent="0.25">
      <c r="B1191" s="59"/>
      <c r="C1191" s="62"/>
      <c r="D1191" s="62"/>
      <c r="E1191" s="62"/>
      <c r="F1191" s="62"/>
      <c r="G1191" s="62"/>
      <c r="H1191" s="62"/>
      <c r="I1191" s="62"/>
      <c r="J1191" s="60"/>
      <c r="L1191" s="59"/>
      <c r="M1191" s="62"/>
      <c r="N1191" s="62"/>
      <c r="O1191" s="62"/>
      <c r="P1191" s="62"/>
      <c r="Q1191" s="62"/>
      <c r="R1191" s="62"/>
      <c r="S1191" s="62"/>
      <c r="T1191" s="60"/>
      <c r="V1191" s="59"/>
      <c r="W1191" s="62"/>
      <c r="X1191" s="62"/>
      <c r="Y1191" s="62"/>
      <c r="Z1191" s="62"/>
      <c r="AA1191" s="62"/>
      <c r="AB1191" s="62"/>
      <c r="AC1191" s="62"/>
      <c r="AD1191" s="60"/>
      <c r="AF1191" s="59"/>
      <c r="AG1191" s="62"/>
      <c r="AH1191" s="62"/>
      <c r="AI1191" s="62"/>
      <c r="AJ1191" s="62"/>
      <c r="AK1191" s="62"/>
      <c r="AL1191" s="62"/>
      <c r="AM1191" s="62"/>
      <c r="AN1191" s="60"/>
    </row>
    <row r="1192" spans="2:40" ht="18" customHeight="1" x14ac:dyDescent="0.25">
      <c r="B1192" s="61"/>
      <c r="C1192" s="214" t="s">
        <v>703</v>
      </c>
      <c r="D1192" s="215"/>
      <c r="E1192" s="216"/>
      <c r="F1192" s="62"/>
      <c r="G1192" s="214" t="s">
        <v>109</v>
      </c>
      <c r="H1192" s="215"/>
      <c r="I1192" s="216"/>
      <c r="J1192" s="63"/>
      <c r="L1192" s="61"/>
      <c r="M1192" s="214" t="s">
        <v>703</v>
      </c>
      <c r="N1192" s="215"/>
      <c r="O1192" s="216"/>
      <c r="P1192" s="62"/>
      <c r="Q1192" s="214" t="s">
        <v>109</v>
      </c>
      <c r="R1192" s="215"/>
      <c r="S1192" s="216"/>
      <c r="T1192" s="63"/>
      <c r="V1192" s="61"/>
      <c r="W1192" s="214" t="s">
        <v>703</v>
      </c>
      <c r="X1192" s="215"/>
      <c r="Y1192" s="216"/>
      <c r="Z1192" s="62"/>
      <c r="AA1192" s="214" t="s">
        <v>109</v>
      </c>
      <c r="AB1192" s="215"/>
      <c r="AC1192" s="216"/>
      <c r="AD1192" s="63"/>
      <c r="AF1192" s="61"/>
      <c r="AG1192" s="214" t="s">
        <v>703</v>
      </c>
      <c r="AH1192" s="215"/>
      <c r="AI1192" s="216"/>
      <c r="AJ1192" s="62"/>
      <c r="AK1192" s="214" t="s">
        <v>109</v>
      </c>
      <c r="AL1192" s="215"/>
      <c r="AM1192" s="216"/>
      <c r="AN1192" s="63"/>
    </row>
    <row r="1193" spans="2:40" ht="6.6" customHeight="1" x14ac:dyDescent="0.25">
      <c r="B1193" s="59"/>
      <c r="C1193" s="62"/>
      <c r="D1193" s="62"/>
      <c r="E1193" s="62"/>
      <c r="F1193" s="62"/>
      <c r="G1193" s="62"/>
      <c r="H1193" s="62"/>
      <c r="I1193" s="62"/>
      <c r="J1193" s="60"/>
      <c r="L1193" s="59"/>
      <c r="M1193" s="62"/>
      <c r="N1193" s="62"/>
      <c r="O1193" s="62"/>
      <c r="P1193" s="62"/>
      <c r="Q1193" s="62"/>
      <c r="R1193" s="62"/>
      <c r="S1193" s="62"/>
      <c r="T1193" s="60"/>
      <c r="V1193" s="59"/>
      <c r="W1193" s="62"/>
      <c r="X1193" s="62"/>
      <c r="Y1193" s="62"/>
      <c r="Z1193" s="62"/>
      <c r="AA1193" s="62"/>
      <c r="AB1193" s="62"/>
      <c r="AC1193" s="62"/>
      <c r="AD1193" s="60"/>
      <c r="AF1193" s="59"/>
      <c r="AG1193" s="62"/>
      <c r="AH1193" s="62"/>
      <c r="AI1193" s="62"/>
      <c r="AJ1193" s="62"/>
      <c r="AK1193" s="62"/>
      <c r="AL1193" s="62"/>
      <c r="AM1193" s="62"/>
      <c r="AN1193" s="60"/>
    </row>
    <row r="1194" spans="2:40" ht="18" customHeight="1" x14ac:dyDescent="0.25">
      <c r="B1194" s="61"/>
      <c r="C1194" s="214" t="s">
        <v>705</v>
      </c>
      <c r="D1194" s="215"/>
      <c r="E1194" s="216"/>
      <c r="F1194" s="62"/>
      <c r="G1194" s="214" t="s">
        <v>109</v>
      </c>
      <c r="H1194" s="215"/>
      <c r="I1194" s="216"/>
      <c r="J1194" s="63"/>
      <c r="L1194" s="61"/>
      <c r="M1194" s="214" t="s">
        <v>705</v>
      </c>
      <c r="N1194" s="215"/>
      <c r="O1194" s="216"/>
      <c r="P1194" s="62"/>
      <c r="Q1194" s="214" t="s">
        <v>109</v>
      </c>
      <c r="R1194" s="215"/>
      <c r="S1194" s="216"/>
      <c r="T1194" s="63"/>
      <c r="V1194" s="61"/>
      <c r="W1194" s="214" t="s">
        <v>705</v>
      </c>
      <c r="X1194" s="215"/>
      <c r="Y1194" s="216"/>
      <c r="Z1194" s="62"/>
      <c r="AA1194" s="214" t="s">
        <v>109</v>
      </c>
      <c r="AB1194" s="215"/>
      <c r="AC1194" s="216"/>
      <c r="AD1194" s="63"/>
      <c r="AF1194" s="61"/>
      <c r="AG1194" s="214" t="s">
        <v>705</v>
      </c>
      <c r="AH1194" s="215"/>
      <c r="AI1194" s="216"/>
      <c r="AJ1194" s="62"/>
      <c r="AK1194" s="214" t="s">
        <v>109</v>
      </c>
      <c r="AL1194" s="215"/>
      <c r="AM1194" s="216"/>
      <c r="AN1194" s="63"/>
    </row>
    <row r="1195" spans="2:40" ht="6.95" customHeight="1" x14ac:dyDescent="0.25">
      <c r="B1195" s="59"/>
      <c r="C1195" s="62"/>
      <c r="D1195" s="62"/>
      <c r="E1195" s="62"/>
      <c r="F1195" s="62"/>
      <c r="G1195" s="62"/>
      <c r="H1195" s="62"/>
      <c r="I1195" s="62"/>
      <c r="J1195" s="60"/>
      <c r="L1195" s="59"/>
      <c r="M1195" s="62"/>
      <c r="N1195" s="62"/>
      <c r="O1195" s="62"/>
      <c r="P1195" s="62"/>
      <c r="Q1195" s="62"/>
      <c r="R1195" s="62"/>
      <c r="S1195" s="62"/>
      <c r="T1195" s="60"/>
      <c r="V1195" s="59"/>
      <c r="W1195" s="62"/>
      <c r="X1195" s="62"/>
      <c r="Y1195" s="62"/>
      <c r="Z1195" s="62"/>
      <c r="AA1195" s="62"/>
      <c r="AB1195" s="62"/>
      <c r="AC1195" s="62"/>
      <c r="AD1195" s="60"/>
      <c r="AF1195" s="59"/>
      <c r="AG1195" s="62"/>
      <c r="AH1195" s="62"/>
      <c r="AI1195" s="62"/>
      <c r="AJ1195" s="62"/>
      <c r="AK1195" s="62"/>
      <c r="AL1195" s="62"/>
      <c r="AM1195" s="62"/>
      <c r="AN1195" s="60"/>
    </row>
    <row r="1196" spans="2:40" ht="18" customHeight="1" x14ac:dyDescent="0.25">
      <c r="B1196" s="61"/>
      <c r="C1196" s="214" t="s">
        <v>708</v>
      </c>
      <c r="D1196" s="215"/>
      <c r="E1196" s="216"/>
      <c r="F1196" s="62"/>
      <c r="G1196" s="214" t="s">
        <v>109</v>
      </c>
      <c r="H1196" s="215"/>
      <c r="I1196" s="216"/>
      <c r="J1196" s="63"/>
      <c r="L1196" s="61"/>
      <c r="M1196" s="214" t="s">
        <v>708</v>
      </c>
      <c r="N1196" s="215"/>
      <c r="O1196" s="216"/>
      <c r="P1196" s="62"/>
      <c r="Q1196" s="214" t="s">
        <v>109</v>
      </c>
      <c r="R1196" s="215"/>
      <c r="S1196" s="216"/>
      <c r="T1196" s="63"/>
      <c r="V1196" s="61"/>
      <c r="W1196" s="214" t="s">
        <v>708</v>
      </c>
      <c r="X1196" s="215"/>
      <c r="Y1196" s="216"/>
      <c r="Z1196" s="62"/>
      <c r="AA1196" s="214" t="s">
        <v>109</v>
      </c>
      <c r="AB1196" s="215"/>
      <c r="AC1196" s="216"/>
      <c r="AD1196" s="63"/>
      <c r="AF1196" s="61"/>
      <c r="AG1196" s="214" t="s">
        <v>708</v>
      </c>
      <c r="AH1196" s="215"/>
      <c r="AI1196" s="216"/>
      <c r="AJ1196" s="62"/>
      <c r="AK1196" s="214" t="s">
        <v>109</v>
      </c>
      <c r="AL1196" s="215"/>
      <c r="AM1196" s="216"/>
      <c r="AN1196" s="63"/>
    </row>
    <row r="1197" spans="2:40" ht="6.95" customHeight="1" x14ac:dyDescent="0.25">
      <c r="B1197" s="59"/>
      <c r="C1197" s="62"/>
      <c r="D1197" s="62"/>
      <c r="E1197" s="62"/>
      <c r="F1197" s="62"/>
      <c r="G1197" s="62"/>
      <c r="H1197" s="62"/>
      <c r="I1197" s="62"/>
      <c r="J1197" s="60"/>
      <c r="L1197" s="59"/>
      <c r="M1197" s="62"/>
      <c r="N1197" s="62"/>
      <c r="O1197" s="62"/>
      <c r="P1197" s="62"/>
      <c r="Q1197" s="62"/>
      <c r="R1197" s="62"/>
      <c r="S1197" s="62"/>
      <c r="T1197" s="60"/>
      <c r="V1197" s="59"/>
      <c r="W1197" s="62"/>
      <c r="X1197" s="62"/>
      <c r="Y1197" s="62"/>
      <c r="Z1197" s="62"/>
      <c r="AA1197" s="62"/>
      <c r="AB1197" s="62"/>
      <c r="AC1197" s="62"/>
      <c r="AD1197" s="60"/>
      <c r="AF1197" s="59"/>
      <c r="AG1197" s="62"/>
      <c r="AH1197" s="62"/>
      <c r="AI1197" s="62"/>
      <c r="AJ1197" s="62"/>
      <c r="AK1197" s="62"/>
      <c r="AL1197" s="62"/>
      <c r="AM1197" s="62"/>
      <c r="AN1197" s="60"/>
    </row>
    <row r="1198" spans="2:40" ht="18" customHeight="1" x14ac:dyDescent="0.25">
      <c r="B1198" s="61"/>
      <c r="C1198" s="214" t="s">
        <v>711</v>
      </c>
      <c r="D1198" s="215"/>
      <c r="E1198" s="216"/>
      <c r="F1198" s="62"/>
      <c r="G1198" s="214" t="s">
        <v>712</v>
      </c>
      <c r="H1198" s="215"/>
      <c r="I1198" s="216"/>
      <c r="J1198" s="63"/>
      <c r="L1198" s="61"/>
      <c r="M1198" s="214" t="s">
        <v>711</v>
      </c>
      <c r="N1198" s="215"/>
      <c r="O1198" s="216"/>
      <c r="P1198" s="62"/>
      <c r="Q1198" s="214" t="s">
        <v>712</v>
      </c>
      <c r="R1198" s="215"/>
      <c r="S1198" s="216"/>
      <c r="T1198" s="63"/>
      <c r="V1198" s="61"/>
      <c r="W1198" s="214" t="s">
        <v>711</v>
      </c>
      <c r="X1198" s="215"/>
      <c r="Y1198" s="216"/>
      <c r="Z1198" s="62"/>
      <c r="AA1198" s="214" t="s">
        <v>712</v>
      </c>
      <c r="AB1198" s="215"/>
      <c r="AC1198" s="216"/>
      <c r="AD1198" s="63"/>
      <c r="AF1198" s="61"/>
      <c r="AG1198" s="214" t="s">
        <v>711</v>
      </c>
      <c r="AH1198" s="215"/>
      <c r="AI1198" s="216"/>
      <c r="AJ1198" s="62"/>
      <c r="AK1198" s="214" t="s">
        <v>712</v>
      </c>
      <c r="AL1198" s="215"/>
      <c r="AM1198" s="216"/>
      <c r="AN1198" s="63"/>
    </row>
    <row r="1199" spans="2:40" ht="6.95" customHeight="1" x14ac:dyDescent="0.25">
      <c r="B1199" s="59"/>
      <c r="C1199" s="62"/>
      <c r="D1199" s="62"/>
      <c r="E1199" s="62"/>
      <c r="F1199" s="62"/>
      <c r="G1199" s="62"/>
      <c r="H1199" s="62"/>
      <c r="I1199" s="62"/>
      <c r="J1199" s="60"/>
      <c r="L1199" s="59"/>
      <c r="M1199" s="62"/>
      <c r="N1199" s="62"/>
      <c r="O1199" s="62"/>
      <c r="P1199" s="62"/>
      <c r="Q1199" s="62"/>
      <c r="R1199" s="62"/>
      <c r="S1199" s="62"/>
      <c r="T1199" s="60"/>
      <c r="V1199" s="59"/>
      <c r="W1199" s="62"/>
      <c r="X1199" s="62"/>
      <c r="Y1199" s="62"/>
      <c r="Z1199" s="62"/>
      <c r="AA1199" s="62"/>
      <c r="AB1199" s="62"/>
      <c r="AC1199" s="62"/>
      <c r="AD1199" s="60"/>
      <c r="AF1199" s="59"/>
      <c r="AG1199" s="62"/>
      <c r="AH1199" s="62"/>
      <c r="AI1199" s="62"/>
      <c r="AJ1199" s="62"/>
      <c r="AK1199" s="62"/>
      <c r="AL1199" s="62"/>
      <c r="AM1199" s="62"/>
      <c r="AN1199" s="60"/>
    </row>
    <row r="1200" spans="2:40" ht="18" customHeight="1" x14ac:dyDescent="0.25">
      <c r="B1200" s="61"/>
      <c r="C1200" s="214" t="s">
        <v>1273</v>
      </c>
      <c r="D1200" s="215"/>
      <c r="E1200" s="216"/>
      <c r="F1200" s="62"/>
      <c r="G1200" s="214" t="s">
        <v>1513</v>
      </c>
      <c r="H1200" s="215"/>
      <c r="I1200" s="216"/>
      <c r="J1200" s="63"/>
      <c r="L1200" s="61"/>
      <c r="M1200" s="214" t="s">
        <v>1273</v>
      </c>
      <c r="N1200" s="215"/>
      <c r="O1200" s="216"/>
      <c r="P1200" s="62"/>
      <c r="Q1200" s="214" t="s">
        <v>1514</v>
      </c>
      <c r="R1200" s="215"/>
      <c r="S1200" s="216"/>
      <c r="T1200" s="63"/>
      <c r="V1200" s="61"/>
      <c r="W1200" s="214" t="s">
        <v>1273</v>
      </c>
      <c r="X1200" s="215"/>
      <c r="Y1200" s="216"/>
      <c r="Z1200" s="62"/>
      <c r="AA1200" s="214" t="s">
        <v>1515</v>
      </c>
      <c r="AB1200" s="215"/>
      <c r="AC1200" s="216"/>
      <c r="AD1200" s="63"/>
      <c r="AF1200" s="61"/>
      <c r="AG1200" s="214" t="s">
        <v>1273</v>
      </c>
      <c r="AH1200" s="215"/>
      <c r="AI1200" s="216"/>
      <c r="AJ1200" s="62"/>
      <c r="AK1200" s="214" t="s">
        <v>1516</v>
      </c>
      <c r="AL1200" s="215"/>
      <c r="AM1200" s="216"/>
      <c r="AN1200" s="63"/>
    </row>
    <row r="1201" spans="2:40" ht="6.95" customHeight="1" x14ac:dyDescent="0.25">
      <c r="B1201" s="59"/>
      <c r="C1201" s="62"/>
      <c r="D1201" s="62"/>
      <c r="E1201" s="62"/>
      <c r="F1201" s="62"/>
      <c r="G1201" s="62"/>
      <c r="H1201" s="62"/>
      <c r="I1201" s="62"/>
      <c r="J1201" s="60"/>
      <c r="L1201" s="59"/>
      <c r="M1201" s="62"/>
      <c r="N1201" s="62"/>
      <c r="O1201" s="62"/>
      <c r="P1201" s="62"/>
      <c r="Q1201" s="62"/>
      <c r="R1201" s="62"/>
      <c r="S1201" s="62"/>
      <c r="T1201" s="60"/>
      <c r="V1201" s="59"/>
      <c r="W1201" s="62"/>
      <c r="X1201" s="62"/>
      <c r="Y1201" s="62"/>
      <c r="Z1201" s="62"/>
      <c r="AA1201" s="62"/>
      <c r="AB1201" s="62"/>
      <c r="AC1201" s="62"/>
      <c r="AD1201" s="60"/>
      <c r="AF1201" s="59"/>
      <c r="AG1201" s="62"/>
      <c r="AH1201" s="62"/>
      <c r="AI1201" s="62"/>
      <c r="AJ1201" s="62"/>
      <c r="AK1201" s="62"/>
      <c r="AL1201" s="62"/>
      <c r="AM1201" s="62"/>
      <c r="AN1201" s="60"/>
    </row>
    <row r="1202" spans="2:40" ht="18" customHeight="1" x14ac:dyDescent="0.25">
      <c r="B1202" s="61"/>
      <c r="C1202" s="214" t="s">
        <v>713</v>
      </c>
      <c r="D1202" s="215"/>
      <c r="E1202" s="216"/>
      <c r="F1202" s="62"/>
      <c r="G1202" s="220" t="s">
        <v>1293</v>
      </c>
      <c r="H1202" s="220"/>
      <c r="I1202" s="220"/>
      <c r="J1202" s="63"/>
      <c r="L1202" s="61"/>
      <c r="M1202" s="214" t="s">
        <v>713</v>
      </c>
      <c r="N1202" s="215"/>
      <c r="O1202" s="216"/>
      <c r="P1202" s="62"/>
      <c r="Q1202" s="220" t="s">
        <v>1293</v>
      </c>
      <c r="R1202" s="220"/>
      <c r="S1202" s="220"/>
      <c r="T1202" s="63"/>
      <c r="V1202" s="61"/>
      <c r="W1202" s="214" t="s">
        <v>713</v>
      </c>
      <c r="X1202" s="215"/>
      <c r="Y1202" s="216"/>
      <c r="Z1202" s="62"/>
      <c r="AA1202" s="220" t="s">
        <v>1293</v>
      </c>
      <c r="AB1202" s="220"/>
      <c r="AC1202" s="220"/>
      <c r="AD1202" s="63"/>
      <c r="AF1202" s="61"/>
      <c r="AG1202" s="214" t="s">
        <v>713</v>
      </c>
      <c r="AH1202" s="215"/>
      <c r="AI1202" s="216"/>
      <c r="AJ1202" s="62"/>
      <c r="AK1202" s="220" t="s">
        <v>1293</v>
      </c>
      <c r="AL1202" s="220"/>
      <c r="AM1202" s="220"/>
      <c r="AN1202" s="63"/>
    </row>
    <row r="1203" spans="2:40" ht="6.95" customHeight="1" x14ac:dyDescent="0.25">
      <c r="B1203" s="59"/>
      <c r="C1203" s="128"/>
      <c r="D1203" s="128"/>
      <c r="E1203" s="128"/>
      <c r="F1203" s="62"/>
      <c r="G1203" s="128"/>
      <c r="H1203" s="128"/>
      <c r="I1203" s="128"/>
      <c r="J1203" s="63"/>
      <c r="L1203" s="59"/>
      <c r="M1203" s="128"/>
      <c r="N1203" s="128"/>
      <c r="O1203" s="128"/>
      <c r="P1203" s="62"/>
      <c r="Q1203" s="128"/>
      <c r="R1203" s="128"/>
      <c r="S1203" s="128"/>
      <c r="T1203" s="63"/>
      <c r="V1203" s="59"/>
      <c r="W1203" s="128"/>
      <c r="X1203" s="128"/>
      <c r="Y1203" s="128"/>
      <c r="Z1203" s="62"/>
      <c r="AA1203" s="128"/>
      <c r="AB1203" s="128"/>
      <c r="AC1203" s="128"/>
      <c r="AD1203" s="63"/>
      <c r="AF1203" s="59"/>
      <c r="AG1203" s="128"/>
      <c r="AH1203" s="128"/>
      <c r="AI1203" s="128"/>
      <c r="AJ1203" s="62"/>
      <c r="AK1203" s="128"/>
      <c r="AL1203" s="128"/>
      <c r="AM1203" s="128"/>
      <c r="AN1203" s="63"/>
    </row>
    <row r="1204" spans="2:40" ht="18" customHeight="1" x14ac:dyDescent="0.25">
      <c r="B1204" s="59"/>
      <c r="C1204" s="220" t="s">
        <v>715</v>
      </c>
      <c r="D1204" s="220"/>
      <c r="E1204" s="220"/>
      <c r="F1204" s="62"/>
      <c r="G1204" s="220" t="s">
        <v>1270</v>
      </c>
      <c r="H1204" s="220"/>
      <c r="I1204" s="220"/>
      <c r="J1204" s="63"/>
      <c r="L1204" s="59"/>
      <c r="M1204" s="220" t="s">
        <v>715</v>
      </c>
      <c r="N1204" s="220"/>
      <c r="O1204" s="220"/>
      <c r="P1204" s="62"/>
      <c r="Q1204" s="220" t="s">
        <v>1270</v>
      </c>
      <c r="R1204" s="220"/>
      <c r="S1204" s="220"/>
      <c r="T1204" s="63"/>
      <c r="V1204" s="59"/>
      <c r="W1204" s="220" t="s">
        <v>715</v>
      </c>
      <c r="X1204" s="220"/>
      <c r="Y1204" s="220"/>
      <c r="Z1204" s="62"/>
      <c r="AA1204" s="220" t="s">
        <v>1270</v>
      </c>
      <c r="AB1204" s="220"/>
      <c r="AC1204" s="220"/>
      <c r="AD1204" s="63"/>
      <c r="AF1204" s="59"/>
      <c r="AG1204" s="220" t="s">
        <v>715</v>
      </c>
      <c r="AH1204" s="220"/>
      <c r="AI1204" s="220"/>
      <c r="AJ1204" s="62"/>
      <c r="AK1204" s="220" t="s">
        <v>1270</v>
      </c>
      <c r="AL1204" s="220"/>
      <c r="AM1204" s="220"/>
      <c r="AN1204" s="63"/>
    </row>
    <row r="1205" spans="2:40" ht="6.95" customHeight="1" thickBot="1" x14ac:dyDescent="0.3">
      <c r="B1205" s="64"/>
      <c r="C1205" s="65"/>
      <c r="D1205" s="65"/>
      <c r="E1205" s="65"/>
      <c r="F1205" s="65"/>
      <c r="G1205" s="65"/>
      <c r="H1205" s="65"/>
      <c r="I1205" s="65"/>
      <c r="J1205" s="66"/>
      <c r="L1205" s="64"/>
      <c r="M1205" s="65"/>
      <c r="N1205" s="65"/>
      <c r="O1205" s="65"/>
      <c r="P1205" s="65"/>
      <c r="Q1205" s="65"/>
      <c r="R1205" s="65"/>
      <c r="S1205" s="65"/>
      <c r="T1205" s="66"/>
      <c r="V1205" s="64"/>
      <c r="W1205" s="65"/>
      <c r="X1205" s="65"/>
      <c r="Y1205" s="65"/>
      <c r="Z1205" s="65"/>
      <c r="AA1205" s="65"/>
      <c r="AB1205" s="65"/>
      <c r="AC1205" s="65"/>
      <c r="AD1205" s="66"/>
      <c r="AF1205" s="64"/>
      <c r="AG1205" s="65"/>
      <c r="AH1205" s="65"/>
      <c r="AI1205" s="65"/>
      <c r="AJ1205" s="65"/>
      <c r="AK1205" s="65"/>
      <c r="AL1205" s="65"/>
      <c r="AM1205" s="65"/>
      <c r="AN1205" s="66"/>
    </row>
    <row r="1206" spans="2:40" ht="32.1" customHeight="1" thickTop="1" x14ac:dyDescent="0.25">
      <c r="B1206" s="57"/>
      <c r="C1206" s="58"/>
      <c r="D1206" s="217" t="s">
        <v>697</v>
      </c>
      <c r="E1206" s="218"/>
      <c r="F1206" s="218"/>
      <c r="G1206" s="218"/>
      <c r="H1206" s="218"/>
      <c r="I1206" s="218"/>
      <c r="J1206" s="219"/>
      <c r="L1206" s="57"/>
      <c r="M1206" s="58"/>
      <c r="N1206" s="217" t="s">
        <v>697</v>
      </c>
      <c r="O1206" s="218"/>
      <c r="P1206" s="218"/>
      <c r="Q1206" s="218"/>
      <c r="R1206" s="218"/>
      <c r="S1206" s="218"/>
      <c r="T1206" s="219"/>
      <c r="V1206" s="57"/>
      <c r="W1206" s="58"/>
      <c r="X1206" s="217" t="s">
        <v>697</v>
      </c>
      <c r="Y1206" s="218"/>
      <c r="Z1206" s="218"/>
      <c r="AA1206" s="218"/>
      <c r="AB1206" s="218"/>
      <c r="AC1206" s="218"/>
      <c r="AD1206" s="219"/>
      <c r="AF1206" s="57"/>
      <c r="AG1206" s="58"/>
      <c r="AH1206" s="217" t="s">
        <v>697</v>
      </c>
      <c r="AI1206" s="218"/>
      <c r="AJ1206" s="218"/>
      <c r="AK1206" s="218"/>
      <c r="AL1206" s="218"/>
      <c r="AM1206" s="218"/>
      <c r="AN1206" s="219"/>
    </row>
    <row r="1207" spans="2:40" ht="6.95" customHeight="1" x14ac:dyDescent="0.25">
      <c r="B1207" s="59"/>
      <c r="J1207" s="60"/>
      <c r="L1207" s="59"/>
      <c r="T1207" s="60"/>
      <c r="V1207" s="59"/>
      <c r="AD1207" s="60"/>
      <c r="AF1207" s="59"/>
      <c r="AN1207" s="60"/>
    </row>
    <row r="1208" spans="2:40" ht="18" customHeight="1" x14ac:dyDescent="0.25">
      <c r="B1208" s="61"/>
      <c r="C1208" s="214" t="s">
        <v>698</v>
      </c>
      <c r="D1208" s="215"/>
      <c r="E1208" s="216"/>
      <c r="F1208" s="62"/>
      <c r="G1208" s="214" t="s">
        <v>1517</v>
      </c>
      <c r="H1208" s="215"/>
      <c r="I1208" s="216"/>
      <c r="J1208" s="63"/>
      <c r="L1208" s="61"/>
      <c r="M1208" s="214" t="s">
        <v>698</v>
      </c>
      <c r="N1208" s="215"/>
      <c r="O1208" s="216"/>
      <c r="P1208" s="62"/>
      <c r="Q1208" s="214" t="s">
        <v>1518</v>
      </c>
      <c r="R1208" s="215"/>
      <c r="S1208" s="216"/>
      <c r="T1208" s="63"/>
      <c r="V1208" s="61"/>
      <c r="W1208" s="214" t="s">
        <v>698</v>
      </c>
      <c r="X1208" s="215"/>
      <c r="Y1208" s="216"/>
      <c r="Z1208" s="62"/>
      <c r="AA1208" s="214" t="s">
        <v>1519</v>
      </c>
      <c r="AB1208" s="215"/>
      <c r="AC1208" s="216"/>
      <c r="AD1208" s="63"/>
      <c r="AF1208" s="61"/>
      <c r="AG1208" s="214" t="s">
        <v>698</v>
      </c>
      <c r="AH1208" s="215"/>
      <c r="AI1208" s="216"/>
      <c r="AJ1208" s="62"/>
      <c r="AK1208" s="214" t="s">
        <v>1520</v>
      </c>
      <c r="AL1208" s="215"/>
      <c r="AM1208" s="216"/>
      <c r="AN1208" s="63"/>
    </row>
    <row r="1209" spans="2:40" ht="6.95" customHeight="1" x14ac:dyDescent="0.25">
      <c r="B1209" s="59"/>
      <c r="C1209" s="62"/>
      <c r="D1209" s="62"/>
      <c r="E1209" s="62"/>
      <c r="F1209" s="62"/>
      <c r="G1209" s="62"/>
      <c r="H1209" s="62"/>
      <c r="I1209" s="62"/>
      <c r="J1209" s="60"/>
      <c r="L1209" s="59"/>
      <c r="M1209" s="62"/>
      <c r="N1209" s="62"/>
      <c r="O1209" s="62"/>
      <c r="P1209" s="62"/>
      <c r="Q1209" s="62"/>
      <c r="R1209" s="62"/>
      <c r="S1209" s="62"/>
      <c r="T1209" s="60"/>
      <c r="V1209" s="59"/>
      <c r="W1209" s="62"/>
      <c r="X1209" s="62"/>
      <c r="Y1209" s="62"/>
      <c r="Z1209" s="62"/>
      <c r="AA1209" s="62"/>
      <c r="AB1209" s="62"/>
      <c r="AC1209" s="62"/>
      <c r="AD1209" s="60"/>
      <c r="AF1209" s="59"/>
      <c r="AG1209" s="62"/>
      <c r="AH1209" s="62"/>
      <c r="AI1209" s="62"/>
      <c r="AJ1209" s="62"/>
      <c r="AK1209" s="62"/>
      <c r="AL1209" s="62"/>
      <c r="AM1209" s="62"/>
      <c r="AN1209" s="60"/>
    </row>
    <row r="1210" spans="2:40" ht="18" customHeight="1" x14ac:dyDescent="0.25">
      <c r="B1210" s="61"/>
      <c r="C1210" s="214" t="s">
        <v>699</v>
      </c>
      <c r="D1210" s="215"/>
      <c r="E1210" s="216"/>
      <c r="F1210" s="62"/>
      <c r="G1210" s="214" t="s">
        <v>1639</v>
      </c>
      <c r="H1210" s="215"/>
      <c r="I1210" s="216"/>
      <c r="J1210" s="63"/>
      <c r="L1210" s="61"/>
      <c r="M1210" s="214" t="s">
        <v>699</v>
      </c>
      <c r="N1210" s="215"/>
      <c r="O1210" s="216"/>
      <c r="P1210" s="62"/>
      <c r="Q1210" s="214" t="s">
        <v>1639</v>
      </c>
      <c r="R1210" s="215"/>
      <c r="S1210" s="216"/>
      <c r="T1210" s="63"/>
      <c r="V1210" s="61"/>
      <c r="W1210" s="214" t="s">
        <v>699</v>
      </c>
      <c r="X1210" s="215"/>
      <c r="Y1210" s="216"/>
      <c r="Z1210" s="62"/>
      <c r="AA1210" s="214" t="s">
        <v>1639</v>
      </c>
      <c r="AB1210" s="215"/>
      <c r="AC1210" s="216"/>
      <c r="AD1210" s="63"/>
      <c r="AF1210" s="61"/>
      <c r="AG1210" s="214" t="s">
        <v>699</v>
      </c>
      <c r="AH1210" s="215"/>
      <c r="AI1210" s="216"/>
      <c r="AJ1210" s="62"/>
      <c r="AK1210" s="214" t="s">
        <v>1641</v>
      </c>
      <c r="AL1210" s="215"/>
      <c r="AM1210" s="216"/>
      <c r="AN1210" s="63"/>
    </row>
    <row r="1211" spans="2:40" ht="6.95" customHeight="1" x14ac:dyDescent="0.25">
      <c r="B1211" s="59"/>
      <c r="C1211" s="62"/>
      <c r="D1211" s="62"/>
      <c r="E1211" s="62"/>
      <c r="F1211" s="62"/>
      <c r="G1211" s="62"/>
      <c r="H1211" s="62"/>
      <c r="I1211" s="62"/>
      <c r="J1211" s="60"/>
      <c r="L1211" s="59"/>
      <c r="M1211" s="62"/>
      <c r="N1211" s="62"/>
      <c r="O1211" s="62"/>
      <c r="P1211" s="62"/>
      <c r="Q1211" s="62"/>
      <c r="R1211" s="62"/>
      <c r="S1211" s="62"/>
      <c r="T1211" s="60"/>
      <c r="V1211" s="59"/>
      <c r="W1211" s="62"/>
      <c r="X1211" s="62"/>
      <c r="Y1211" s="62"/>
      <c r="Z1211" s="62"/>
      <c r="AA1211" s="62"/>
      <c r="AB1211" s="62"/>
      <c r="AC1211" s="62"/>
      <c r="AD1211" s="60"/>
      <c r="AF1211" s="59"/>
      <c r="AG1211" s="62"/>
      <c r="AH1211" s="62"/>
      <c r="AI1211" s="62"/>
      <c r="AJ1211" s="62"/>
      <c r="AK1211" s="62"/>
      <c r="AL1211" s="62"/>
      <c r="AM1211" s="62"/>
      <c r="AN1211" s="60"/>
    </row>
    <row r="1212" spans="2:40" ht="18" customHeight="1" x14ac:dyDescent="0.25">
      <c r="B1212" s="61"/>
      <c r="C1212" s="214" t="s">
        <v>701</v>
      </c>
      <c r="D1212" s="215"/>
      <c r="E1212" s="216"/>
      <c r="F1212" s="62"/>
      <c r="G1212" s="214" t="s">
        <v>986</v>
      </c>
      <c r="H1212" s="215"/>
      <c r="I1212" s="216"/>
      <c r="J1212" s="63"/>
      <c r="L1212" s="61"/>
      <c r="M1212" s="214" t="s">
        <v>701</v>
      </c>
      <c r="N1212" s="215"/>
      <c r="O1212" s="216"/>
      <c r="P1212" s="62"/>
      <c r="Q1212" s="214" t="s">
        <v>986</v>
      </c>
      <c r="R1212" s="215"/>
      <c r="S1212" s="216"/>
      <c r="T1212" s="63"/>
      <c r="V1212" s="61"/>
      <c r="W1212" s="214" t="s">
        <v>701</v>
      </c>
      <c r="X1212" s="215"/>
      <c r="Y1212" s="216"/>
      <c r="Z1212" s="62"/>
      <c r="AA1212" s="214" t="s">
        <v>986</v>
      </c>
      <c r="AB1212" s="215"/>
      <c r="AC1212" s="216"/>
      <c r="AD1212" s="63"/>
      <c r="AF1212" s="61"/>
      <c r="AG1212" s="214" t="s">
        <v>701</v>
      </c>
      <c r="AH1212" s="215"/>
      <c r="AI1212" s="216"/>
      <c r="AJ1212" s="62"/>
      <c r="AK1212" s="214" t="s">
        <v>987</v>
      </c>
      <c r="AL1212" s="215"/>
      <c r="AM1212" s="216"/>
      <c r="AN1212" s="63"/>
    </row>
    <row r="1213" spans="2:40" ht="6.95" customHeight="1" x14ac:dyDescent="0.25">
      <c r="B1213" s="59"/>
      <c r="C1213" s="62"/>
      <c r="D1213" s="62"/>
      <c r="E1213" s="62"/>
      <c r="F1213" s="62"/>
      <c r="G1213" s="62"/>
      <c r="H1213" s="62"/>
      <c r="I1213" s="62"/>
      <c r="J1213" s="60"/>
      <c r="L1213" s="59"/>
      <c r="M1213" s="62"/>
      <c r="N1213" s="62"/>
      <c r="O1213" s="62"/>
      <c r="P1213" s="62"/>
      <c r="Q1213" s="62"/>
      <c r="R1213" s="62"/>
      <c r="S1213" s="62"/>
      <c r="T1213" s="60"/>
      <c r="V1213" s="59"/>
      <c r="W1213" s="62"/>
      <c r="X1213" s="62"/>
      <c r="Y1213" s="62"/>
      <c r="Z1213" s="62"/>
      <c r="AA1213" s="62"/>
      <c r="AB1213" s="62"/>
      <c r="AC1213" s="62"/>
      <c r="AD1213" s="60"/>
      <c r="AF1213" s="59"/>
      <c r="AG1213" s="62"/>
      <c r="AH1213" s="62"/>
      <c r="AI1213" s="62"/>
      <c r="AJ1213" s="62"/>
      <c r="AK1213" s="62"/>
      <c r="AL1213" s="62"/>
      <c r="AM1213" s="62"/>
      <c r="AN1213" s="60"/>
    </row>
    <row r="1214" spans="2:40" ht="18" customHeight="1" x14ac:dyDescent="0.25">
      <c r="B1214" s="61"/>
      <c r="C1214" s="214" t="s">
        <v>703</v>
      </c>
      <c r="D1214" s="215"/>
      <c r="E1214" s="216"/>
      <c r="F1214" s="62"/>
      <c r="G1214" s="214" t="s">
        <v>109</v>
      </c>
      <c r="H1214" s="215"/>
      <c r="I1214" s="216"/>
      <c r="J1214" s="63"/>
      <c r="L1214" s="61"/>
      <c r="M1214" s="214" t="s">
        <v>703</v>
      </c>
      <c r="N1214" s="215"/>
      <c r="O1214" s="216"/>
      <c r="P1214" s="62"/>
      <c r="Q1214" s="214" t="s">
        <v>109</v>
      </c>
      <c r="R1214" s="215"/>
      <c r="S1214" s="216"/>
      <c r="T1214" s="63"/>
      <c r="V1214" s="61"/>
      <c r="W1214" s="214" t="s">
        <v>703</v>
      </c>
      <c r="X1214" s="215"/>
      <c r="Y1214" s="216"/>
      <c r="Z1214" s="62"/>
      <c r="AA1214" s="214" t="s">
        <v>109</v>
      </c>
      <c r="AB1214" s="215"/>
      <c r="AC1214" s="216"/>
      <c r="AD1214" s="63"/>
      <c r="AF1214" s="61"/>
      <c r="AG1214" s="214" t="s">
        <v>703</v>
      </c>
      <c r="AH1214" s="215"/>
      <c r="AI1214" s="216"/>
      <c r="AJ1214" s="62"/>
      <c r="AK1214" s="214" t="s">
        <v>109</v>
      </c>
      <c r="AL1214" s="215"/>
      <c r="AM1214" s="216"/>
      <c r="AN1214" s="63"/>
    </row>
    <row r="1215" spans="2:40" ht="6.6" customHeight="1" x14ac:dyDescent="0.25">
      <c r="B1215" s="59"/>
      <c r="C1215" s="62"/>
      <c r="D1215" s="62"/>
      <c r="E1215" s="62"/>
      <c r="F1215" s="62"/>
      <c r="G1215" s="62"/>
      <c r="H1215" s="62"/>
      <c r="I1215" s="62"/>
      <c r="J1215" s="60"/>
      <c r="L1215" s="59"/>
      <c r="M1215" s="62"/>
      <c r="N1215" s="62"/>
      <c r="O1215" s="62"/>
      <c r="P1215" s="62"/>
      <c r="Q1215" s="62"/>
      <c r="R1215" s="62"/>
      <c r="S1215" s="62"/>
      <c r="T1215" s="60"/>
      <c r="V1215" s="59"/>
      <c r="W1215" s="62"/>
      <c r="X1215" s="62"/>
      <c r="Y1215" s="62"/>
      <c r="Z1215" s="62"/>
      <c r="AA1215" s="62"/>
      <c r="AB1215" s="62"/>
      <c r="AC1215" s="62"/>
      <c r="AD1215" s="60"/>
      <c r="AF1215" s="59"/>
      <c r="AG1215" s="62"/>
      <c r="AH1215" s="62"/>
      <c r="AI1215" s="62"/>
      <c r="AJ1215" s="62"/>
      <c r="AK1215" s="62"/>
      <c r="AL1215" s="62"/>
      <c r="AM1215" s="62"/>
      <c r="AN1215" s="60"/>
    </row>
    <row r="1216" spans="2:40" ht="18" customHeight="1" x14ac:dyDescent="0.25">
      <c r="B1216" s="61"/>
      <c r="C1216" s="214" t="s">
        <v>705</v>
      </c>
      <c r="D1216" s="215"/>
      <c r="E1216" s="216"/>
      <c r="F1216" s="62"/>
      <c r="G1216" s="214" t="s">
        <v>109</v>
      </c>
      <c r="H1216" s="215"/>
      <c r="I1216" s="216"/>
      <c r="J1216" s="63"/>
      <c r="L1216" s="61"/>
      <c r="M1216" s="214" t="s">
        <v>705</v>
      </c>
      <c r="N1216" s="215"/>
      <c r="O1216" s="216"/>
      <c r="P1216" s="62"/>
      <c r="Q1216" s="214" t="s">
        <v>109</v>
      </c>
      <c r="R1216" s="215"/>
      <c r="S1216" s="216"/>
      <c r="T1216" s="63"/>
      <c r="V1216" s="61"/>
      <c r="W1216" s="214" t="s">
        <v>705</v>
      </c>
      <c r="X1216" s="215"/>
      <c r="Y1216" s="216"/>
      <c r="Z1216" s="62"/>
      <c r="AA1216" s="214" t="s">
        <v>109</v>
      </c>
      <c r="AB1216" s="215"/>
      <c r="AC1216" s="216"/>
      <c r="AD1216" s="63"/>
      <c r="AF1216" s="61"/>
      <c r="AG1216" s="214" t="s">
        <v>705</v>
      </c>
      <c r="AH1216" s="215"/>
      <c r="AI1216" s="216"/>
      <c r="AJ1216" s="62"/>
      <c r="AK1216" s="214" t="s">
        <v>109</v>
      </c>
      <c r="AL1216" s="215"/>
      <c r="AM1216" s="216"/>
      <c r="AN1216" s="63"/>
    </row>
    <row r="1217" spans="2:40" ht="6.95" customHeight="1" x14ac:dyDescent="0.25">
      <c r="B1217" s="59"/>
      <c r="C1217" s="62"/>
      <c r="D1217" s="62"/>
      <c r="E1217" s="62"/>
      <c r="F1217" s="62"/>
      <c r="G1217" s="62"/>
      <c r="H1217" s="62"/>
      <c r="I1217" s="62"/>
      <c r="J1217" s="60"/>
      <c r="L1217" s="59"/>
      <c r="M1217" s="62"/>
      <c r="N1217" s="62"/>
      <c r="O1217" s="62"/>
      <c r="P1217" s="62"/>
      <c r="Q1217" s="62"/>
      <c r="R1217" s="62"/>
      <c r="S1217" s="62"/>
      <c r="T1217" s="60"/>
      <c r="V1217" s="59"/>
      <c r="W1217" s="62"/>
      <c r="X1217" s="62"/>
      <c r="Y1217" s="62"/>
      <c r="Z1217" s="62"/>
      <c r="AA1217" s="62"/>
      <c r="AB1217" s="62"/>
      <c r="AC1217" s="62"/>
      <c r="AD1217" s="60"/>
      <c r="AF1217" s="59"/>
      <c r="AG1217" s="62"/>
      <c r="AH1217" s="62"/>
      <c r="AI1217" s="62"/>
      <c r="AJ1217" s="62"/>
      <c r="AK1217" s="62"/>
      <c r="AL1217" s="62"/>
      <c r="AM1217" s="62"/>
      <c r="AN1217" s="60"/>
    </row>
    <row r="1218" spans="2:40" ht="18" customHeight="1" x14ac:dyDescent="0.25">
      <c r="B1218" s="61"/>
      <c r="C1218" s="214" t="s">
        <v>708</v>
      </c>
      <c r="D1218" s="215"/>
      <c r="E1218" s="216"/>
      <c r="F1218" s="62"/>
      <c r="G1218" s="214" t="s">
        <v>109</v>
      </c>
      <c r="H1218" s="215"/>
      <c r="I1218" s="216"/>
      <c r="J1218" s="63"/>
      <c r="L1218" s="61"/>
      <c r="M1218" s="214" t="s">
        <v>708</v>
      </c>
      <c r="N1218" s="215"/>
      <c r="O1218" s="216"/>
      <c r="P1218" s="62"/>
      <c r="Q1218" s="214" t="s">
        <v>109</v>
      </c>
      <c r="R1218" s="215"/>
      <c r="S1218" s="216"/>
      <c r="T1218" s="63"/>
      <c r="V1218" s="61"/>
      <c r="W1218" s="214" t="s">
        <v>708</v>
      </c>
      <c r="X1218" s="215"/>
      <c r="Y1218" s="216"/>
      <c r="Z1218" s="62"/>
      <c r="AA1218" s="214" t="s">
        <v>109</v>
      </c>
      <c r="AB1218" s="215"/>
      <c r="AC1218" s="216"/>
      <c r="AD1218" s="63"/>
      <c r="AF1218" s="61"/>
      <c r="AG1218" s="214" t="s">
        <v>708</v>
      </c>
      <c r="AH1218" s="215"/>
      <c r="AI1218" s="216"/>
      <c r="AJ1218" s="62"/>
      <c r="AK1218" s="214" t="s">
        <v>109</v>
      </c>
      <c r="AL1218" s="215"/>
      <c r="AM1218" s="216"/>
      <c r="AN1218" s="63"/>
    </row>
    <row r="1219" spans="2:40" ht="6.95" customHeight="1" x14ac:dyDescent="0.25">
      <c r="B1219" s="59"/>
      <c r="C1219" s="62"/>
      <c r="D1219" s="62"/>
      <c r="E1219" s="62"/>
      <c r="F1219" s="62"/>
      <c r="G1219" s="62"/>
      <c r="H1219" s="62"/>
      <c r="I1219" s="62"/>
      <c r="J1219" s="60"/>
      <c r="L1219" s="59"/>
      <c r="M1219" s="62"/>
      <c r="N1219" s="62"/>
      <c r="O1219" s="62"/>
      <c r="P1219" s="62"/>
      <c r="Q1219" s="62"/>
      <c r="R1219" s="62"/>
      <c r="S1219" s="62"/>
      <c r="T1219" s="60"/>
      <c r="V1219" s="59"/>
      <c r="W1219" s="62"/>
      <c r="X1219" s="62"/>
      <c r="Y1219" s="62"/>
      <c r="Z1219" s="62"/>
      <c r="AA1219" s="62"/>
      <c r="AB1219" s="62"/>
      <c r="AC1219" s="62"/>
      <c r="AD1219" s="60"/>
      <c r="AF1219" s="59"/>
      <c r="AG1219" s="62"/>
      <c r="AH1219" s="62"/>
      <c r="AI1219" s="62"/>
      <c r="AJ1219" s="62"/>
      <c r="AK1219" s="62"/>
      <c r="AL1219" s="62"/>
      <c r="AM1219" s="62"/>
      <c r="AN1219" s="60"/>
    </row>
    <row r="1220" spans="2:40" ht="18" customHeight="1" x14ac:dyDescent="0.25">
      <c r="B1220" s="61"/>
      <c r="C1220" s="214" t="s">
        <v>711</v>
      </c>
      <c r="D1220" s="215"/>
      <c r="E1220" s="216"/>
      <c r="F1220" s="62"/>
      <c r="G1220" s="214" t="s">
        <v>712</v>
      </c>
      <c r="H1220" s="215"/>
      <c r="I1220" s="216"/>
      <c r="J1220" s="63"/>
      <c r="L1220" s="61"/>
      <c r="M1220" s="214" t="s">
        <v>711</v>
      </c>
      <c r="N1220" s="215"/>
      <c r="O1220" s="216"/>
      <c r="P1220" s="62"/>
      <c r="Q1220" s="214" t="s">
        <v>712</v>
      </c>
      <c r="R1220" s="215"/>
      <c r="S1220" s="216"/>
      <c r="T1220" s="63"/>
      <c r="V1220" s="61"/>
      <c r="W1220" s="214" t="s">
        <v>711</v>
      </c>
      <c r="X1220" s="215"/>
      <c r="Y1220" s="216"/>
      <c r="Z1220" s="62"/>
      <c r="AA1220" s="214" t="s">
        <v>712</v>
      </c>
      <c r="AB1220" s="215"/>
      <c r="AC1220" s="216"/>
      <c r="AD1220" s="63"/>
      <c r="AF1220" s="61"/>
      <c r="AG1220" s="214" t="s">
        <v>711</v>
      </c>
      <c r="AH1220" s="215"/>
      <c r="AI1220" s="216"/>
      <c r="AJ1220" s="62"/>
      <c r="AK1220" s="214" t="s">
        <v>712</v>
      </c>
      <c r="AL1220" s="215"/>
      <c r="AM1220" s="216"/>
      <c r="AN1220" s="63"/>
    </row>
    <row r="1221" spans="2:40" ht="6.95" customHeight="1" x14ac:dyDescent="0.25">
      <c r="B1221" s="59"/>
      <c r="C1221" s="62"/>
      <c r="D1221" s="62"/>
      <c r="E1221" s="62"/>
      <c r="F1221" s="62"/>
      <c r="G1221" s="62"/>
      <c r="H1221" s="62"/>
      <c r="I1221" s="62"/>
      <c r="J1221" s="60"/>
      <c r="L1221" s="59"/>
      <c r="M1221" s="62"/>
      <c r="N1221" s="62"/>
      <c r="O1221" s="62"/>
      <c r="P1221" s="62"/>
      <c r="Q1221" s="62"/>
      <c r="R1221" s="62"/>
      <c r="S1221" s="62"/>
      <c r="T1221" s="60"/>
      <c r="V1221" s="59"/>
      <c r="W1221" s="62"/>
      <c r="X1221" s="62"/>
      <c r="Y1221" s="62"/>
      <c r="Z1221" s="62"/>
      <c r="AA1221" s="62"/>
      <c r="AB1221" s="62"/>
      <c r="AC1221" s="62"/>
      <c r="AD1221" s="60"/>
      <c r="AF1221" s="59"/>
      <c r="AG1221" s="62"/>
      <c r="AH1221" s="62"/>
      <c r="AI1221" s="62"/>
      <c r="AJ1221" s="62"/>
      <c r="AK1221" s="62"/>
      <c r="AL1221" s="62"/>
      <c r="AM1221" s="62"/>
      <c r="AN1221" s="60"/>
    </row>
    <row r="1222" spans="2:40" x14ac:dyDescent="0.25">
      <c r="B1222" s="61"/>
      <c r="C1222" s="214" t="s">
        <v>1273</v>
      </c>
      <c r="D1222" s="215"/>
      <c r="E1222" s="216"/>
      <c r="F1222" s="62"/>
      <c r="G1222" s="214" t="s">
        <v>1521</v>
      </c>
      <c r="H1222" s="215"/>
      <c r="I1222" s="216"/>
      <c r="J1222" s="63"/>
      <c r="L1222" s="61"/>
      <c r="M1222" s="214" t="s">
        <v>1273</v>
      </c>
      <c r="N1222" s="215"/>
      <c r="O1222" s="216"/>
      <c r="P1222" s="62"/>
      <c r="Q1222" s="214" t="s">
        <v>1522</v>
      </c>
      <c r="R1222" s="215"/>
      <c r="S1222" s="216"/>
      <c r="T1222" s="63"/>
      <c r="V1222" s="61"/>
      <c r="W1222" s="214" t="s">
        <v>1273</v>
      </c>
      <c r="X1222" s="215"/>
      <c r="Y1222" s="216"/>
      <c r="Z1222" s="62"/>
      <c r="AA1222" s="214" t="s">
        <v>1523</v>
      </c>
      <c r="AB1222" s="215"/>
      <c r="AC1222" s="216"/>
      <c r="AD1222" s="63"/>
      <c r="AF1222" s="61"/>
      <c r="AG1222" s="214" t="s">
        <v>1273</v>
      </c>
      <c r="AH1222" s="215"/>
      <c r="AI1222" s="216"/>
      <c r="AJ1222" s="62"/>
      <c r="AK1222" s="214" t="s">
        <v>1524</v>
      </c>
      <c r="AL1222" s="215"/>
      <c r="AM1222" s="216"/>
      <c r="AN1222" s="63"/>
    </row>
    <row r="1223" spans="2:40" ht="6.95" customHeight="1" x14ac:dyDescent="0.25">
      <c r="B1223" s="59"/>
      <c r="C1223" s="62"/>
      <c r="D1223" s="62"/>
      <c r="E1223" s="62"/>
      <c r="F1223" s="62"/>
      <c r="G1223" s="62"/>
      <c r="H1223" s="62"/>
      <c r="I1223" s="62"/>
      <c r="J1223" s="60"/>
      <c r="L1223" s="59"/>
      <c r="M1223" s="62"/>
      <c r="N1223" s="62"/>
      <c r="O1223" s="62"/>
      <c r="P1223" s="62"/>
      <c r="Q1223" s="62"/>
      <c r="R1223" s="62"/>
      <c r="S1223" s="62"/>
      <c r="T1223" s="60"/>
      <c r="V1223" s="59"/>
      <c r="W1223" s="62"/>
      <c r="X1223" s="62"/>
      <c r="Y1223" s="62"/>
      <c r="Z1223" s="62"/>
      <c r="AA1223" s="62"/>
      <c r="AB1223" s="62"/>
      <c r="AC1223" s="62"/>
      <c r="AD1223" s="60"/>
      <c r="AF1223" s="59"/>
      <c r="AG1223" s="62"/>
      <c r="AH1223" s="62"/>
      <c r="AI1223" s="62"/>
      <c r="AJ1223" s="62"/>
      <c r="AK1223" s="62"/>
      <c r="AL1223" s="62"/>
      <c r="AM1223" s="62"/>
      <c r="AN1223" s="60"/>
    </row>
    <row r="1224" spans="2:40" x14ac:dyDescent="0.25">
      <c r="B1224" s="61"/>
      <c r="C1224" s="214" t="s">
        <v>713</v>
      </c>
      <c r="D1224" s="215"/>
      <c r="E1224" s="216"/>
      <c r="F1224" s="62"/>
      <c r="G1224" s="220" t="s">
        <v>1293</v>
      </c>
      <c r="H1224" s="220"/>
      <c r="I1224" s="220"/>
      <c r="J1224" s="63"/>
      <c r="L1224" s="61"/>
      <c r="M1224" s="214" t="s">
        <v>713</v>
      </c>
      <c r="N1224" s="215"/>
      <c r="O1224" s="216"/>
      <c r="P1224" s="62"/>
      <c r="Q1224" s="220" t="s">
        <v>1293</v>
      </c>
      <c r="R1224" s="220"/>
      <c r="S1224" s="220"/>
      <c r="T1224" s="63"/>
      <c r="V1224" s="61"/>
      <c r="W1224" s="214" t="s">
        <v>713</v>
      </c>
      <c r="X1224" s="215"/>
      <c r="Y1224" s="216"/>
      <c r="Z1224" s="62"/>
      <c r="AA1224" s="220" t="s">
        <v>1293</v>
      </c>
      <c r="AB1224" s="220"/>
      <c r="AC1224" s="220"/>
      <c r="AD1224" s="63"/>
      <c r="AF1224" s="61"/>
      <c r="AG1224" s="214" t="s">
        <v>713</v>
      </c>
      <c r="AH1224" s="215"/>
      <c r="AI1224" s="216"/>
      <c r="AJ1224" s="62"/>
      <c r="AK1224" s="220" t="s">
        <v>1293</v>
      </c>
      <c r="AL1224" s="220"/>
      <c r="AM1224" s="220"/>
      <c r="AN1224" s="63"/>
    </row>
    <row r="1225" spans="2:40" ht="6.95" customHeight="1" x14ac:dyDescent="0.25">
      <c r="B1225" s="59"/>
      <c r="C1225" s="128"/>
      <c r="D1225" s="128"/>
      <c r="E1225" s="128"/>
      <c r="F1225" s="62"/>
      <c r="G1225" s="128"/>
      <c r="H1225" s="128"/>
      <c r="I1225" s="128"/>
      <c r="J1225" s="63"/>
      <c r="L1225" s="59"/>
      <c r="M1225" s="128"/>
      <c r="N1225" s="128"/>
      <c r="O1225" s="128"/>
      <c r="P1225" s="62"/>
      <c r="Q1225" s="128"/>
      <c r="R1225" s="128"/>
      <c r="S1225" s="128"/>
      <c r="T1225" s="63"/>
      <c r="V1225" s="59"/>
      <c r="W1225" s="128"/>
      <c r="X1225" s="128"/>
      <c r="Y1225" s="128"/>
      <c r="Z1225" s="62"/>
      <c r="AA1225" s="128"/>
      <c r="AB1225" s="128"/>
      <c r="AC1225" s="128"/>
      <c r="AD1225" s="63"/>
      <c r="AF1225" s="59"/>
      <c r="AG1225" s="128"/>
      <c r="AH1225" s="128"/>
      <c r="AI1225" s="128"/>
      <c r="AJ1225" s="62"/>
      <c r="AK1225" s="128"/>
      <c r="AL1225" s="128"/>
      <c r="AM1225" s="128"/>
      <c r="AN1225" s="63"/>
    </row>
    <row r="1226" spans="2:40" x14ac:dyDescent="0.25">
      <c r="B1226" s="59"/>
      <c r="C1226" s="220" t="s">
        <v>715</v>
      </c>
      <c r="D1226" s="220"/>
      <c r="E1226" s="220"/>
      <c r="F1226" s="62"/>
      <c r="G1226" s="220" t="s">
        <v>1270</v>
      </c>
      <c r="H1226" s="220"/>
      <c r="I1226" s="220"/>
      <c r="J1226" s="63"/>
      <c r="L1226" s="59"/>
      <c r="M1226" s="220" t="s">
        <v>715</v>
      </c>
      <c r="N1226" s="220"/>
      <c r="O1226" s="220"/>
      <c r="P1226" s="62"/>
      <c r="Q1226" s="220" t="s">
        <v>1270</v>
      </c>
      <c r="R1226" s="220"/>
      <c r="S1226" s="220"/>
      <c r="T1226" s="63"/>
      <c r="V1226" s="59"/>
      <c r="W1226" s="220" t="s">
        <v>715</v>
      </c>
      <c r="X1226" s="220"/>
      <c r="Y1226" s="220"/>
      <c r="Z1226" s="62"/>
      <c r="AA1226" s="220" t="s">
        <v>1270</v>
      </c>
      <c r="AB1226" s="220"/>
      <c r="AC1226" s="220"/>
      <c r="AD1226" s="63"/>
      <c r="AF1226" s="59"/>
      <c r="AG1226" s="220" t="s">
        <v>715</v>
      </c>
      <c r="AH1226" s="220"/>
      <c r="AI1226" s="220"/>
      <c r="AJ1226" s="62"/>
      <c r="AK1226" s="220" t="s">
        <v>1270</v>
      </c>
      <c r="AL1226" s="220"/>
      <c r="AM1226" s="220"/>
      <c r="AN1226" s="63"/>
    </row>
    <row r="1227" spans="2:40" ht="6.95" customHeight="1" thickBot="1" x14ac:dyDescent="0.3">
      <c r="B1227" s="64"/>
      <c r="C1227" s="65"/>
      <c r="D1227" s="65"/>
      <c r="E1227" s="65"/>
      <c r="F1227" s="65"/>
      <c r="G1227" s="65"/>
      <c r="H1227" s="65"/>
      <c r="I1227" s="65"/>
      <c r="J1227" s="66"/>
      <c r="L1227" s="64"/>
      <c r="M1227" s="65"/>
      <c r="N1227" s="65"/>
      <c r="O1227" s="65"/>
      <c r="P1227" s="65"/>
      <c r="Q1227" s="65"/>
      <c r="R1227" s="65"/>
      <c r="S1227" s="65"/>
      <c r="T1227" s="66"/>
      <c r="V1227" s="64"/>
      <c r="W1227" s="65"/>
      <c r="X1227" s="65"/>
      <c r="Y1227" s="65"/>
      <c r="Z1227" s="65"/>
      <c r="AA1227" s="65"/>
      <c r="AB1227" s="65"/>
      <c r="AC1227" s="65"/>
      <c r="AD1227" s="66"/>
      <c r="AF1227" s="64"/>
      <c r="AG1227" s="65"/>
      <c r="AH1227" s="65"/>
      <c r="AI1227" s="65"/>
      <c r="AJ1227" s="65"/>
      <c r="AK1227" s="65"/>
      <c r="AL1227" s="65"/>
      <c r="AM1227" s="65"/>
      <c r="AN1227" s="66"/>
    </row>
    <row r="1228" spans="2:40" ht="32.1" customHeight="1" thickTop="1" x14ac:dyDescent="0.25">
      <c r="B1228" s="57"/>
      <c r="C1228" s="58"/>
      <c r="D1228" s="217" t="s">
        <v>697</v>
      </c>
      <c r="E1228" s="218"/>
      <c r="F1228" s="218"/>
      <c r="G1228" s="218"/>
      <c r="H1228" s="218"/>
      <c r="I1228" s="218"/>
      <c r="J1228" s="219"/>
      <c r="L1228" s="57"/>
      <c r="M1228" s="58"/>
      <c r="N1228" s="217" t="s">
        <v>697</v>
      </c>
      <c r="O1228" s="218"/>
      <c r="P1228" s="218"/>
      <c r="Q1228" s="218"/>
      <c r="R1228" s="218"/>
      <c r="S1228" s="218"/>
      <c r="T1228" s="219"/>
      <c r="V1228" s="57"/>
      <c r="W1228" s="58"/>
      <c r="X1228" s="217" t="s">
        <v>697</v>
      </c>
      <c r="Y1228" s="218"/>
      <c r="Z1228" s="218"/>
      <c r="AA1228" s="218"/>
      <c r="AB1228" s="218"/>
      <c r="AC1228" s="218"/>
      <c r="AD1228" s="219"/>
      <c r="AF1228" s="57"/>
      <c r="AG1228" s="58"/>
      <c r="AH1228" s="217" t="s">
        <v>697</v>
      </c>
      <c r="AI1228" s="218"/>
      <c r="AJ1228" s="218"/>
      <c r="AK1228" s="218"/>
      <c r="AL1228" s="218"/>
      <c r="AM1228" s="218"/>
      <c r="AN1228" s="219"/>
    </row>
    <row r="1229" spans="2:40" ht="6.95" customHeight="1" x14ac:dyDescent="0.25">
      <c r="B1229" s="59"/>
      <c r="J1229" s="60"/>
      <c r="L1229" s="59"/>
      <c r="T1229" s="60"/>
      <c r="V1229" s="59"/>
      <c r="AD1229" s="60"/>
      <c r="AF1229" s="59"/>
      <c r="AN1229" s="60"/>
    </row>
    <row r="1230" spans="2:40" ht="18" customHeight="1" x14ac:dyDescent="0.25">
      <c r="B1230" s="61"/>
      <c r="C1230" s="214" t="s">
        <v>698</v>
      </c>
      <c r="D1230" s="215"/>
      <c r="E1230" s="216"/>
      <c r="F1230" s="62"/>
      <c r="G1230" s="214" t="s">
        <v>1525</v>
      </c>
      <c r="H1230" s="215"/>
      <c r="I1230" s="216"/>
      <c r="J1230" s="63"/>
      <c r="L1230" s="61"/>
      <c r="M1230" s="214" t="s">
        <v>698</v>
      </c>
      <c r="N1230" s="215"/>
      <c r="O1230" s="216"/>
      <c r="P1230" s="62"/>
      <c r="Q1230" s="214" t="s">
        <v>1526</v>
      </c>
      <c r="R1230" s="215"/>
      <c r="S1230" s="216"/>
      <c r="T1230" s="63"/>
      <c r="V1230" s="61"/>
      <c r="W1230" s="214" t="s">
        <v>698</v>
      </c>
      <c r="X1230" s="215"/>
      <c r="Y1230" s="216"/>
      <c r="Z1230" s="62"/>
      <c r="AA1230" s="214" t="s">
        <v>1527</v>
      </c>
      <c r="AB1230" s="215"/>
      <c r="AC1230" s="216"/>
      <c r="AD1230" s="63"/>
      <c r="AF1230" s="61"/>
      <c r="AG1230" s="214" t="s">
        <v>698</v>
      </c>
      <c r="AH1230" s="215"/>
      <c r="AI1230" s="216"/>
      <c r="AJ1230" s="62"/>
      <c r="AK1230" s="214" t="s">
        <v>1528</v>
      </c>
      <c r="AL1230" s="215"/>
      <c r="AM1230" s="216"/>
      <c r="AN1230" s="63"/>
    </row>
    <row r="1231" spans="2:40" ht="6.95" customHeight="1" x14ac:dyDescent="0.25">
      <c r="B1231" s="59"/>
      <c r="C1231" s="62"/>
      <c r="D1231" s="62"/>
      <c r="E1231" s="62"/>
      <c r="F1231" s="62"/>
      <c r="G1231" s="62"/>
      <c r="H1231" s="62"/>
      <c r="I1231" s="62"/>
      <c r="J1231" s="60"/>
      <c r="L1231" s="59"/>
      <c r="M1231" s="62"/>
      <c r="N1231" s="62"/>
      <c r="O1231" s="62"/>
      <c r="P1231" s="62"/>
      <c r="Q1231" s="62"/>
      <c r="R1231" s="62"/>
      <c r="S1231" s="62"/>
      <c r="T1231" s="60"/>
      <c r="V1231" s="59"/>
      <c r="W1231" s="62"/>
      <c r="X1231" s="62"/>
      <c r="Y1231" s="62"/>
      <c r="Z1231" s="62"/>
      <c r="AA1231" s="62"/>
      <c r="AB1231" s="62"/>
      <c r="AC1231" s="62"/>
      <c r="AD1231" s="60"/>
      <c r="AF1231" s="59"/>
      <c r="AG1231" s="62"/>
      <c r="AH1231" s="62"/>
      <c r="AI1231" s="62"/>
      <c r="AJ1231" s="62"/>
      <c r="AK1231" s="62"/>
      <c r="AL1231" s="62"/>
      <c r="AM1231" s="62"/>
      <c r="AN1231" s="60"/>
    </row>
    <row r="1232" spans="2:40" ht="18" customHeight="1" x14ac:dyDescent="0.25">
      <c r="B1232" s="61"/>
      <c r="C1232" s="214" t="s">
        <v>699</v>
      </c>
      <c r="D1232" s="215"/>
      <c r="E1232" s="216"/>
      <c r="F1232" s="62"/>
      <c r="G1232" s="214" t="s">
        <v>1639</v>
      </c>
      <c r="H1232" s="215"/>
      <c r="I1232" s="216"/>
      <c r="J1232" s="63"/>
      <c r="L1232" s="61"/>
      <c r="M1232" s="214" t="s">
        <v>699</v>
      </c>
      <c r="N1232" s="215"/>
      <c r="O1232" s="216"/>
      <c r="P1232" s="62"/>
      <c r="Q1232" s="214" t="s">
        <v>1639</v>
      </c>
      <c r="R1232" s="215"/>
      <c r="S1232" s="216"/>
      <c r="T1232" s="63"/>
      <c r="V1232" s="61"/>
      <c r="W1232" s="214" t="s">
        <v>699</v>
      </c>
      <c r="X1232" s="215"/>
      <c r="Y1232" s="216"/>
      <c r="Z1232" s="62"/>
      <c r="AA1232" s="214" t="s">
        <v>1639</v>
      </c>
      <c r="AB1232" s="215"/>
      <c r="AC1232" s="216"/>
      <c r="AD1232" s="63"/>
      <c r="AF1232" s="61"/>
      <c r="AG1232" s="214" t="s">
        <v>699</v>
      </c>
      <c r="AH1232" s="215"/>
      <c r="AI1232" s="216"/>
      <c r="AJ1232" s="62"/>
      <c r="AK1232" s="214" t="s">
        <v>1641</v>
      </c>
      <c r="AL1232" s="215"/>
      <c r="AM1232" s="216"/>
      <c r="AN1232" s="63"/>
    </row>
    <row r="1233" spans="2:40" ht="6.95" customHeight="1" x14ac:dyDescent="0.25">
      <c r="B1233" s="59"/>
      <c r="C1233" s="62"/>
      <c r="D1233" s="62"/>
      <c r="E1233" s="62"/>
      <c r="F1233" s="62"/>
      <c r="G1233" s="62"/>
      <c r="H1233" s="62"/>
      <c r="I1233" s="62"/>
      <c r="J1233" s="60"/>
      <c r="L1233" s="59"/>
      <c r="M1233" s="62"/>
      <c r="N1233" s="62"/>
      <c r="O1233" s="62"/>
      <c r="P1233" s="62"/>
      <c r="Q1233" s="62"/>
      <c r="R1233" s="62"/>
      <c r="S1233" s="62"/>
      <c r="T1233" s="60"/>
      <c r="V1233" s="59"/>
      <c r="W1233" s="62"/>
      <c r="X1233" s="62"/>
      <c r="Y1233" s="62"/>
      <c r="Z1233" s="62"/>
      <c r="AA1233" s="62"/>
      <c r="AB1233" s="62"/>
      <c r="AC1233" s="62"/>
      <c r="AD1233" s="60"/>
      <c r="AF1233" s="59"/>
      <c r="AG1233" s="62"/>
      <c r="AH1233" s="62"/>
      <c r="AI1233" s="62"/>
      <c r="AJ1233" s="62"/>
      <c r="AK1233" s="62"/>
      <c r="AL1233" s="62"/>
      <c r="AM1233" s="62"/>
      <c r="AN1233" s="60"/>
    </row>
    <row r="1234" spans="2:40" ht="18" customHeight="1" x14ac:dyDescent="0.25">
      <c r="B1234" s="61"/>
      <c r="C1234" s="214" t="s">
        <v>701</v>
      </c>
      <c r="D1234" s="215"/>
      <c r="E1234" s="216"/>
      <c r="F1234" s="62"/>
      <c r="G1234" s="214" t="s">
        <v>986</v>
      </c>
      <c r="H1234" s="215"/>
      <c r="I1234" s="216"/>
      <c r="J1234" s="63"/>
      <c r="L1234" s="61"/>
      <c r="M1234" s="214" t="s">
        <v>701</v>
      </c>
      <c r="N1234" s="215"/>
      <c r="O1234" s="216"/>
      <c r="P1234" s="62"/>
      <c r="Q1234" s="214" t="s">
        <v>986</v>
      </c>
      <c r="R1234" s="215"/>
      <c r="S1234" s="216"/>
      <c r="T1234" s="63"/>
      <c r="V1234" s="61"/>
      <c r="W1234" s="214" t="s">
        <v>701</v>
      </c>
      <c r="X1234" s="215"/>
      <c r="Y1234" s="216"/>
      <c r="Z1234" s="62"/>
      <c r="AA1234" s="214" t="s">
        <v>986</v>
      </c>
      <c r="AB1234" s="215"/>
      <c r="AC1234" s="216"/>
      <c r="AD1234" s="63"/>
      <c r="AF1234" s="61"/>
      <c r="AG1234" s="214" t="s">
        <v>701</v>
      </c>
      <c r="AH1234" s="215"/>
      <c r="AI1234" s="216"/>
      <c r="AJ1234" s="62"/>
      <c r="AK1234" s="214" t="s">
        <v>988</v>
      </c>
      <c r="AL1234" s="215"/>
      <c r="AM1234" s="216"/>
      <c r="AN1234" s="63"/>
    </row>
    <row r="1235" spans="2:40" ht="6.95" customHeight="1" x14ac:dyDescent="0.25">
      <c r="B1235" s="59"/>
      <c r="C1235" s="62"/>
      <c r="D1235" s="62"/>
      <c r="E1235" s="62"/>
      <c r="F1235" s="62"/>
      <c r="G1235" s="62"/>
      <c r="H1235" s="62"/>
      <c r="I1235" s="62"/>
      <c r="J1235" s="60"/>
      <c r="L1235" s="59"/>
      <c r="M1235" s="62"/>
      <c r="N1235" s="62"/>
      <c r="O1235" s="62"/>
      <c r="P1235" s="62"/>
      <c r="Q1235" s="62"/>
      <c r="R1235" s="62"/>
      <c r="S1235" s="62"/>
      <c r="T1235" s="60"/>
      <c r="V1235" s="59"/>
      <c r="W1235" s="62"/>
      <c r="X1235" s="62"/>
      <c r="Y1235" s="62"/>
      <c r="Z1235" s="62"/>
      <c r="AA1235" s="62"/>
      <c r="AB1235" s="62"/>
      <c r="AC1235" s="62"/>
      <c r="AD1235" s="60"/>
      <c r="AF1235" s="59"/>
      <c r="AG1235" s="62"/>
      <c r="AH1235" s="62"/>
      <c r="AI1235" s="62"/>
      <c r="AJ1235" s="62"/>
      <c r="AK1235" s="62"/>
      <c r="AL1235" s="62"/>
      <c r="AM1235" s="62"/>
      <c r="AN1235" s="60"/>
    </row>
    <row r="1236" spans="2:40" ht="18" customHeight="1" x14ac:dyDescent="0.25">
      <c r="B1236" s="61"/>
      <c r="C1236" s="214" t="s">
        <v>703</v>
      </c>
      <c r="D1236" s="215"/>
      <c r="E1236" s="216"/>
      <c r="F1236" s="62"/>
      <c r="G1236" s="214" t="s">
        <v>109</v>
      </c>
      <c r="H1236" s="215"/>
      <c r="I1236" s="216"/>
      <c r="J1236" s="63"/>
      <c r="L1236" s="61"/>
      <c r="M1236" s="214" t="s">
        <v>703</v>
      </c>
      <c r="N1236" s="215"/>
      <c r="O1236" s="216"/>
      <c r="P1236" s="62"/>
      <c r="Q1236" s="214" t="s">
        <v>109</v>
      </c>
      <c r="R1236" s="215"/>
      <c r="S1236" s="216"/>
      <c r="T1236" s="63"/>
      <c r="V1236" s="61"/>
      <c r="W1236" s="214" t="s">
        <v>703</v>
      </c>
      <c r="X1236" s="215"/>
      <c r="Y1236" s="216"/>
      <c r="Z1236" s="62"/>
      <c r="AA1236" s="214" t="s">
        <v>109</v>
      </c>
      <c r="AB1236" s="215"/>
      <c r="AC1236" s="216"/>
      <c r="AD1236" s="63"/>
      <c r="AF1236" s="61"/>
      <c r="AG1236" s="214" t="s">
        <v>703</v>
      </c>
      <c r="AH1236" s="215"/>
      <c r="AI1236" s="216"/>
      <c r="AJ1236" s="62"/>
      <c r="AK1236" s="214" t="s">
        <v>109</v>
      </c>
      <c r="AL1236" s="215"/>
      <c r="AM1236" s="216"/>
      <c r="AN1236" s="63"/>
    </row>
    <row r="1237" spans="2:40" ht="6.95" customHeight="1" x14ac:dyDescent="0.25">
      <c r="B1237" s="59"/>
      <c r="C1237" s="62"/>
      <c r="D1237" s="62"/>
      <c r="E1237" s="62"/>
      <c r="F1237" s="62"/>
      <c r="G1237" s="62"/>
      <c r="H1237" s="62"/>
      <c r="I1237" s="62"/>
      <c r="J1237" s="60"/>
      <c r="L1237" s="59"/>
      <c r="M1237" s="62"/>
      <c r="N1237" s="62"/>
      <c r="O1237" s="62"/>
      <c r="P1237" s="62"/>
      <c r="Q1237" s="62"/>
      <c r="R1237" s="62"/>
      <c r="S1237" s="62"/>
      <c r="T1237" s="60"/>
      <c r="V1237" s="59"/>
      <c r="W1237" s="62"/>
      <c r="X1237" s="62"/>
      <c r="Y1237" s="62"/>
      <c r="Z1237" s="62"/>
      <c r="AA1237" s="62"/>
      <c r="AB1237" s="62"/>
      <c r="AC1237" s="62"/>
      <c r="AD1237" s="60"/>
      <c r="AF1237" s="59"/>
      <c r="AG1237" s="62"/>
      <c r="AH1237" s="62"/>
      <c r="AI1237" s="62"/>
      <c r="AJ1237" s="62"/>
      <c r="AK1237" s="62"/>
      <c r="AL1237" s="62"/>
      <c r="AM1237" s="62"/>
      <c r="AN1237" s="60"/>
    </row>
    <row r="1238" spans="2:40" ht="18" customHeight="1" x14ac:dyDescent="0.25">
      <c r="B1238" s="61"/>
      <c r="C1238" s="214" t="s">
        <v>705</v>
      </c>
      <c r="D1238" s="215"/>
      <c r="E1238" s="216"/>
      <c r="F1238" s="62"/>
      <c r="G1238" s="214" t="s">
        <v>109</v>
      </c>
      <c r="H1238" s="215"/>
      <c r="I1238" s="216"/>
      <c r="J1238" s="63"/>
      <c r="L1238" s="61"/>
      <c r="M1238" s="214" t="s">
        <v>705</v>
      </c>
      <c r="N1238" s="215"/>
      <c r="O1238" s="216"/>
      <c r="P1238" s="62"/>
      <c r="Q1238" s="214" t="s">
        <v>109</v>
      </c>
      <c r="R1238" s="215"/>
      <c r="S1238" s="216"/>
      <c r="T1238" s="63"/>
      <c r="V1238" s="61"/>
      <c r="W1238" s="214" t="s">
        <v>705</v>
      </c>
      <c r="X1238" s="215"/>
      <c r="Y1238" s="216"/>
      <c r="Z1238" s="62"/>
      <c r="AA1238" s="214" t="s">
        <v>109</v>
      </c>
      <c r="AB1238" s="215"/>
      <c r="AC1238" s="216"/>
      <c r="AD1238" s="63"/>
      <c r="AF1238" s="61"/>
      <c r="AG1238" s="214" t="s">
        <v>705</v>
      </c>
      <c r="AH1238" s="215"/>
      <c r="AI1238" s="216"/>
      <c r="AJ1238" s="62"/>
      <c r="AK1238" s="214" t="s">
        <v>109</v>
      </c>
      <c r="AL1238" s="215"/>
      <c r="AM1238" s="216"/>
      <c r="AN1238" s="63"/>
    </row>
    <row r="1239" spans="2:40" ht="6.95" customHeight="1" x14ac:dyDescent="0.25">
      <c r="B1239" s="59"/>
      <c r="C1239" s="62"/>
      <c r="D1239" s="62"/>
      <c r="E1239" s="62"/>
      <c r="F1239" s="62"/>
      <c r="G1239" s="62"/>
      <c r="H1239" s="62"/>
      <c r="I1239" s="62"/>
      <c r="J1239" s="60"/>
      <c r="L1239" s="59"/>
      <c r="M1239" s="62"/>
      <c r="N1239" s="62"/>
      <c r="O1239" s="62"/>
      <c r="P1239" s="62"/>
      <c r="Q1239" s="62"/>
      <c r="R1239" s="62"/>
      <c r="S1239" s="62"/>
      <c r="T1239" s="60"/>
      <c r="V1239" s="59"/>
      <c r="W1239" s="62"/>
      <c r="X1239" s="62"/>
      <c r="Y1239" s="62"/>
      <c r="Z1239" s="62"/>
      <c r="AA1239" s="62"/>
      <c r="AB1239" s="62"/>
      <c r="AC1239" s="62"/>
      <c r="AD1239" s="60"/>
      <c r="AF1239" s="59"/>
      <c r="AG1239" s="62"/>
      <c r="AH1239" s="62"/>
      <c r="AI1239" s="62"/>
      <c r="AJ1239" s="62"/>
      <c r="AK1239" s="62"/>
      <c r="AL1239" s="62"/>
      <c r="AM1239" s="62"/>
      <c r="AN1239" s="60"/>
    </row>
    <row r="1240" spans="2:40" ht="18" customHeight="1" x14ac:dyDescent="0.25">
      <c r="B1240" s="61"/>
      <c r="C1240" s="214" t="s">
        <v>708</v>
      </c>
      <c r="D1240" s="215"/>
      <c r="E1240" s="216"/>
      <c r="F1240" s="62"/>
      <c r="G1240" s="214" t="s">
        <v>109</v>
      </c>
      <c r="H1240" s="215"/>
      <c r="I1240" s="216"/>
      <c r="J1240" s="63"/>
      <c r="L1240" s="61"/>
      <c r="M1240" s="214" t="s">
        <v>708</v>
      </c>
      <c r="N1240" s="215"/>
      <c r="O1240" s="216"/>
      <c r="P1240" s="62"/>
      <c r="Q1240" s="214" t="s">
        <v>109</v>
      </c>
      <c r="R1240" s="215"/>
      <c r="S1240" s="216"/>
      <c r="T1240" s="63"/>
      <c r="V1240" s="61"/>
      <c r="W1240" s="214" t="s">
        <v>708</v>
      </c>
      <c r="X1240" s="215"/>
      <c r="Y1240" s="216"/>
      <c r="Z1240" s="62"/>
      <c r="AA1240" s="214" t="s">
        <v>109</v>
      </c>
      <c r="AB1240" s="215"/>
      <c r="AC1240" s="216"/>
      <c r="AD1240" s="63"/>
      <c r="AF1240" s="61"/>
      <c r="AG1240" s="214" t="s">
        <v>708</v>
      </c>
      <c r="AH1240" s="215"/>
      <c r="AI1240" s="216"/>
      <c r="AJ1240" s="62"/>
      <c r="AK1240" s="214" t="s">
        <v>109</v>
      </c>
      <c r="AL1240" s="215"/>
      <c r="AM1240" s="216"/>
      <c r="AN1240" s="63"/>
    </row>
    <row r="1241" spans="2:40" ht="6.95" customHeight="1" x14ac:dyDescent="0.25">
      <c r="B1241" s="59"/>
      <c r="C1241" s="62"/>
      <c r="D1241" s="62"/>
      <c r="E1241" s="62"/>
      <c r="F1241" s="62"/>
      <c r="G1241" s="62"/>
      <c r="H1241" s="62"/>
      <c r="I1241" s="62"/>
      <c r="J1241" s="60"/>
      <c r="L1241" s="59"/>
      <c r="M1241" s="62"/>
      <c r="N1241" s="62"/>
      <c r="O1241" s="62"/>
      <c r="P1241" s="62"/>
      <c r="Q1241" s="62"/>
      <c r="R1241" s="62"/>
      <c r="S1241" s="62"/>
      <c r="T1241" s="60"/>
      <c r="V1241" s="59"/>
      <c r="W1241" s="62"/>
      <c r="X1241" s="62"/>
      <c r="Y1241" s="62"/>
      <c r="Z1241" s="62"/>
      <c r="AA1241" s="62"/>
      <c r="AB1241" s="62"/>
      <c r="AC1241" s="62"/>
      <c r="AD1241" s="60"/>
      <c r="AF1241" s="59"/>
      <c r="AG1241" s="62"/>
      <c r="AH1241" s="62"/>
      <c r="AI1241" s="62"/>
      <c r="AJ1241" s="62"/>
      <c r="AK1241" s="62"/>
      <c r="AL1241" s="62"/>
      <c r="AM1241" s="62"/>
      <c r="AN1241" s="60"/>
    </row>
    <row r="1242" spans="2:40" ht="18" customHeight="1" x14ac:dyDescent="0.25">
      <c r="B1242" s="61"/>
      <c r="C1242" s="214" t="s">
        <v>711</v>
      </c>
      <c r="D1242" s="215"/>
      <c r="E1242" s="216"/>
      <c r="F1242" s="62"/>
      <c r="G1242" s="214" t="s">
        <v>712</v>
      </c>
      <c r="H1242" s="215"/>
      <c r="I1242" s="216"/>
      <c r="J1242" s="63"/>
      <c r="L1242" s="61"/>
      <c r="M1242" s="214" t="s">
        <v>711</v>
      </c>
      <c r="N1242" s="215"/>
      <c r="O1242" s="216"/>
      <c r="P1242" s="62"/>
      <c r="Q1242" s="214" t="s">
        <v>712</v>
      </c>
      <c r="R1242" s="215"/>
      <c r="S1242" s="216"/>
      <c r="T1242" s="63"/>
      <c r="V1242" s="61"/>
      <c r="W1242" s="214" t="s">
        <v>711</v>
      </c>
      <c r="X1242" s="215"/>
      <c r="Y1242" s="216"/>
      <c r="Z1242" s="62"/>
      <c r="AA1242" s="214" t="s">
        <v>712</v>
      </c>
      <c r="AB1242" s="215"/>
      <c r="AC1242" s="216"/>
      <c r="AD1242" s="63"/>
      <c r="AF1242" s="61"/>
      <c r="AG1242" s="214" t="s">
        <v>711</v>
      </c>
      <c r="AH1242" s="215"/>
      <c r="AI1242" s="216"/>
      <c r="AJ1242" s="62"/>
      <c r="AK1242" s="214" t="s">
        <v>712</v>
      </c>
      <c r="AL1242" s="215"/>
      <c r="AM1242" s="216"/>
      <c r="AN1242" s="63"/>
    </row>
    <row r="1243" spans="2:40" ht="6.95" customHeight="1" x14ac:dyDescent="0.25">
      <c r="B1243" s="59"/>
      <c r="C1243" s="62"/>
      <c r="D1243" s="62"/>
      <c r="E1243" s="62"/>
      <c r="F1243" s="62"/>
      <c r="G1243" s="62"/>
      <c r="H1243" s="62"/>
      <c r="I1243" s="62"/>
      <c r="J1243" s="60"/>
      <c r="L1243" s="59"/>
      <c r="M1243" s="62"/>
      <c r="N1243" s="62"/>
      <c r="O1243" s="62"/>
      <c r="P1243" s="62"/>
      <c r="Q1243" s="62"/>
      <c r="R1243" s="62"/>
      <c r="S1243" s="62"/>
      <c r="T1243" s="60"/>
      <c r="V1243" s="59"/>
      <c r="W1243" s="62"/>
      <c r="X1243" s="62"/>
      <c r="Y1243" s="62"/>
      <c r="Z1243" s="62"/>
      <c r="AA1243" s="62"/>
      <c r="AB1243" s="62"/>
      <c r="AC1243" s="62"/>
      <c r="AD1243" s="60"/>
      <c r="AF1243" s="59"/>
      <c r="AG1243" s="62"/>
      <c r="AH1243" s="62"/>
      <c r="AI1243" s="62"/>
      <c r="AJ1243" s="62"/>
      <c r="AK1243" s="62"/>
      <c r="AL1243" s="62"/>
      <c r="AM1243" s="62"/>
      <c r="AN1243" s="60"/>
    </row>
    <row r="1244" spans="2:40" ht="18" customHeight="1" x14ac:dyDescent="0.25">
      <c r="B1244" s="61"/>
      <c r="C1244" s="214" t="s">
        <v>1273</v>
      </c>
      <c r="D1244" s="215"/>
      <c r="E1244" s="216"/>
      <c r="F1244" s="62"/>
      <c r="G1244" s="214" t="s">
        <v>1529</v>
      </c>
      <c r="H1244" s="215"/>
      <c r="I1244" s="216"/>
      <c r="J1244" s="63"/>
      <c r="L1244" s="61"/>
      <c r="M1244" s="214" t="s">
        <v>1273</v>
      </c>
      <c r="N1244" s="215"/>
      <c r="O1244" s="216"/>
      <c r="P1244" s="62"/>
      <c r="Q1244" s="214" t="s">
        <v>1530</v>
      </c>
      <c r="R1244" s="215"/>
      <c r="S1244" s="216"/>
      <c r="T1244" s="63"/>
      <c r="V1244" s="61"/>
      <c r="W1244" s="214" t="s">
        <v>1273</v>
      </c>
      <c r="X1244" s="215"/>
      <c r="Y1244" s="216"/>
      <c r="Z1244" s="62"/>
      <c r="AA1244" s="214" t="s">
        <v>1531</v>
      </c>
      <c r="AB1244" s="215"/>
      <c r="AC1244" s="216"/>
      <c r="AD1244" s="63"/>
      <c r="AF1244" s="61"/>
      <c r="AG1244" s="214" t="s">
        <v>1273</v>
      </c>
      <c r="AH1244" s="215"/>
      <c r="AI1244" s="216"/>
      <c r="AJ1244" s="62"/>
      <c r="AK1244" s="214" t="s">
        <v>1532</v>
      </c>
      <c r="AL1244" s="215"/>
      <c r="AM1244" s="216"/>
      <c r="AN1244" s="63"/>
    </row>
    <row r="1245" spans="2:40" ht="6.95" customHeight="1" x14ac:dyDescent="0.25">
      <c r="B1245" s="59"/>
      <c r="C1245" s="62"/>
      <c r="D1245" s="62"/>
      <c r="E1245" s="62"/>
      <c r="F1245" s="62"/>
      <c r="G1245" s="62"/>
      <c r="H1245" s="62"/>
      <c r="I1245" s="62"/>
      <c r="J1245" s="60"/>
      <c r="L1245" s="59"/>
      <c r="M1245" s="62"/>
      <c r="N1245" s="62"/>
      <c r="O1245" s="62"/>
      <c r="P1245" s="62"/>
      <c r="Q1245" s="62"/>
      <c r="R1245" s="62"/>
      <c r="S1245" s="62"/>
      <c r="T1245" s="60"/>
      <c r="V1245" s="59"/>
      <c r="W1245" s="62"/>
      <c r="X1245" s="62"/>
      <c r="Y1245" s="62"/>
      <c r="Z1245" s="62"/>
      <c r="AA1245" s="62"/>
      <c r="AB1245" s="62"/>
      <c r="AC1245" s="62"/>
      <c r="AD1245" s="60"/>
      <c r="AF1245" s="59"/>
      <c r="AG1245" s="62"/>
      <c r="AH1245" s="62"/>
      <c r="AI1245" s="62"/>
      <c r="AJ1245" s="62"/>
      <c r="AK1245" s="62"/>
      <c r="AL1245" s="62"/>
      <c r="AM1245" s="62"/>
      <c r="AN1245" s="60"/>
    </row>
    <row r="1246" spans="2:40" ht="18" customHeight="1" x14ac:dyDescent="0.25">
      <c r="B1246" s="61"/>
      <c r="C1246" s="214" t="s">
        <v>713</v>
      </c>
      <c r="D1246" s="215"/>
      <c r="E1246" s="216"/>
      <c r="F1246" s="62"/>
      <c r="G1246" s="220" t="s">
        <v>1293</v>
      </c>
      <c r="H1246" s="220"/>
      <c r="I1246" s="220"/>
      <c r="J1246" s="63"/>
      <c r="L1246" s="61"/>
      <c r="M1246" s="214" t="s">
        <v>713</v>
      </c>
      <c r="N1246" s="215"/>
      <c r="O1246" s="216"/>
      <c r="P1246" s="62"/>
      <c r="Q1246" s="220" t="s">
        <v>1293</v>
      </c>
      <c r="R1246" s="220"/>
      <c r="S1246" s="220"/>
      <c r="T1246" s="63"/>
      <c r="V1246" s="61"/>
      <c r="W1246" s="214" t="s">
        <v>713</v>
      </c>
      <c r="X1246" s="215"/>
      <c r="Y1246" s="216"/>
      <c r="Z1246" s="62"/>
      <c r="AA1246" s="220" t="s">
        <v>1293</v>
      </c>
      <c r="AB1246" s="220"/>
      <c r="AC1246" s="220"/>
      <c r="AD1246" s="63"/>
      <c r="AF1246" s="61"/>
      <c r="AG1246" s="214" t="s">
        <v>713</v>
      </c>
      <c r="AH1246" s="215"/>
      <c r="AI1246" s="216"/>
      <c r="AJ1246" s="62"/>
      <c r="AK1246" s="220" t="s">
        <v>1293</v>
      </c>
      <c r="AL1246" s="220"/>
      <c r="AM1246" s="220"/>
      <c r="AN1246" s="63"/>
    </row>
    <row r="1247" spans="2:40" ht="6.95" customHeight="1" x14ac:dyDescent="0.25">
      <c r="B1247" s="59"/>
      <c r="C1247" s="128"/>
      <c r="D1247" s="128"/>
      <c r="E1247" s="128"/>
      <c r="F1247" s="62"/>
      <c r="G1247" s="128"/>
      <c r="H1247" s="128"/>
      <c r="I1247" s="128"/>
      <c r="J1247" s="63"/>
      <c r="L1247" s="59"/>
      <c r="M1247" s="128"/>
      <c r="N1247" s="128"/>
      <c r="O1247" s="128"/>
      <c r="P1247" s="62"/>
      <c r="Q1247" s="128"/>
      <c r="R1247" s="128"/>
      <c r="S1247" s="128"/>
      <c r="T1247" s="63"/>
      <c r="V1247" s="59"/>
      <c r="W1247" s="128"/>
      <c r="X1247" s="128"/>
      <c r="Y1247" s="128"/>
      <c r="Z1247" s="62"/>
      <c r="AA1247" s="128"/>
      <c r="AB1247" s="128"/>
      <c r="AC1247" s="128"/>
      <c r="AD1247" s="63"/>
      <c r="AF1247" s="59"/>
      <c r="AG1247" s="128"/>
      <c r="AH1247" s="128"/>
      <c r="AI1247" s="128"/>
      <c r="AJ1247" s="62"/>
      <c r="AK1247" s="128"/>
      <c r="AL1247" s="128"/>
      <c r="AM1247" s="128"/>
      <c r="AN1247" s="63"/>
    </row>
    <row r="1248" spans="2:40" ht="18" customHeight="1" x14ac:dyDescent="0.25">
      <c r="B1248" s="59"/>
      <c r="C1248" s="220" t="s">
        <v>715</v>
      </c>
      <c r="D1248" s="220"/>
      <c r="E1248" s="220"/>
      <c r="F1248" s="62"/>
      <c r="G1248" s="220" t="s">
        <v>1270</v>
      </c>
      <c r="H1248" s="220"/>
      <c r="I1248" s="220"/>
      <c r="J1248" s="63"/>
      <c r="L1248" s="59"/>
      <c r="M1248" s="220" t="s">
        <v>715</v>
      </c>
      <c r="N1248" s="220"/>
      <c r="O1248" s="220"/>
      <c r="P1248" s="62"/>
      <c r="Q1248" s="220" t="s">
        <v>1270</v>
      </c>
      <c r="R1248" s="220"/>
      <c r="S1248" s="220"/>
      <c r="T1248" s="63"/>
      <c r="V1248" s="59"/>
      <c r="W1248" s="220" t="s">
        <v>715</v>
      </c>
      <c r="X1248" s="220"/>
      <c r="Y1248" s="220"/>
      <c r="Z1248" s="62"/>
      <c r="AA1248" s="220" t="s">
        <v>1270</v>
      </c>
      <c r="AB1248" s="220"/>
      <c r="AC1248" s="220"/>
      <c r="AD1248" s="63"/>
      <c r="AF1248" s="59"/>
      <c r="AG1248" s="220" t="s">
        <v>715</v>
      </c>
      <c r="AH1248" s="220"/>
      <c r="AI1248" s="220"/>
      <c r="AJ1248" s="62"/>
      <c r="AK1248" s="220" t="s">
        <v>1270</v>
      </c>
      <c r="AL1248" s="220"/>
      <c r="AM1248" s="220"/>
      <c r="AN1248" s="63"/>
    </row>
    <row r="1249" spans="2:40" ht="6.95" customHeight="1" thickBot="1" x14ac:dyDescent="0.3">
      <c r="B1249" s="64"/>
      <c r="C1249" s="65"/>
      <c r="D1249" s="65"/>
      <c r="E1249" s="65"/>
      <c r="F1249" s="65"/>
      <c r="G1249" s="65"/>
      <c r="H1249" s="65"/>
      <c r="I1249" s="65"/>
      <c r="J1249" s="66"/>
      <c r="L1249" s="64"/>
      <c r="M1249" s="65"/>
      <c r="N1249" s="65"/>
      <c r="O1249" s="65"/>
      <c r="P1249" s="65"/>
      <c r="Q1249" s="65"/>
      <c r="R1249" s="65"/>
      <c r="S1249" s="65"/>
      <c r="T1249" s="66"/>
      <c r="V1249" s="64"/>
      <c r="W1249" s="65"/>
      <c r="X1249" s="65"/>
      <c r="Y1249" s="65"/>
      <c r="Z1249" s="65"/>
      <c r="AA1249" s="65"/>
      <c r="AB1249" s="65"/>
      <c r="AC1249" s="65"/>
      <c r="AD1249" s="66"/>
      <c r="AF1249" s="64"/>
      <c r="AG1249" s="65"/>
      <c r="AH1249" s="65"/>
      <c r="AI1249" s="65"/>
      <c r="AJ1249" s="65"/>
      <c r="AK1249" s="65"/>
      <c r="AL1249" s="65"/>
      <c r="AM1249" s="65"/>
      <c r="AN1249" s="66"/>
    </row>
    <row r="1250" spans="2:40" ht="32.1" customHeight="1" thickTop="1" x14ac:dyDescent="0.25">
      <c r="B1250" s="57"/>
      <c r="C1250" s="58"/>
      <c r="D1250" s="217" t="s">
        <v>697</v>
      </c>
      <c r="E1250" s="218"/>
      <c r="F1250" s="218"/>
      <c r="G1250" s="218"/>
      <c r="H1250" s="218"/>
      <c r="I1250" s="218"/>
      <c r="J1250" s="219"/>
      <c r="L1250" s="57"/>
      <c r="M1250" s="58"/>
      <c r="N1250" s="217" t="s">
        <v>697</v>
      </c>
      <c r="O1250" s="218"/>
      <c r="P1250" s="218"/>
      <c r="Q1250" s="218"/>
      <c r="R1250" s="218"/>
      <c r="S1250" s="218"/>
      <c r="T1250" s="219"/>
      <c r="V1250" s="57"/>
      <c r="W1250" s="58"/>
      <c r="X1250" s="217" t="s">
        <v>697</v>
      </c>
      <c r="Y1250" s="217"/>
      <c r="Z1250" s="217"/>
      <c r="AA1250" s="217"/>
      <c r="AB1250" s="217"/>
      <c r="AC1250" s="217"/>
      <c r="AD1250" s="225"/>
      <c r="AF1250" s="57"/>
      <c r="AG1250" s="58"/>
      <c r="AH1250" s="217" t="s">
        <v>697</v>
      </c>
      <c r="AI1250" s="217"/>
      <c r="AJ1250" s="217"/>
      <c r="AK1250" s="217"/>
      <c r="AL1250" s="217"/>
      <c r="AM1250" s="217"/>
      <c r="AN1250" s="225"/>
    </row>
    <row r="1251" spans="2:40" ht="6.95" customHeight="1" x14ac:dyDescent="0.25">
      <c r="B1251" s="59"/>
      <c r="J1251" s="60"/>
      <c r="L1251" s="59"/>
      <c r="T1251" s="60"/>
      <c r="V1251" s="59"/>
      <c r="AD1251" s="60"/>
      <c r="AF1251" s="59"/>
      <c r="AN1251" s="60"/>
    </row>
    <row r="1252" spans="2:40" ht="18" customHeight="1" x14ac:dyDescent="0.25">
      <c r="B1252" s="61"/>
      <c r="C1252" s="214" t="s">
        <v>698</v>
      </c>
      <c r="D1252" s="215"/>
      <c r="E1252" s="216"/>
      <c r="F1252" s="62"/>
      <c r="G1252" s="214" t="s">
        <v>1533</v>
      </c>
      <c r="H1252" s="215"/>
      <c r="I1252" s="216"/>
      <c r="J1252" s="63"/>
      <c r="L1252" s="61"/>
      <c r="M1252" s="214" t="s">
        <v>698</v>
      </c>
      <c r="N1252" s="215"/>
      <c r="O1252" s="216"/>
      <c r="P1252" s="62"/>
      <c r="Q1252" s="214" t="s">
        <v>1534</v>
      </c>
      <c r="R1252" s="215"/>
      <c r="S1252" s="216"/>
      <c r="T1252" s="63"/>
      <c r="V1252" s="61"/>
      <c r="W1252" s="214" t="s">
        <v>698</v>
      </c>
      <c r="X1252" s="215"/>
      <c r="Y1252" s="216"/>
      <c r="Z1252" s="62"/>
      <c r="AA1252" s="214" t="s">
        <v>1535</v>
      </c>
      <c r="AB1252" s="215"/>
      <c r="AC1252" s="216"/>
      <c r="AD1252" s="63"/>
      <c r="AF1252" s="61"/>
      <c r="AG1252" s="214" t="s">
        <v>698</v>
      </c>
      <c r="AH1252" s="215"/>
      <c r="AI1252" s="216"/>
      <c r="AJ1252" s="62"/>
      <c r="AK1252" s="214" t="s">
        <v>1536</v>
      </c>
      <c r="AL1252" s="215"/>
      <c r="AM1252" s="216"/>
      <c r="AN1252" s="63"/>
    </row>
    <row r="1253" spans="2:40" ht="6.95" customHeight="1" x14ac:dyDescent="0.25">
      <c r="B1253" s="59"/>
      <c r="C1253" s="62"/>
      <c r="D1253" s="62"/>
      <c r="E1253" s="62"/>
      <c r="F1253" s="62"/>
      <c r="G1253" s="62"/>
      <c r="H1253" s="62"/>
      <c r="I1253" s="62"/>
      <c r="J1253" s="60"/>
      <c r="L1253" s="59"/>
      <c r="M1253" s="62"/>
      <c r="N1253" s="62"/>
      <c r="O1253" s="62"/>
      <c r="P1253" s="62"/>
      <c r="Q1253" s="62"/>
      <c r="R1253" s="62"/>
      <c r="S1253" s="62"/>
      <c r="T1253" s="60"/>
      <c r="V1253" s="59"/>
      <c r="W1253" s="62"/>
      <c r="X1253" s="62"/>
      <c r="Y1253" s="62"/>
      <c r="Z1253" s="62"/>
      <c r="AA1253" s="62"/>
      <c r="AB1253" s="62"/>
      <c r="AC1253" s="62"/>
      <c r="AD1253" s="60"/>
      <c r="AF1253" s="59"/>
      <c r="AG1253" s="62"/>
      <c r="AH1253" s="62"/>
      <c r="AI1253" s="62"/>
      <c r="AJ1253" s="62"/>
      <c r="AK1253" s="62"/>
      <c r="AL1253" s="62"/>
      <c r="AM1253" s="62"/>
      <c r="AN1253" s="60"/>
    </row>
    <row r="1254" spans="2:40" ht="18" customHeight="1" x14ac:dyDescent="0.25">
      <c r="B1254" s="61"/>
      <c r="C1254" s="214" t="s">
        <v>699</v>
      </c>
      <c r="D1254" s="215"/>
      <c r="E1254" s="216"/>
      <c r="F1254" s="62"/>
      <c r="G1254" s="214" t="s">
        <v>1639</v>
      </c>
      <c r="H1254" s="215"/>
      <c r="I1254" s="216"/>
      <c r="J1254" s="63"/>
      <c r="L1254" s="61"/>
      <c r="M1254" s="214" t="s">
        <v>699</v>
      </c>
      <c r="N1254" s="215"/>
      <c r="O1254" s="216"/>
      <c r="P1254" s="62"/>
      <c r="Q1254" s="214" t="s">
        <v>1639</v>
      </c>
      <c r="R1254" s="215"/>
      <c r="S1254" s="216"/>
      <c r="T1254" s="63"/>
      <c r="V1254" s="61"/>
      <c r="W1254" s="214" t="s">
        <v>699</v>
      </c>
      <c r="X1254" s="215"/>
      <c r="Y1254" s="216"/>
      <c r="Z1254" s="62"/>
      <c r="AA1254" s="214" t="s">
        <v>1639</v>
      </c>
      <c r="AB1254" s="215"/>
      <c r="AC1254" s="216"/>
      <c r="AD1254" s="63"/>
      <c r="AF1254" s="61"/>
      <c r="AG1254" s="214" t="s">
        <v>699</v>
      </c>
      <c r="AH1254" s="215"/>
      <c r="AI1254" s="216"/>
      <c r="AJ1254" s="62"/>
      <c r="AK1254" s="214" t="s">
        <v>1641</v>
      </c>
      <c r="AL1254" s="215"/>
      <c r="AM1254" s="216"/>
      <c r="AN1254" s="63"/>
    </row>
    <row r="1255" spans="2:40" ht="6.95" customHeight="1" x14ac:dyDescent="0.25">
      <c r="B1255" s="59"/>
      <c r="C1255" s="62"/>
      <c r="D1255" s="62"/>
      <c r="E1255" s="62"/>
      <c r="F1255" s="62"/>
      <c r="G1255" s="62"/>
      <c r="H1255" s="62"/>
      <c r="I1255" s="62"/>
      <c r="J1255" s="60"/>
      <c r="L1255" s="59"/>
      <c r="M1255" s="62"/>
      <c r="N1255" s="62"/>
      <c r="O1255" s="62"/>
      <c r="P1255" s="62"/>
      <c r="Q1255" s="62"/>
      <c r="R1255" s="62"/>
      <c r="S1255" s="62"/>
      <c r="T1255" s="60"/>
      <c r="V1255" s="59"/>
      <c r="W1255" s="62"/>
      <c r="X1255" s="62"/>
      <c r="Y1255" s="62"/>
      <c r="Z1255" s="62"/>
      <c r="AA1255" s="62"/>
      <c r="AB1255" s="62"/>
      <c r="AC1255" s="62"/>
      <c r="AD1255" s="60"/>
      <c r="AF1255" s="59"/>
      <c r="AG1255" s="62"/>
      <c r="AH1255" s="62"/>
      <c r="AI1255" s="62"/>
      <c r="AJ1255" s="62"/>
      <c r="AK1255" s="62"/>
      <c r="AL1255" s="62"/>
      <c r="AM1255" s="62"/>
      <c r="AN1255" s="60"/>
    </row>
    <row r="1256" spans="2:40" ht="18" customHeight="1" x14ac:dyDescent="0.25">
      <c r="B1256" s="61"/>
      <c r="C1256" s="214" t="s">
        <v>701</v>
      </c>
      <c r="D1256" s="215"/>
      <c r="E1256" s="216"/>
      <c r="F1256" s="62"/>
      <c r="G1256" s="214" t="s">
        <v>986</v>
      </c>
      <c r="H1256" s="215"/>
      <c r="I1256" s="216"/>
      <c r="J1256" s="63"/>
      <c r="L1256" s="61"/>
      <c r="M1256" s="214" t="s">
        <v>701</v>
      </c>
      <c r="N1256" s="215"/>
      <c r="O1256" s="216"/>
      <c r="P1256" s="62"/>
      <c r="Q1256" s="214" t="s">
        <v>986</v>
      </c>
      <c r="R1256" s="215"/>
      <c r="S1256" s="216"/>
      <c r="T1256" s="63"/>
      <c r="V1256" s="61"/>
      <c r="W1256" s="214" t="s">
        <v>701</v>
      </c>
      <c r="X1256" s="215"/>
      <c r="Y1256" s="216"/>
      <c r="Z1256" s="62"/>
      <c r="AA1256" s="214" t="s">
        <v>986</v>
      </c>
      <c r="AB1256" s="215"/>
      <c r="AC1256" s="216"/>
      <c r="AD1256" s="63"/>
      <c r="AF1256" s="61"/>
      <c r="AG1256" s="214" t="s">
        <v>701</v>
      </c>
      <c r="AH1256" s="215"/>
      <c r="AI1256" s="216"/>
      <c r="AJ1256" s="62"/>
      <c r="AK1256" s="214" t="s">
        <v>729</v>
      </c>
      <c r="AL1256" s="215"/>
      <c r="AM1256" s="216"/>
      <c r="AN1256" s="63"/>
    </row>
    <row r="1257" spans="2:40" ht="6.95" customHeight="1" x14ac:dyDescent="0.25">
      <c r="B1257" s="59"/>
      <c r="C1257" s="62"/>
      <c r="D1257" s="62"/>
      <c r="E1257" s="62"/>
      <c r="F1257" s="62"/>
      <c r="G1257" s="62"/>
      <c r="H1257" s="62"/>
      <c r="I1257" s="62"/>
      <c r="J1257" s="60"/>
      <c r="L1257" s="59"/>
      <c r="M1257" s="62"/>
      <c r="N1257" s="62"/>
      <c r="O1257" s="62"/>
      <c r="P1257" s="62"/>
      <c r="Q1257" s="62"/>
      <c r="R1257" s="62"/>
      <c r="S1257" s="62"/>
      <c r="T1257" s="60"/>
      <c r="V1257" s="59"/>
      <c r="W1257" s="62"/>
      <c r="X1257" s="62"/>
      <c r="Y1257" s="62"/>
      <c r="Z1257" s="62"/>
      <c r="AA1257" s="62"/>
      <c r="AB1257" s="62"/>
      <c r="AC1257" s="62"/>
      <c r="AD1257" s="60"/>
      <c r="AF1257" s="59"/>
      <c r="AG1257" s="62"/>
      <c r="AH1257" s="62"/>
      <c r="AI1257" s="62"/>
      <c r="AJ1257" s="62"/>
      <c r="AK1257" s="62"/>
      <c r="AL1257" s="62"/>
      <c r="AM1257" s="62"/>
      <c r="AN1257" s="60"/>
    </row>
    <row r="1258" spans="2:40" ht="18" customHeight="1" x14ac:dyDescent="0.25">
      <c r="B1258" s="61"/>
      <c r="C1258" s="214" t="s">
        <v>703</v>
      </c>
      <c r="D1258" s="215"/>
      <c r="E1258" s="216"/>
      <c r="F1258" s="62"/>
      <c r="G1258" s="214" t="s">
        <v>109</v>
      </c>
      <c r="H1258" s="215"/>
      <c r="I1258" s="216"/>
      <c r="J1258" s="63"/>
      <c r="L1258" s="61"/>
      <c r="M1258" s="214" t="s">
        <v>703</v>
      </c>
      <c r="N1258" s="215"/>
      <c r="O1258" s="216"/>
      <c r="P1258" s="62"/>
      <c r="Q1258" s="214" t="s">
        <v>109</v>
      </c>
      <c r="R1258" s="215"/>
      <c r="S1258" s="216"/>
      <c r="T1258" s="63"/>
      <c r="V1258" s="61"/>
      <c r="W1258" s="214" t="s">
        <v>703</v>
      </c>
      <c r="X1258" s="215"/>
      <c r="Y1258" s="216"/>
      <c r="Z1258" s="62"/>
      <c r="AA1258" s="214" t="s">
        <v>109</v>
      </c>
      <c r="AB1258" s="215"/>
      <c r="AC1258" s="216"/>
      <c r="AD1258" s="63"/>
      <c r="AF1258" s="61"/>
      <c r="AG1258" s="214" t="s">
        <v>703</v>
      </c>
      <c r="AH1258" s="215"/>
      <c r="AI1258" s="216"/>
      <c r="AJ1258" s="62"/>
      <c r="AK1258" s="214" t="s">
        <v>109</v>
      </c>
      <c r="AL1258" s="215"/>
      <c r="AM1258" s="216"/>
      <c r="AN1258" s="63"/>
    </row>
    <row r="1259" spans="2:40" ht="6.95" customHeight="1" x14ac:dyDescent="0.25">
      <c r="B1259" s="59"/>
      <c r="C1259" s="62"/>
      <c r="D1259" s="62"/>
      <c r="E1259" s="62"/>
      <c r="F1259" s="62"/>
      <c r="G1259" s="62"/>
      <c r="H1259" s="62"/>
      <c r="I1259" s="62"/>
      <c r="J1259" s="60"/>
      <c r="L1259" s="59"/>
      <c r="M1259" s="62"/>
      <c r="N1259" s="62"/>
      <c r="O1259" s="62"/>
      <c r="P1259" s="62"/>
      <c r="Q1259" s="62"/>
      <c r="R1259" s="62"/>
      <c r="S1259" s="62"/>
      <c r="T1259" s="60"/>
      <c r="V1259" s="59"/>
      <c r="W1259" s="62"/>
      <c r="X1259" s="62"/>
      <c r="Y1259" s="62"/>
      <c r="Z1259" s="62"/>
      <c r="AA1259" s="62"/>
      <c r="AB1259" s="62"/>
      <c r="AC1259" s="62"/>
      <c r="AD1259" s="60"/>
      <c r="AF1259" s="59"/>
      <c r="AG1259" s="62"/>
      <c r="AH1259" s="62"/>
      <c r="AI1259" s="62"/>
      <c r="AJ1259" s="62"/>
      <c r="AK1259" s="62"/>
      <c r="AL1259" s="62"/>
      <c r="AM1259" s="62"/>
      <c r="AN1259" s="60"/>
    </row>
    <row r="1260" spans="2:40" ht="18" customHeight="1" x14ac:dyDescent="0.25">
      <c r="B1260" s="61"/>
      <c r="C1260" s="214" t="s">
        <v>705</v>
      </c>
      <c r="D1260" s="215"/>
      <c r="E1260" s="216"/>
      <c r="F1260" s="62"/>
      <c r="G1260" s="214" t="s">
        <v>109</v>
      </c>
      <c r="H1260" s="215"/>
      <c r="I1260" s="216"/>
      <c r="J1260" s="63"/>
      <c r="L1260" s="61"/>
      <c r="M1260" s="214" t="s">
        <v>705</v>
      </c>
      <c r="N1260" s="215"/>
      <c r="O1260" s="216"/>
      <c r="P1260" s="62"/>
      <c r="Q1260" s="214" t="s">
        <v>109</v>
      </c>
      <c r="R1260" s="215"/>
      <c r="S1260" s="216"/>
      <c r="T1260" s="63"/>
      <c r="V1260" s="61"/>
      <c r="W1260" s="214" t="s">
        <v>705</v>
      </c>
      <c r="X1260" s="215"/>
      <c r="Y1260" s="216"/>
      <c r="Z1260" s="62"/>
      <c r="AA1260" s="214" t="s">
        <v>109</v>
      </c>
      <c r="AB1260" s="215"/>
      <c r="AC1260" s="216"/>
      <c r="AD1260" s="63"/>
      <c r="AF1260" s="61"/>
      <c r="AG1260" s="214" t="s">
        <v>705</v>
      </c>
      <c r="AH1260" s="215"/>
      <c r="AI1260" s="216"/>
      <c r="AJ1260" s="62"/>
      <c r="AK1260" s="214" t="s">
        <v>109</v>
      </c>
      <c r="AL1260" s="215"/>
      <c r="AM1260" s="216"/>
      <c r="AN1260" s="63"/>
    </row>
    <row r="1261" spans="2:40" ht="6.95" customHeight="1" x14ac:dyDescent="0.25">
      <c r="B1261" s="59"/>
      <c r="C1261" s="62"/>
      <c r="D1261" s="62"/>
      <c r="E1261" s="62"/>
      <c r="F1261" s="62"/>
      <c r="G1261" s="62"/>
      <c r="H1261" s="62"/>
      <c r="I1261" s="62"/>
      <c r="J1261" s="60"/>
      <c r="L1261" s="59"/>
      <c r="M1261" s="62"/>
      <c r="N1261" s="62"/>
      <c r="O1261" s="62"/>
      <c r="P1261" s="62"/>
      <c r="Q1261" s="62"/>
      <c r="R1261" s="62"/>
      <c r="S1261" s="62"/>
      <c r="T1261" s="60"/>
      <c r="V1261" s="59"/>
      <c r="W1261" s="62"/>
      <c r="X1261" s="62"/>
      <c r="Y1261" s="62"/>
      <c r="Z1261" s="62"/>
      <c r="AA1261" s="62"/>
      <c r="AB1261" s="62"/>
      <c r="AC1261" s="62"/>
      <c r="AD1261" s="60"/>
      <c r="AF1261" s="59"/>
      <c r="AG1261" s="62"/>
      <c r="AH1261" s="62"/>
      <c r="AI1261" s="62"/>
      <c r="AJ1261" s="62"/>
      <c r="AK1261" s="62"/>
      <c r="AL1261" s="62"/>
      <c r="AM1261" s="62"/>
      <c r="AN1261" s="60"/>
    </row>
    <row r="1262" spans="2:40" ht="18" customHeight="1" x14ac:dyDescent="0.25">
      <c r="B1262" s="61"/>
      <c r="C1262" s="214" t="s">
        <v>708</v>
      </c>
      <c r="D1262" s="215"/>
      <c r="E1262" s="216"/>
      <c r="F1262" s="62"/>
      <c r="G1262" s="214" t="s">
        <v>109</v>
      </c>
      <c r="H1262" s="215"/>
      <c r="I1262" s="216"/>
      <c r="J1262" s="63"/>
      <c r="L1262" s="61"/>
      <c r="M1262" s="214" t="s">
        <v>708</v>
      </c>
      <c r="N1262" s="215"/>
      <c r="O1262" s="216"/>
      <c r="P1262" s="62"/>
      <c r="Q1262" s="214" t="s">
        <v>109</v>
      </c>
      <c r="R1262" s="215"/>
      <c r="S1262" s="216"/>
      <c r="T1262" s="63"/>
      <c r="V1262" s="61"/>
      <c r="W1262" s="214" t="s">
        <v>708</v>
      </c>
      <c r="X1262" s="215"/>
      <c r="Y1262" s="216"/>
      <c r="Z1262" s="62"/>
      <c r="AA1262" s="214" t="s">
        <v>109</v>
      </c>
      <c r="AB1262" s="215"/>
      <c r="AC1262" s="216"/>
      <c r="AD1262" s="63"/>
      <c r="AF1262" s="61"/>
      <c r="AG1262" s="214" t="s">
        <v>708</v>
      </c>
      <c r="AH1262" s="215"/>
      <c r="AI1262" s="216"/>
      <c r="AJ1262" s="62"/>
      <c r="AK1262" s="214" t="s">
        <v>109</v>
      </c>
      <c r="AL1262" s="215"/>
      <c r="AM1262" s="216"/>
      <c r="AN1262" s="63"/>
    </row>
    <row r="1263" spans="2:40" ht="6.95" customHeight="1" x14ac:dyDescent="0.25">
      <c r="B1263" s="59"/>
      <c r="C1263" s="62"/>
      <c r="D1263" s="62"/>
      <c r="E1263" s="62"/>
      <c r="F1263" s="62"/>
      <c r="G1263" s="62"/>
      <c r="H1263" s="62"/>
      <c r="I1263" s="62"/>
      <c r="J1263" s="60"/>
      <c r="L1263" s="59"/>
      <c r="M1263" s="62"/>
      <c r="N1263" s="62"/>
      <c r="O1263" s="62"/>
      <c r="P1263" s="62"/>
      <c r="Q1263" s="62"/>
      <c r="R1263" s="62"/>
      <c r="S1263" s="62"/>
      <c r="T1263" s="60"/>
      <c r="V1263" s="59"/>
      <c r="W1263" s="62"/>
      <c r="X1263" s="62"/>
      <c r="Y1263" s="62"/>
      <c r="Z1263" s="62"/>
      <c r="AA1263" s="62"/>
      <c r="AB1263" s="62"/>
      <c r="AC1263" s="62"/>
      <c r="AD1263" s="60"/>
      <c r="AF1263" s="59"/>
      <c r="AG1263" s="62"/>
      <c r="AH1263" s="62"/>
      <c r="AI1263" s="62"/>
      <c r="AJ1263" s="62"/>
      <c r="AK1263" s="62"/>
      <c r="AL1263" s="62"/>
      <c r="AM1263" s="62"/>
      <c r="AN1263" s="60"/>
    </row>
    <row r="1264" spans="2:40" ht="18" customHeight="1" x14ac:dyDescent="0.25">
      <c r="B1264" s="61"/>
      <c r="C1264" s="214" t="s">
        <v>711</v>
      </c>
      <c r="D1264" s="215"/>
      <c r="E1264" s="216"/>
      <c r="F1264" s="62"/>
      <c r="G1264" s="214" t="s">
        <v>712</v>
      </c>
      <c r="H1264" s="215"/>
      <c r="I1264" s="216"/>
      <c r="J1264" s="63"/>
      <c r="L1264" s="61"/>
      <c r="M1264" s="214" t="s">
        <v>711</v>
      </c>
      <c r="N1264" s="215"/>
      <c r="O1264" s="216"/>
      <c r="P1264" s="62"/>
      <c r="Q1264" s="214" t="s">
        <v>712</v>
      </c>
      <c r="R1264" s="215"/>
      <c r="S1264" s="216"/>
      <c r="T1264" s="63"/>
      <c r="V1264" s="61"/>
      <c r="W1264" s="214" t="s">
        <v>711</v>
      </c>
      <c r="X1264" s="215"/>
      <c r="Y1264" s="216"/>
      <c r="Z1264" s="62"/>
      <c r="AA1264" s="214" t="s">
        <v>712</v>
      </c>
      <c r="AB1264" s="215"/>
      <c r="AC1264" s="216"/>
      <c r="AD1264" s="63"/>
      <c r="AF1264" s="61"/>
      <c r="AG1264" s="214" t="s">
        <v>711</v>
      </c>
      <c r="AH1264" s="215"/>
      <c r="AI1264" s="216"/>
      <c r="AJ1264" s="62"/>
      <c r="AK1264" s="214" t="s">
        <v>712</v>
      </c>
      <c r="AL1264" s="215"/>
      <c r="AM1264" s="216"/>
      <c r="AN1264" s="63"/>
    </row>
    <row r="1265" spans="1:40" ht="6.95" customHeight="1" x14ac:dyDescent="0.25">
      <c r="B1265" s="59"/>
      <c r="C1265" s="62"/>
      <c r="D1265" s="62"/>
      <c r="E1265" s="62"/>
      <c r="F1265" s="62"/>
      <c r="G1265" s="62"/>
      <c r="H1265" s="62"/>
      <c r="I1265" s="62"/>
      <c r="J1265" s="60"/>
      <c r="L1265" s="59"/>
      <c r="M1265" s="62"/>
      <c r="N1265" s="62"/>
      <c r="O1265" s="62"/>
      <c r="P1265" s="62"/>
      <c r="Q1265" s="62"/>
      <c r="R1265" s="62"/>
      <c r="S1265" s="62"/>
      <c r="T1265" s="60"/>
      <c r="V1265" s="59"/>
      <c r="W1265" s="62"/>
      <c r="X1265" s="62"/>
      <c r="Y1265" s="62"/>
      <c r="Z1265" s="62"/>
      <c r="AA1265" s="62"/>
      <c r="AB1265" s="62"/>
      <c r="AC1265" s="62"/>
      <c r="AD1265" s="60"/>
      <c r="AF1265" s="59"/>
      <c r="AG1265" s="62"/>
      <c r="AH1265" s="62"/>
      <c r="AI1265" s="62"/>
      <c r="AJ1265" s="62"/>
      <c r="AK1265" s="62"/>
      <c r="AL1265" s="62"/>
      <c r="AM1265" s="62"/>
      <c r="AN1265" s="60"/>
    </row>
    <row r="1266" spans="1:40" ht="18" customHeight="1" x14ac:dyDescent="0.25">
      <c r="A1266" t="s">
        <v>1537</v>
      </c>
      <c r="B1266" s="61"/>
      <c r="C1266" s="214" t="s">
        <v>1273</v>
      </c>
      <c r="D1266" s="215"/>
      <c r="E1266" s="216"/>
      <c r="F1266" s="62"/>
      <c r="G1266" s="214" t="s">
        <v>1538</v>
      </c>
      <c r="H1266" s="215"/>
      <c r="I1266" s="216"/>
      <c r="J1266" s="63"/>
      <c r="L1266" s="61"/>
      <c r="M1266" s="214" t="s">
        <v>1273</v>
      </c>
      <c r="N1266" s="215"/>
      <c r="O1266" s="216"/>
      <c r="P1266" s="62"/>
      <c r="Q1266" s="214" t="s">
        <v>1539</v>
      </c>
      <c r="R1266" s="215"/>
      <c r="S1266" s="216"/>
      <c r="T1266" s="63"/>
      <c r="V1266" s="61"/>
      <c r="W1266" s="214" t="s">
        <v>1273</v>
      </c>
      <c r="X1266" s="215"/>
      <c r="Y1266" s="216"/>
      <c r="Z1266" s="62"/>
      <c r="AA1266" s="214" t="s">
        <v>1540</v>
      </c>
      <c r="AB1266" s="215"/>
      <c r="AC1266" s="216"/>
      <c r="AD1266" s="63"/>
      <c r="AF1266" s="61"/>
      <c r="AG1266" s="214" t="s">
        <v>1273</v>
      </c>
      <c r="AH1266" s="215"/>
      <c r="AI1266" s="216"/>
      <c r="AJ1266" s="62"/>
      <c r="AK1266" s="214" t="s">
        <v>1541</v>
      </c>
      <c r="AL1266" s="215"/>
      <c r="AM1266" s="216"/>
      <c r="AN1266" s="63"/>
    </row>
    <row r="1267" spans="1:40" ht="6.95" customHeight="1" x14ac:dyDescent="0.25">
      <c r="B1267" s="59"/>
      <c r="C1267" s="62"/>
      <c r="D1267" s="62"/>
      <c r="E1267" s="62"/>
      <c r="F1267" s="62"/>
      <c r="G1267" s="62"/>
      <c r="H1267" s="62"/>
      <c r="I1267" s="62"/>
      <c r="J1267" s="60"/>
      <c r="L1267" s="59"/>
      <c r="M1267" s="62"/>
      <c r="N1267" s="62"/>
      <c r="O1267" s="62"/>
      <c r="P1267" s="62"/>
      <c r="Q1267" s="62"/>
      <c r="R1267" s="62"/>
      <c r="S1267" s="62"/>
      <c r="T1267" s="60"/>
      <c r="V1267" s="59"/>
      <c r="W1267" s="62"/>
      <c r="X1267" s="62"/>
      <c r="Y1267" s="62"/>
      <c r="Z1267" s="62"/>
      <c r="AA1267" s="62"/>
      <c r="AB1267" s="62"/>
      <c r="AC1267" s="62"/>
      <c r="AD1267" s="60"/>
      <c r="AF1267" s="59"/>
      <c r="AG1267" s="62"/>
      <c r="AH1267" s="62"/>
      <c r="AI1267" s="62"/>
      <c r="AJ1267" s="62"/>
      <c r="AK1267" s="62"/>
      <c r="AL1267" s="62"/>
      <c r="AM1267" s="62"/>
      <c r="AN1267" s="60"/>
    </row>
    <row r="1268" spans="1:40" ht="18" customHeight="1" x14ac:dyDescent="0.25">
      <c r="B1268" s="61"/>
      <c r="C1268" s="214" t="s">
        <v>713</v>
      </c>
      <c r="D1268" s="215"/>
      <c r="E1268" s="216"/>
      <c r="F1268" s="62"/>
      <c r="G1268" s="220" t="s">
        <v>1293</v>
      </c>
      <c r="H1268" s="220"/>
      <c r="I1268" s="220"/>
      <c r="J1268" s="63"/>
      <c r="L1268" s="61"/>
      <c r="M1268" s="214" t="s">
        <v>713</v>
      </c>
      <c r="N1268" s="215"/>
      <c r="O1268" s="216"/>
      <c r="P1268" s="62"/>
      <c r="Q1268" s="220" t="s">
        <v>1293</v>
      </c>
      <c r="R1268" s="220"/>
      <c r="S1268" s="220"/>
      <c r="T1268" s="63"/>
      <c r="V1268" s="61"/>
      <c r="W1268" s="214" t="s">
        <v>713</v>
      </c>
      <c r="X1268" s="215"/>
      <c r="Y1268" s="216"/>
      <c r="Z1268" s="62"/>
      <c r="AA1268" s="220" t="s">
        <v>1293</v>
      </c>
      <c r="AB1268" s="220"/>
      <c r="AC1268" s="220"/>
      <c r="AD1268" s="63"/>
      <c r="AF1268" s="61"/>
      <c r="AG1268" s="214" t="s">
        <v>713</v>
      </c>
      <c r="AH1268" s="215"/>
      <c r="AI1268" s="216"/>
      <c r="AJ1268" s="62"/>
      <c r="AK1268" s="220" t="s">
        <v>1293</v>
      </c>
      <c r="AL1268" s="220"/>
      <c r="AM1268" s="220"/>
      <c r="AN1268" s="63"/>
    </row>
    <row r="1269" spans="1:40" ht="6.95" customHeight="1" x14ac:dyDescent="0.25">
      <c r="B1269" s="59"/>
      <c r="C1269" s="128"/>
      <c r="D1269" s="128"/>
      <c r="E1269" s="128"/>
      <c r="F1269" s="62"/>
      <c r="G1269" s="128"/>
      <c r="H1269" s="128"/>
      <c r="I1269" s="128"/>
      <c r="J1269" s="63"/>
      <c r="L1269" s="59"/>
      <c r="M1269" s="128"/>
      <c r="N1269" s="128"/>
      <c r="O1269" s="128"/>
      <c r="P1269" s="62"/>
      <c r="Q1269" s="128"/>
      <c r="R1269" s="128"/>
      <c r="S1269" s="128"/>
      <c r="T1269" s="63"/>
      <c r="V1269" s="59"/>
      <c r="W1269" s="128"/>
      <c r="X1269" s="128"/>
      <c r="Y1269" s="128"/>
      <c r="Z1269" s="62"/>
      <c r="AA1269" s="128"/>
      <c r="AB1269" s="128"/>
      <c r="AC1269" s="128"/>
      <c r="AD1269" s="63"/>
      <c r="AF1269" s="59"/>
      <c r="AG1269" s="128"/>
      <c r="AH1269" s="128"/>
      <c r="AI1269" s="128"/>
      <c r="AJ1269" s="62"/>
      <c r="AK1269" s="128"/>
      <c r="AL1269" s="128"/>
      <c r="AM1269" s="128"/>
      <c r="AN1269" s="63"/>
    </row>
    <row r="1270" spans="1:40" ht="18" customHeight="1" x14ac:dyDescent="0.25">
      <c r="B1270" s="59"/>
      <c r="C1270" s="220" t="s">
        <v>715</v>
      </c>
      <c r="D1270" s="220"/>
      <c r="E1270" s="220"/>
      <c r="F1270" s="62"/>
      <c r="G1270" s="220" t="s">
        <v>1270</v>
      </c>
      <c r="H1270" s="220"/>
      <c r="I1270" s="220"/>
      <c r="J1270" s="63"/>
      <c r="L1270" s="59"/>
      <c r="M1270" s="220" t="s">
        <v>715</v>
      </c>
      <c r="N1270" s="220"/>
      <c r="O1270" s="220"/>
      <c r="P1270" s="62"/>
      <c r="Q1270" s="220" t="s">
        <v>1270</v>
      </c>
      <c r="R1270" s="220"/>
      <c r="S1270" s="220"/>
      <c r="T1270" s="63"/>
      <c r="V1270" s="59"/>
      <c r="W1270" s="220" t="s">
        <v>715</v>
      </c>
      <c r="X1270" s="220"/>
      <c r="Y1270" s="220"/>
      <c r="Z1270" s="62"/>
      <c r="AA1270" s="220" t="s">
        <v>1270</v>
      </c>
      <c r="AB1270" s="220"/>
      <c r="AC1270" s="220"/>
      <c r="AD1270" s="63"/>
      <c r="AF1270" s="59"/>
      <c r="AG1270" s="220" t="s">
        <v>715</v>
      </c>
      <c r="AH1270" s="220"/>
      <c r="AI1270" s="220"/>
      <c r="AJ1270" s="62"/>
      <c r="AK1270" s="220" t="s">
        <v>1270</v>
      </c>
      <c r="AL1270" s="220"/>
      <c r="AM1270" s="220"/>
      <c r="AN1270" s="63"/>
    </row>
    <row r="1271" spans="1:40" ht="6.95" customHeight="1" thickBot="1" x14ac:dyDescent="0.3">
      <c r="B1271" s="64"/>
      <c r="C1271" s="65"/>
      <c r="D1271" s="65"/>
      <c r="E1271" s="65"/>
      <c r="F1271" s="65"/>
      <c r="G1271" s="65"/>
      <c r="H1271" s="65"/>
      <c r="I1271" s="65"/>
      <c r="J1271" s="66"/>
      <c r="L1271" s="64"/>
      <c r="M1271" s="65"/>
      <c r="N1271" s="65"/>
      <c r="O1271" s="65"/>
      <c r="P1271" s="65"/>
      <c r="Q1271" s="65"/>
      <c r="R1271" s="65"/>
      <c r="S1271" s="65"/>
      <c r="T1271" s="66"/>
      <c r="V1271" s="64"/>
      <c r="W1271" s="65"/>
      <c r="X1271" s="65"/>
      <c r="Y1271" s="65"/>
      <c r="Z1271" s="65"/>
      <c r="AA1271" s="65"/>
      <c r="AB1271" s="65"/>
      <c r="AC1271" s="65"/>
      <c r="AD1271" s="66"/>
      <c r="AF1271" s="64"/>
      <c r="AG1271" s="65"/>
      <c r="AH1271" s="65"/>
      <c r="AI1271" s="65"/>
      <c r="AJ1271" s="65"/>
      <c r="AK1271" s="65"/>
      <c r="AL1271" s="65"/>
      <c r="AM1271" s="65"/>
      <c r="AN1271" s="66"/>
    </row>
    <row r="1272" spans="1:40" ht="32.1" customHeight="1" thickTop="1" x14ac:dyDescent="0.25">
      <c r="B1272" s="57"/>
      <c r="C1272" s="58"/>
      <c r="D1272" s="217" t="s">
        <v>697</v>
      </c>
      <c r="E1272" s="218"/>
      <c r="F1272" s="218"/>
      <c r="G1272" s="218"/>
      <c r="H1272" s="218"/>
      <c r="I1272" s="218"/>
      <c r="J1272" s="219"/>
      <c r="L1272" s="57"/>
      <c r="M1272" s="58"/>
      <c r="N1272" s="217" t="s">
        <v>697</v>
      </c>
      <c r="O1272" s="218"/>
      <c r="P1272" s="218"/>
      <c r="Q1272" s="218"/>
      <c r="R1272" s="218"/>
      <c r="S1272" s="218"/>
      <c r="T1272" s="219"/>
      <c r="V1272" s="57"/>
      <c r="W1272" s="58"/>
      <c r="X1272" s="217" t="s">
        <v>697</v>
      </c>
      <c r="Y1272" s="217"/>
      <c r="Z1272" s="217"/>
      <c r="AA1272" s="217"/>
      <c r="AB1272" s="217"/>
      <c r="AC1272" s="217"/>
      <c r="AD1272" s="225"/>
      <c r="AF1272" s="57"/>
      <c r="AG1272" s="58"/>
      <c r="AH1272" s="217" t="s">
        <v>697</v>
      </c>
      <c r="AI1272" s="217"/>
      <c r="AJ1272" s="217"/>
      <c r="AK1272" s="217"/>
      <c r="AL1272" s="217"/>
      <c r="AM1272" s="217"/>
      <c r="AN1272" s="225"/>
    </row>
    <row r="1273" spans="1:40" ht="6.95" customHeight="1" x14ac:dyDescent="0.25">
      <c r="B1273" s="59"/>
      <c r="J1273" s="60"/>
      <c r="L1273" s="59"/>
      <c r="T1273" s="60"/>
      <c r="V1273" s="59"/>
      <c r="AD1273" s="60"/>
      <c r="AF1273" s="59"/>
      <c r="AN1273" s="60"/>
    </row>
    <row r="1274" spans="1:40" ht="18" customHeight="1" x14ac:dyDescent="0.25">
      <c r="B1274" s="61"/>
      <c r="C1274" s="214" t="s">
        <v>698</v>
      </c>
      <c r="D1274" s="215"/>
      <c r="E1274" s="216"/>
      <c r="F1274" s="62"/>
      <c r="G1274" s="214" t="s">
        <v>1542</v>
      </c>
      <c r="H1274" s="215"/>
      <c r="I1274" s="216"/>
      <c r="J1274" s="63"/>
      <c r="L1274" s="61"/>
      <c r="M1274" s="214" t="s">
        <v>698</v>
      </c>
      <c r="N1274" s="215"/>
      <c r="O1274" s="216"/>
      <c r="P1274" s="62"/>
      <c r="Q1274" s="214" t="s">
        <v>1543</v>
      </c>
      <c r="R1274" s="215"/>
      <c r="S1274" s="216"/>
      <c r="T1274" s="63"/>
      <c r="V1274" s="61"/>
      <c r="W1274" s="214" t="s">
        <v>698</v>
      </c>
      <c r="X1274" s="215"/>
      <c r="Y1274" s="216"/>
      <c r="Z1274" s="62"/>
      <c r="AA1274" s="214" t="s">
        <v>1544</v>
      </c>
      <c r="AB1274" s="215"/>
      <c r="AC1274" s="216"/>
      <c r="AD1274" s="63"/>
      <c r="AF1274" s="61"/>
      <c r="AG1274" s="214" t="s">
        <v>698</v>
      </c>
      <c r="AH1274" s="215"/>
      <c r="AI1274" s="216"/>
      <c r="AJ1274" s="62"/>
      <c r="AK1274" s="214" t="s">
        <v>890</v>
      </c>
      <c r="AL1274" s="215"/>
      <c r="AM1274" s="216"/>
      <c r="AN1274" s="63"/>
    </row>
    <row r="1275" spans="1:40" ht="6.95" customHeight="1" x14ac:dyDescent="0.25">
      <c r="B1275" s="59"/>
      <c r="C1275" s="62"/>
      <c r="D1275" s="62"/>
      <c r="E1275" s="62"/>
      <c r="F1275" s="62"/>
      <c r="G1275" s="62"/>
      <c r="H1275" s="62"/>
      <c r="I1275" s="62"/>
      <c r="J1275" s="60"/>
      <c r="L1275" s="59"/>
      <c r="M1275" s="62"/>
      <c r="N1275" s="62"/>
      <c r="O1275" s="62"/>
      <c r="P1275" s="62"/>
      <c r="Q1275" s="62"/>
      <c r="R1275" s="62"/>
      <c r="S1275" s="62"/>
      <c r="T1275" s="60"/>
      <c r="V1275" s="59"/>
      <c r="W1275" s="62"/>
      <c r="X1275" s="62"/>
      <c r="Y1275" s="62"/>
      <c r="Z1275" s="62"/>
      <c r="AA1275" s="62"/>
      <c r="AB1275" s="62"/>
      <c r="AC1275" s="62"/>
      <c r="AD1275" s="60"/>
      <c r="AF1275" s="59"/>
      <c r="AG1275" s="62"/>
      <c r="AH1275" s="62"/>
      <c r="AI1275" s="62"/>
      <c r="AJ1275" s="62"/>
      <c r="AK1275" s="62"/>
      <c r="AL1275" s="62"/>
      <c r="AM1275" s="62"/>
      <c r="AN1275" s="60"/>
    </row>
    <row r="1276" spans="1:40" ht="18" customHeight="1" x14ac:dyDescent="0.25">
      <c r="B1276" s="61"/>
      <c r="C1276" s="214" t="s">
        <v>699</v>
      </c>
      <c r="D1276" s="215"/>
      <c r="E1276" s="216"/>
      <c r="F1276" s="62"/>
      <c r="G1276" s="214" t="s">
        <v>1639</v>
      </c>
      <c r="H1276" s="215"/>
      <c r="I1276" s="216"/>
      <c r="J1276" s="63"/>
      <c r="L1276" s="61"/>
      <c r="M1276" s="214" t="s">
        <v>699</v>
      </c>
      <c r="N1276" s="215"/>
      <c r="O1276" s="216"/>
      <c r="P1276" s="62"/>
      <c r="Q1276" s="214" t="s">
        <v>1639</v>
      </c>
      <c r="R1276" s="215"/>
      <c r="S1276" s="216"/>
      <c r="T1276" s="63"/>
      <c r="V1276" s="61"/>
      <c r="W1276" s="214" t="s">
        <v>699</v>
      </c>
      <c r="X1276" s="215"/>
      <c r="Y1276" s="216"/>
      <c r="Z1276" s="62"/>
      <c r="AA1276" s="214" t="s">
        <v>1639</v>
      </c>
      <c r="AB1276" s="215"/>
      <c r="AC1276" s="216"/>
      <c r="AD1276" s="63"/>
      <c r="AF1276" s="61"/>
      <c r="AG1276" s="214" t="s">
        <v>699</v>
      </c>
      <c r="AH1276" s="215"/>
      <c r="AI1276" s="216"/>
      <c r="AJ1276" s="62"/>
      <c r="AK1276" s="214" t="s">
        <v>1639</v>
      </c>
      <c r="AL1276" s="215"/>
      <c r="AM1276" s="216"/>
      <c r="AN1276" s="63"/>
    </row>
    <row r="1277" spans="1:40" ht="6.95" customHeight="1" x14ac:dyDescent="0.25">
      <c r="B1277" s="59"/>
      <c r="C1277" s="62"/>
      <c r="D1277" s="62"/>
      <c r="E1277" s="62"/>
      <c r="F1277" s="62"/>
      <c r="G1277" s="62"/>
      <c r="H1277" s="62"/>
      <c r="I1277" s="62"/>
      <c r="J1277" s="60"/>
      <c r="L1277" s="59"/>
      <c r="M1277" s="62"/>
      <c r="N1277" s="62"/>
      <c r="O1277" s="62"/>
      <c r="P1277" s="62"/>
      <c r="Q1277" s="62"/>
      <c r="R1277" s="62"/>
      <c r="S1277" s="62"/>
      <c r="T1277" s="60"/>
      <c r="V1277" s="59"/>
      <c r="W1277" s="62"/>
      <c r="X1277" s="62"/>
      <c r="Y1277" s="62"/>
      <c r="Z1277" s="62"/>
      <c r="AA1277" s="62"/>
      <c r="AB1277" s="62"/>
      <c r="AC1277" s="62"/>
      <c r="AD1277" s="60"/>
      <c r="AF1277" s="59"/>
      <c r="AG1277" s="62"/>
      <c r="AH1277" s="62"/>
      <c r="AI1277" s="62"/>
      <c r="AJ1277" s="62"/>
      <c r="AK1277" s="62"/>
      <c r="AL1277" s="62"/>
      <c r="AM1277" s="62"/>
      <c r="AN1277" s="60"/>
    </row>
    <row r="1278" spans="1:40" ht="18" customHeight="1" x14ac:dyDescent="0.25">
      <c r="B1278" s="61"/>
      <c r="C1278" s="214" t="s">
        <v>701</v>
      </c>
      <c r="D1278" s="215"/>
      <c r="E1278" s="216"/>
      <c r="F1278" s="62"/>
      <c r="G1278" s="214" t="s">
        <v>986</v>
      </c>
      <c r="H1278" s="215"/>
      <c r="I1278" s="216"/>
      <c r="J1278" s="63"/>
      <c r="L1278" s="61"/>
      <c r="M1278" s="214" t="s">
        <v>701</v>
      </c>
      <c r="N1278" s="215"/>
      <c r="O1278" s="216"/>
      <c r="P1278" s="62"/>
      <c r="Q1278" s="214" t="s">
        <v>986</v>
      </c>
      <c r="R1278" s="215"/>
      <c r="S1278" s="216"/>
      <c r="T1278" s="63"/>
      <c r="V1278" s="61"/>
      <c r="W1278" s="214" t="s">
        <v>701</v>
      </c>
      <c r="X1278" s="215"/>
      <c r="Y1278" s="216"/>
      <c r="Z1278" s="62"/>
      <c r="AA1278" s="214" t="s">
        <v>986</v>
      </c>
      <c r="AB1278" s="215"/>
      <c r="AC1278" s="216"/>
      <c r="AD1278" s="63"/>
      <c r="AF1278" s="61"/>
      <c r="AG1278" s="214" t="s">
        <v>701</v>
      </c>
      <c r="AH1278" s="215"/>
      <c r="AI1278" s="216"/>
      <c r="AJ1278" s="62"/>
      <c r="AK1278" s="214" t="s">
        <v>982</v>
      </c>
      <c r="AL1278" s="215"/>
      <c r="AM1278" s="216"/>
      <c r="AN1278" s="63"/>
    </row>
    <row r="1279" spans="1:40" ht="6.95" customHeight="1" x14ac:dyDescent="0.25">
      <c r="B1279" s="59"/>
      <c r="C1279" s="62"/>
      <c r="D1279" s="62"/>
      <c r="E1279" s="62"/>
      <c r="F1279" s="62"/>
      <c r="G1279" s="62"/>
      <c r="H1279" s="62"/>
      <c r="I1279" s="62"/>
      <c r="J1279" s="60"/>
      <c r="L1279" s="59"/>
      <c r="M1279" s="62"/>
      <c r="N1279" s="62"/>
      <c r="O1279" s="62"/>
      <c r="P1279" s="62"/>
      <c r="Q1279" s="62"/>
      <c r="R1279" s="62"/>
      <c r="S1279" s="62"/>
      <c r="T1279" s="60"/>
      <c r="V1279" s="59"/>
      <c r="W1279" s="62"/>
      <c r="X1279" s="62"/>
      <c r="Y1279" s="62"/>
      <c r="Z1279" s="62"/>
      <c r="AA1279" s="62"/>
      <c r="AB1279" s="62"/>
      <c r="AC1279" s="62"/>
      <c r="AD1279" s="60"/>
      <c r="AF1279" s="59"/>
      <c r="AG1279" s="62"/>
      <c r="AH1279" s="62"/>
      <c r="AI1279" s="62"/>
      <c r="AJ1279" s="62"/>
      <c r="AK1279" s="62"/>
      <c r="AL1279" s="62"/>
      <c r="AM1279" s="62"/>
      <c r="AN1279" s="60"/>
    </row>
    <row r="1280" spans="1:40" ht="18" customHeight="1" x14ac:dyDescent="0.25">
      <c r="B1280" s="61"/>
      <c r="C1280" s="214" t="s">
        <v>703</v>
      </c>
      <c r="D1280" s="215"/>
      <c r="E1280" s="216"/>
      <c r="F1280" s="62"/>
      <c r="G1280" s="214" t="s">
        <v>109</v>
      </c>
      <c r="H1280" s="215"/>
      <c r="I1280" s="216"/>
      <c r="J1280" s="63"/>
      <c r="L1280" s="61"/>
      <c r="M1280" s="214" t="s">
        <v>703</v>
      </c>
      <c r="N1280" s="215"/>
      <c r="O1280" s="216"/>
      <c r="P1280" s="62"/>
      <c r="Q1280" s="214" t="s">
        <v>109</v>
      </c>
      <c r="R1280" s="215"/>
      <c r="S1280" s="216"/>
      <c r="T1280" s="63"/>
      <c r="V1280" s="61"/>
      <c r="W1280" s="214" t="s">
        <v>703</v>
      </c>
      <c r="X1280" s="215"/>
      <c r="Y1280" s="216"/>
      <c r="Z1280" s="62"/>
      <c r="AA1280" s="214" t="s">
        <v>109</v>
      </c>
      <c r="AB1280" s="215"/>
      <c r="AC1280" s="216"/>
      <c r="AD1280" s="63"/>
      <c r="AF1280" s="61"/>
      <c r="AG1280" s="214" t="s">
        <v>703</v>
      </c>
      <c r="AH1280" s="215"/>
      <c r="AI1280" s="216"/>
      <c r="AJ1280" s="62"/>
      <c r="AK1280" s="214" t="s">
        <v>109</v>
      </c>
      <c r="AL1280" s="215"/>
      <c r="AM1280" s="216"/>
      <c r="AN1280" s="63"/>
    </row>
    <row r="1281" spans="2:40" ht="6.95" customHeight="1" x14ac:dyDescent="0.25">
      <c r="B1281" s="59"/>
      <c r="C1281" s="62"/>
      <c r="D1281" s="62"/>
      <c r="E1281" s="62"/>
      <c r="F1281" s="62"/>
      <c r="G1281" s="62"/>
      <c r="H1281" s="62"/>
      <c r="I1281" s="62"/>
      <c r="J1281" s="60"/>
      <c r="L1281" s="59"/>
      <c r="M1281" s="62"/>
      <c r="N1281" s="62"/>
      <c r="O1281" s="62"/>
      <c r="P1281" s="62"/>
      <c r="Q1281" s="62"/>
      <c r="R1281" s="62"/>
      <c r="S1281" s="62"/>
      <c r="T1281" s="60"/>
      <c r="V1281" s="59"/>
      <c r="W1281" s="62"/>
      <c r="X1281" s="62"/>
      <c r="Y1281" s="62"/>
      <c r="Z1281" s="62"/>
      <c r="AA1281" s="62"/>
      <c r="AB1281" s="62"/>
      <c r="AC1281" s="62"/>
      <c r="AD1281" s="60"/>
      <c r="AF1281" s="59"/>
      <c r="AG1281" s="62"/>
      <c r="AH1281" s="62"/>
      <c r="AI1281" s="62"/>
      <c r="AJ1281" s="62"/>
      <c r="AK1281" s="62"/>
      <c r="AL1281" s="62"/>
      <c r="AM1281" s="62"/>
      <c r="AN1281" s="60"/>
    </row>
    <row r="1282" spans="2:40" ht="18" customHeight="1" x14ac:dyDescent="0.25">
      <c r="B1282" s="61"/>
      <c r="C1282" s="214" t="s">
        <v>705</v>
      </c>
      <c r="D1282" s="215"/>
      <c r="E1282" s="216"/>
      <c r="F1282" s="62"/>
      <c r="G1282" s="214" t="s">
        <v>109</v>
      </c>
      <c r="H1282" s="215"/>
      <c r="I1282" s="216"/>
      <c r="J1282" s="63"/>
      <c r="L1282" s="61"/>
      <c r="M1282" s="214" t="s">
        <v>705</v>
      </c>
      <c r="N1282" s="215"/>
      <c r="O1282" s="216"/>
      <c r="P1282" s="62"/>
      <c r="Q1282" s="214" t="s">
        <v>109</v>
      </c>
      <c r="R1282" s="215"/>
      <c r="S1282" s="216"/>
      <c r="T1282" s="63"/>
      <c r="V1282" s="61"/>
      <c r="W1282" s="214" t="s">
        <v>705</v>
      </c>
      <c r="X1282" s="215"/>
      <c r="Y1282" s="216"/>
      <c r="Z1282" s="62"/>
      <c r="AA1282" s="214" t="s">
        <v>109</v>
      </c>
      <c r="AB1282" s="215"/>
      <c r="AC1282" s="216"/>
      <c r="AD1282" s="63"/>
      <c r="AF1282" s="61"/>
      <c r="AG1282" s="214" t="s">
        <v>705</v>
      </c>
      <c r="AH1282" s="215"/>
      <c r="AI1282" s="216"/>
      <c r="AJ1282" s="62"/>
      <c r="AK1282" s="214" t="s">
        <v>1545</v>
      </c>
      <c r="AL1282" s="215"/>
      <c r="AM1282" s="216"/>
      <c r="AN1282" s="63"/>
    </row>
    <row r="1283" spans="2:40" ht="6.95" customHeight="1" x14ac:dyDescent="0.25">
      <c r="B1283" s="59"/>
      <c r="C1283" s="62"/>
      <c r="D1283" s="62"/>
      <c r="E1283" s="62"/>
      <c r="F1283" s="62"/>
      <c r="G1283" s="62"/>
      <c r="H1283" s="62"/>
      <c r="I1283" s="62"/>
      <c r="J1283" s="60"/>
      <c r="L1283" s="59"/>
      <c r="M1283" s="62"/>
      <c r="N1283" s="62"/>
      <c r="O1283" s="62"/>
      <c r="P1283" s="62"/>
      <c r="Q1283" s="62"/>
      <c r="R1283" s="62"/>
      <c r="S1283" s="62"/>
      <c r="T1283" s="60"/>
      <c r="V1283" s="59"/>
      <c r="W1283" s="62"/>
      <c r="X1283" s="62"/>
      <c r="Y1283" s="62"/>
      <c r="Z1283" s="62"/>
      <c r="AA1283" s="62"/>
      <c r="AB1283" s="62"/>
      <c r="AC1283" s="62"/>
      <c r="AD1283" s="60"/>
      <c r="AF1283" s="59"/>
      <c r="AG1283" s="62"/>
      <c r="AH1283" s="62"/>
      <c r="AI1283" s="62"/>
      <c r="AJ1283" s="62"/>
      <c r="AK1283" s="62"/>
      <c r="AL1283" s="62"/>
      <c r="AM1283" s="62"/>
      <c r="AN1283" s="60"/>
    </row>
    <row r="1284" spans="2:40" ht="18" customHeight="1" x14ac:dyDescent="0.25">
      <c r="B1284" s="61"/>
      <c r="C1284" s="214" t="s">
        <v>708</v>
      </c>
      <c r="D1284" s="215"/>
      <c r="E1284" s="216"/>
      <c r="F1284" s="62"/>
      <c r="G1284" s="214" t="s">
        <v>109</v>
      </c>
      <c r="H1284" s="215"/>
      <c r="I1284" s="216"/>
      <c r="J1284" s="63"/>
      <c r="L1284" s="61"/>
      <c r="M1284" s="214" t="s">
        <v>708</v>
      </c>
      <c r="N1284" s="215"/>
      <c r="O1284" s="216"/>
      <c r="P1284" s="62"/>
      <c r="Q1284" s="214" t="s">
        <v>109</v>
      </c>
      <c r="R1284" s="215"/>
      <c r="S1284" s="216"/>
      <c r="T1284" s="63"/>
      <c r="V1284" s="61"/>
      <c r="W1284" s="214" t="s">
        <v>708</v>
      </c>
      <c r="X1284" s="215"/>
      <c r="Y1284" s="216"/>
      <c r="Z1284" s="62"/>
      <c r="AA1284" s="214" t="s">
        <v>109</v>
      </c>
      <c r="AB1284" s="215"/>
      <c r="AC1284" s="216"/>
      <c r="AD1284" s="63"/>
      <c r="AF1284" s="61"/>
      <c r="AG1284" s="214" t="s">
        <v>708</v>
      </c>
      <c r="AH1284" s="215"/>
      <c r="AI1284" s="216"/>
      <c r="AJ1284" s="62"/>
      <c r="AK1284" s="214" t="s">
        <v>972</v>
      </c>
      <c r="AL1284" s="215"/>
      <c r="AM1284" s="216"/>
      <c r="AN1284" s="63"/>
    </row>
    <row r="1285" spans="2:40" ht="6.95" customHeight="1" x14ac:dyDescent="0.25">
      <c r="B1285" s="59"/>
      <c r="C1285" s="62"/>
      <c r="D1285" s="62"/>
      <c r="E1285" s="62"/>
      <c r="F1285" s="62"/>
      <c r="G1285" s="62"/>
      <c r="H1285" s="62"/>
      <c r="I1285" s="62"/>
      <c r="J1285" s="60"/>
      <c r="L1285" s="59"/>
      <c r="M1285" s="62"/>
      <c r="N1285" s="62"/>
      <c r="O1285" s="62"/>
      <c r="P1285" s="62"/>
      <c r="Q1285" s="62"/>
      <c r="R1285" s="62"/>
      <c r="S1285" s="62"/>
      <c r="T1285" s="60"/>
      <c r="V1285" s="59"/>
      <c r="W1285" s="62"/>
      <c r="X1285" s="62"/>
      <c r="Y1285" s="62"/>
      <c r="Z1285" s="62"/>
      <c r="AA1285" s="62"/>
      <c r="AB1285" s="62"/>
      <c r="AC1285" s="62"/>
      <c r="AD1285" s="60"/>
      <c r="AF1285" s="59"/>
      <c r="AG1285" s="62"/>
      <c r="AH1285" s="62"/>
      <c r="AI1285" s="62"/>
      <c r="AJ1285" s="62"/>
      <c r="AK1285" s="62"/>
      <c r="AL1285" s="62"/>
      <c r="AM1285" s="62"/>
      <c r="AN1285" s="60"/>
    </row>
    <row r="1286" spans="2:40" ht="18" customHeight="1" x14ac:dyDescent="0.25">
      <c r="B1286" s="61"/>
      <c r="C1286" s="214" t="s">
        <v>711</v>
      </c>
      <c r="D1286" s="215"/>
      <c r="E1286" s="216"/>
      <c r="F1286" s="62"/>
      <c r="G1286" s="214" t="s">
        <v>712</v>
      </c>
      <c r="H1286" s="215"/>
      <c r="I1286" s="216"/>
      <c r="J1286" s="63"/>
      <c r="L1286" s="61"/>
      <c r="M1286" s="214" t="s">
        <v>711</v>
      </c>
      <c r="N1286" s="215"/>
      <c r="O1286" s="216"/>
      <c r="P1286" s="62"/>
      <c r="Q1286" s="214" t="s">
        <v>712</v>
      </c>
      <c r="R1286" s="215"/>
      <c r="S1286" s="216"/>
      <c r="T1286" s="63"/>
      <c r="V1286" s="61"/>
      <c r="W1286" s="214" t="s">
        <v>711</v>
      </c>
      <c r="X1286" s="215"/>
      <c r="Y1286" s="216"/>
      <c r="Z1286" s="62"/>
      <c r="AA1286" s="214" t="s">
        <v>712</v>
      </c>
      <c r="AB1286" s="215"/>
      <c r="AC1286" s="216"/>
      <c r="AD1286" s="63"/>
      <c r="AF1286" s="61"/>
      <c r="AG1286" s="214" t="s">
        <v>711</v>
      </c>
      <c r="AH1286" s="215"/>
      <c r="AI1286" s="216"/>
      <c r="AJ1286" s="62"/>
      <c r="AK1286" s="214" t="s">
        <v>712</v>
      </c>
      <c r="AL1286" s="215"/>
      <c r="AM1286" s="216"/>
      <c r="AN1286" s="63"/>
    </row>
    <row r="1287" spans="2:40" ht="6.95" customHeight="1" x14ac:dyDescent="0.25">
      <c r="B1287" s="59"/>
      <c r="C1287" s="62"/>
      <c r="D1287" s="62"/>
      <c r="E1287" s="62"/>
      <c r="F1287" s="62"/>
      <c r="G1287" s="62"/>
      <c r="H1287" s="62"/>
      <c r="I1287" s="62"/>
      <c r="J1287" s="60"/>
      <c r="L1287" s="59"/>
      <c r="M1287" s="62"/>
      <c r="N1287" s="62"/>
      <c r="O1287" s="62"/>
      <c r="P1287" s="62"/>
      <c r="Q1287" s="62"/>
      <c r="R1287" s="62"/>
      <c r="S1287" s="62"/>
      <c r="T1287" s="60"/>
      <c r="V1287" s="59"/>
      <c r="W1287" s="62"/>
      <c r="X1287" s="62"/>
      <c r="Y1287" s="62"/>
      <c r="Z1287" s="62"/>
      <c r="AA1287" s="62"/>
      <c r="AB1287" s="62"/>
      <c r="AC1287" s="62"/>
      <c r="AD1287" s="60"/>
      <c r="AF1287" s="59"/>
      <c r="AG1287" s="62"/>
      <c r="AH1287" s="62"/>
      <c r="AI1287" s="62"/>
      <c r="AJ1287" s="62"/>
      <c r="AK1287" s="62"/>
      <c r="AL1287" s="62"/>
      <c r="AM1287" s="62"/>
      <c r="AN1287" s="60"/>
    </row>
    <row r="1288" spans="2:40" ht="18" customHeight="1" x14ac:dyDescent="0.25">
      <c r="B1288" s="61"/>
      <c r="C1288" s="214" t="s">
        <v>1273</v>
      </c>
      <c r="D1288" s="215"/>
      <c r="E1288" s="216"/>
      <c r="F1288" s="62"/>
      <c r="G1288" s="214" t="s">
        <v>1546</v>
      </c>
      <c r="H1288" s="215"/>
      <c r="I1288" s="216"/>
      <c r="J1288" s="63"/>
      <c r="L1288" s="61"/>
      <c r="M1288" s="214" t="s">
        <v>1273</v>
      </c>
      <c r="N1288" s="215"/>
      <c r="O1288" s="216"/>
      <c r="P1288" s="62"/>
      <c r="Q1288" s="214" t="s">
        <v>1547</v>
      </c>
      <c r="R1288" s="215"/>
      <c r="S1288" s="216"/>
      <c r="T1288" s="63"/>
      <c r="V1288" s="61"/>
      <c r="W1288" s="214" t="s">
        <v>1273</v>
      </c>
      <c r="X1288" s="215"/>
      <c r="Y1288" s="216"/>
      <c r="Z1288" s="62"/>
      <c r="AA1288" s="214" t="s">
        <v>1548</v>
      </c>
      <c r="AB1288" s="215"/>
      <c r="AC1288" s="216"/>
      <c r="AD1288" s="63"/>
      <c r="AF1288" s="61"/>
      <c r="AG1288" s="214" t="s">
        <v>1273</v>
      </c>
      <c r="AH1288" s="215"/>
      <c r="AI1288" s="216"/>
      <c r="AJ1288" s="62"/>
      <c r="AK1288" s="214" t="s">
        <v>1549</v>
      </c>
      <c r="AL1288" s="215"/>
      <c r="AM1288" s="216"/>
      <c r="AN1288" s="63"/>
    </row>
    <row r="1289" spans="2:40" ht="6.95" customHeight="1" x14ac:dyDescent="0.25">
      <c r="B1289" s="59"/>
      <c r="C1289" s="62"/>
      <c r="D1289" s="62"/>
      <c r="E1289" s="62"/>
      <c r="F1289" s="62"/>
      <c r="G1289" s="62"/>
      <c r="H1289" s="62"/>
      <c r="I1289" s="62"/>
      <c r="J1289" s="60"/>
      <c r="L1289" s="59"/>
      <c r="M1289" s="62"/>
      <c r="N1289" s="62"/>
      <c r="O1289" s="62"/>
      <c r="P1289" s="62"/>
      <c r="Q1289" s="62"/>
      <c r="R1289" s="62"/>
      <c r="S1289" s="62"/>
      <c r="T1289" s="60"/>
      <c r="V1289" s="59"/>
      <c r="W1289" s="62"/>
      <c r="X1289" s="62"/>
      <c r="Y1289" s="62"/>
      <c r="Z1289" s="62"/>
      <c r="AA1289" s="62"/>
      <c r="AB1289" s="62"/>
      <c r="AC1289" s="62"/>
      <c r="AD1289" s="60"/>
      <c r="AF1289" s="59"/>
      <c r="AG1289" s="62"/>
      <c r="AH1289" s="62"/>
      <c r="AI1289" s="62"/>
      <c r="AJ1289" s="62"/>
      <c r="AK1289" s="62"/>
      <c r="AL1289" s="62"/>
      <c r="AM1289" s="62"/>
      <c r="AN1289" s="60"/>
    </row>
    <row r="1290" spans="2:40" ht="18" customHeight="1" x14ac:dyDescent="0.25">
      <c r="B1290" s="61"/>
      <c r="C1290" s="214" t="s">
        <v>713</v>
      </c>
      <c r="D1290" s="215"/>
      <c r="E1290" s="216"/>
      <c r="F1290" s="62"/>
      <c r="G1290" s="220" t="s">
        <v>1293</v>
      </c>
      <c r="H1290" s="220"/>
      <c r="I1290" s="220"/>
      <c r="J1290" s="63"/>
      <c r="L1290" s="61"/>
      <c r="M1290" s="214" t="s">
        <v>713</v>
      </c>
      <c r="N1290" s="215"/>
      <c r="O1290" s="216"/>
      <c r="P1290" s="62"/>
      <c r="Q1290" s="220" t="s">
        <v>1293</v>
      </c>
      <c r="R1290" s="220"/>
      <c r="S1290" s="220"/>
      <c r="T1290" s="63"/>
      <c r="V1290" s="61"/>
      <c r="W1290" s="214" t="s">
        <v>713</v>
      </c>
      <c r="X1290" s="215"/>
      <c r="Y1290" s="216"/>
      <c r="Z1290" s="62"/>
      <c r="AA1290" s="220" t="s">
        <v>1293</v>
      </c>
      <c r="AB1290" s="220"/>
      <c r="AC1290" s="220"/>
      <c r="AD1290" s="63"/>
      <c r="AF1290" s="61"/>
      <c r="AG1290" s="214" t="s">
        <v>713</v>
      </c>
      <c r="AH1290" s="215"/>
      <c r="AI1290" s="216"/>
      <c r="AJ1290" s="62"/>
      <c r="AK1290" s="220" t="s">
        <v>1293</v>
      </c>
      <c r="AL1290" s="220"/>
      <c r="AM1290" s="220"/>
      <c r="AN1290" s="63"/>
    </row>
    <row r="1291" spans="2:40" ht="6.95" customHeight="1" x14ac:dyDescent="0.25">
      <c r="B1291" s="59"/>
      <c r="C1291" s="128"/>
      <c r="D1291" s="128"/>
      <c r="E1291" s="128"/>
      <c r="F1291" s="62"/>
      <c r="G1291" s="128"/>
      <c r="H1291" s="128"/>
      <c r="I1291" s="128"/>
      <c r="J1291" s="63"/>
      <c r="L1291" s="59"/>
      <c r="M1291" s="128"/>
      <c r="N1291" s="128"/>
      <c r="O1291" s="128"/>
      <c r="P1291" s="62"/>
      <c r="Q1291" s="128"/>
      <c r="R1291" s="128"/>
      <c r="S1291" s="128"/>
      <c r="T1291" s="63"/>
      <c r="V1291" s="59"/>
      <c r="W1291" s="128"/>
      <c r="X1291" s="128"/>
      <c r="Y1291" s="128"/>
      <c r="Z1291" s="62"/>
      <c r="AA1291" s="128"/>
      <c r="AB1291" s="128"/>
      <c r="AC1291" s="128"/>
      <c r="AD1291" s="63"/>
      <c r="AF1291" s="59"/>
      <c r="AG1291" s="128"/>
      <c r="AH1291" s="128"/>
      <c r="AI1291" s="128"/>
      <c r="AJ1291" s="62"/>
      <c r="AK1291" s="128"/>
      <c r="AL1291" s="128"/>
      <c r="AM1291" s="128"/>
      <c r="AN1291" s="63"/>
    </row>
    <row r="1292" spans="2:40" ht="18" customHeight="1" x14ac:dyDescent="0.25">
      <c r="B1292" s="59"/>
      <c r="C1292" s="220" t="s">
        <v>715</v>
      </c>
      <c r="D1292" s="220"/>
      <c r="E1292" s="220"/>
      <c r="F1292" s="62"/>
      <c r="G1292" s="220" t="s">
        <v>1270</v>
      </c>
      <c r="H1292" s="220"/>
      <c r="I1292" s="220"/>
      <c r="J1292" s="63"/>
      <c r="L1292" s="59"/>
      <c r="M1292" s="220" t="s">
        <v>715</v>
      </c>
      <c r="N1292" s="220"/>
      <c r="O1292" s="220"/>
      <c r="P1292" s="62"/>
      <c r="Q1292" s="220" t="s">
        <v>1270</v>
      </c>
      <c r="R1292" s="220"/>
      <c r="S1292" s="220"/>
      <c r="T1292" s="63"/>
      <c r="V1292" s="59"/>
      <c r="W1292" s="220" t="s">
        <v>715</v>
      </c>
      <c r="X1292" s="220"/>
      <c r="Y1292" s="220"/>
      <c r="Z1292" s="62"/>
      <c r="AA1292" s="220" t="s">
        <v>1270</v>
      </c>
      <c r="AB1292" s="220"/>
      <c r="AC1292" s="220"/>
      <c r="AD1292" s="63"/>
      <c r="AF1292" s="59"/>
      <c r="AG1292" s="220" t="s">
        <v>715</v>
      </c>
      <c r="AH1292" s="220"/>
      <c r="AI1292" s="220"/>
      <c r="AJ1292" s="62"/>
      <c r="AK1292" s="220" t="s">
        <v>1270</v>
      </c>
      <c r="AL1292" s="220"/>
      <c r="AM1292" s="220"/>
      <c r="AN1292" s="63"/>
    </row>
    <row r="1293" spans="2:40" ht="6.95" customHeight="1" thickBot="1" x14ac:dyDescent="0.3">
      <c r="B1293" s="64"/>
      <c r="C1293" s="65"/>
      <c r="D1293" s="65"/>
      <c r="E1293" s="65"/>
      <c r="F1293" s="65"/>
      <c r="G1293" s="65"/>
      <c r="H1293" s="65"/>
      <c r="I1293" s="65"/>
      <c r="J1293" s="66"/>
      <c r="L1293" s="64"/>
      <c r="M1293" s="65"/>
      <c r="N1293" s="65"/>
      <c r="O1293" s="65"/>
      <c r="P1293" s="65"/>
      <c r="Q1293" s="65"/>
      <c r="R1293" s="65"/>
      <c r="S1293" s="65"/>
      <c r="T1293" s="66"/>
      <c r="V1293" s="64"/>
      <c r="W1293" s="65"/>
      <c r="X1293" s="65"/>
      <c r="Y1293" s="65"/>
      <c r="Z1293" s="65"/>
      <c r="AA1293" s="65"/>
      <c r="AB1293" s="65"/>
      <c r="AC1293" s="65"/>
      <c r="AD1293" s="66"/>
      <c r="AF1293" s="64"/>
      <c r="AG1293" s="65"/>
      <c r="AH1293" s="65"/>
      <c r="AI1293" s="65"/>
      <c r="AJ1293" s="65"/>
      <c r="AK1293" s="65"/>
      <c r="AL1293" s="65"/>
      <c r="AM1293" s="65"/>
      <c r="AN1293" s="66"/>
    </row>
    <row r="1294" spans="2:40" ht="32.1" customHeight="1" thickTop="1" x14ac:dyDescent="0.25">
      <c r="B1294" s="57"/>
      <c r="C1294" s="58"/>
      <c r="D1294" s="217" t="s">
        <v>697</v>
      </c>
      <c r="E1294" s="218"/>
      <c r="F1294" s="218"/>
      <c r="G1294" s="218"/>
      <c r="H1294" s="218"/>
      <c r="I1294" s="218"/>
      <c r="J1294" s="219"/>
      <c r="L1294" s="57"/>
      <c r="M1294" s="58"/>
      <c r="N1294" s="217" t="s">
        <v>697</v>
      </c>
      <c r="O1294" s="218"/>
      <c r="P1294" s="218"/>
      <c r="Q1294" s="218"/>
      <c r="R1294" s="218"/>
      <c r="S1294" s="218"/>
      <c r="T1294" s="219"/>
      <c r="V1294" s="57"/>
      <c r="W1294" s="58"/>
      <c r="X1294" s="217" t="s">
        <v>697</v>
      </c>
      <c r="Y1294" s="218"/>
      <c r="Z1294" s="218"/>
      <c r="AA1294" s="218"/>
      <c r="AB1294" s="218"/>
      <c r="AC1294" s="218"/>
      <c r="AD1294" s="219"/>
      <c r="AF1294" s="57"/>
      <c r="AG1294" s="58"/>
      <c r="AH1294" s="217" t="s">
        <v>697</v>
      </c>
      <c r="AI1294" s="218"/>
      <c r="AJ1294" s="218"/>
      <c r="AK1294" s="218"/>
      <c r="AL1294" s="218"/>
      <c r="AM1294" s="218"/>
      <c r="AN1294" s="219"/>
    </row>
    <row r="1295" spans="2:40" ht="6.95" customHeight="1" x14ac:dyDescent="0.25">
      <c r="B1295" s="59"/>
      <c r="J1295" s="60"/>
      <c r="L1295" s="59"/>
      <c r="T1295" s="60"/>
      <c r="V1295" s="59"/>
      <c r="AD1295" s="60"/>
      <c r="AF1295" s="59"/>
      <c r="AN1295" s="60"/>
    </row>
    <row r="1296" spans="2:40" ht="18" customHeight="1" x14ac:dyDescent="0.25">
      <c r="B1296" s="61"/>
      <c r="C1296" s="214" t="s">
        <v>698</v>
      </c>
      <c r="D1296" s="215"/>
      <c r="E1296" s="216"/>
      <c r="F1296" s="62"/>
      <c r="G1296" s="214" t="s">
        <v>1550</v>
      </c>
      <c r="H1296" s="215"/>
      <c r="I1296" s="216"/>
      <c r="J1296" s="63"/>
      <c r="L1296" s="61"/>
      <c r="M1296" s="214" t="s">
        <v>698</v>
      </c>
      <c r="N1296" s="215"/>
      <c r="O1296" s="216"/>
      <c r="P1296" s="62"/>
      <c r="Q1296" s="214" t="s">
        <v>1551</v>
      </c>
      <c r="R1296" s="215"/>
      <c r="S1296" s="216"/>
      <c r="T1296" s="63"/>
      <c r="V1296" s="61"/>
      <c r="W1296" s="214" t="s">
        <v>698</v>
      </c>
      <c r="X1296" s="215"/>
      <c r="Y1296" s="216"/>
      <c r="Z1296" s="62"/>
      <c r="AA1296" s="214" t="s">
        <v>1552</v>
      </c>
      <c r="AB1296" s="215"/>
      <c r="AC1296" s="216"/>
      <c r="AD1296" s="63"/>
      <c r="AF1296" s="61"/>
      <c r="AG1296" s="214" t="s">
        <v>698</v>
      </c>
      <c r="AH1296" s="215"/>
      <c r="AI1296" s="216"/>
      <c r="AJ1296" s="62"/>
      <c r="AK1296" s="214" t="s">
        <v>891</v>
      </c>
      <c r="AL1296" s="215"/>
      <c r="AM1296" s="216"/>
      <c r="AN1296" s="63"/>
    </row>
    <row r="1297" spans="2:40" ht="6.95" customHeight="1" x14ac:dyDescent="0.25">
      <c r="B1297" s="59"/>
      <c r="C1297" s="62"/>
      <c r="D1297" s="62"/>
      <c r="E1297" s="62"/>
      <c r="F1297" s="62"/>
      <c r="G1297" s="62"/>
      <c r="H1297" s="62"/>
      <c r="I1297" s="62"/>
      <c r="J1297" s="60"/>
      <c r="L1297" s="59"/>
      <c r="M1297" s="62"/>
      <c r="N1297" s="62"/>
      <c r="O1297" s="62"/>
      <c r="P1297" s="62"/>
      <c r="Q1297" s="62"/>
      <c r="R1297" s="62"/>
      <c r="S1297" s="62"/>
      <c r="T1297" s="60"/>
      <c r="V1297" s="59"/>
      <c r="W1297" s="62"/>
      <c r="X1297" s="62"/>
      <c r="Y1297" s="62"/>
      <c r="Z1297" s="62"/>
      <c r="AA1297" s="62"/>
      <c r="AB1297" s="62"/>
      <c r="AC1297" s="62"/>
      <c r="AD1297" s="60"/>
      <c r="AF1297" s="59"/>
      <c r="AG1297" s="62"/>
      <c r="AH1297" s="62"/>
      <c r="AI1297" s="62"/>
      <c r="AJ1297" s="62"/>
      <c r="AK1297" s="62"/>
      <c r="AL1297" s="62"/>
      <c r="AM1297" s="62"/>
      <c r="AN1297" s="60"/>
    </row>
    <row r="1298" spans="2:40" ht="18" customHeight="1" x14ac:dyDescent="0.25">
      <c r="B1298" s="61"/>
      <c r="C1298" s="214" t="s">
        <v>699</v>
      </c>
      <c r="D1298" s="215"/>
      <c r="E1298" s="216"/>
      <c r="F1298" s="62"/>
      <c r="G1298" s="214" t="s">
        <v>1639</v>
      </c>
      <c r="H1298" s="215"/>
      <c r="I1298" s="216"/>
      <c r="J1298" s="63"/>
      <c r="L1298" s="61"/>
      <c r="M1298" s="214" t="s">
        <v>699</v>
      </c>
      <c r="N1298" s="215"/>
      <c r="O1298" s="216"/>
      <c r="P1298" s="62"/>
      <c r="Q1298" s="214" t="s">
        <v>1639</v>
      </c>
      <c r="R1298" s="215"/>
      <c r="S1298" s="216"/>
      <c r="T1298" s="63"/>
      <c r="V1298" s="61"/>
      <c r="W1298" s="214" t="s">
        <v>699</v>
      </c>
      <c r="X1298" s="215"/>
      <c r="Y1298" s="216"/>
      <c r="Z1298" s="62"/>
      <c r="AA1298" s="214" t="s">
        <v>1639</v>
      </c>
      <c r="AB1298" s="215"/>
      <c r="AC1298" s="216"/>
      <c r="AD1298" s="63"/>
      <c r="AF1298" s="61"/>
      <c r="AG1298" s="214" t="s">
        <v>699</v>
      </c>
      <c r="AH1298" s="215"/>
      <c r="AI1298" s="216"/>
      <c r="AJ1298" s="62"/>
      <c r="AK1298" s="214" t="s">
        <v>1639</v>
      </c>
      <c r="AL1298" s="215"/>
      <c r="AM1298" s="216"/>
      <c r="AN1298" s="63"/>
    </row>
    <row r="1299" spans="2:40" ht="6.95" customHeight="1" x14ac:dyDescent="0.25">
      <c r="B1299" s="59"/>
      <c r="C1299" s="62"/>
      <c r="D1299" s="62"/>
      <c r="E1299" s="62"/>
      <c r="F1299" s="62"/>
      <c r="G1299" s="62"/>
      <c r="H1299" s="62"/>
      <c r="I1299" s="62"/>
      <c r="J1299" s="60"/>
      <c r="L1299" s="59"/>
      <c r="M1299" s="62"/>
      <c r="N1299" s="62"/>
      <c r="O1299" s="62"/>
      <c r="P1299" s="62"/>
      <c r="Q1299" s="62"/>
      <c r="R1299" s="62"/>
      <c r="S1299" s="62"/>
      <c r="T1299" s="60"/>
      <c r="V1299" s="59"/>
      <c r="W1299" s="62"/>
      <c r="X1299" s="62"/>
      <c r="Y1299" s="62"/>
      <c r="Z1299" s="62"/>
      <c r="AA1299" s="62"/>
      <c r="AB1299" s="62"/>
      <c r="AC1299" s="62"/>
      <c r="AD1299" s="60"/>
      <c r="AF1299" s="59"/>
      <c r="AG1299" s="62"/>
      <c r="AH1299" s="62"/>
      <c r="AI1299" s="62"/>
      <c r="AJ1299" s="62"/>
      <c r="AK1299" s="62"/>
      <c r="AL1299" s="62"/>
      <c r="AM1299" s="62"/>
      <c r="AN1299" s="60"/>
    </row>
    <row r="1300" spans="2:40" ht="18" customHeight="1" x14ac:dyDescent="0.25">
      <c r="B1300" s="61"/>
      <c r="C1300" s="214" t="s">
        <v>701</v>
      </c>
      <c r="D1300" s="215"/>
      <c r="E1300" s="216"/>
      <c r="F1300" s="62"/>
      <c r="G1300" s="214" t="s">
        <v>986</v>
      </c>
      <c r="H1300" s="215"/>
      <c r="I1300" s="216"/>
      <c r="J1300" s="63"/>
      <c r="L1300" s="61"/>
      <c r="M1300" s="214" t="s">
        <v>701</v>
      </c>
      <c r="N1300" s="215"/>
      <c r="O1300" s="216"/>
      <c r="P1300" s="62"/>
      <c r="Q1300" s="214" t="s">
        <v>986</v>
      </c>
      <c r="R1300" s="215"/>
      <c r="S1300" s="216"/>
      <c r="T1300" s="63"/>
      <c r="V1300" s="61"/>
      <c r="W1300" s="214" t="s">
        <v>701</v>
      </c>
      <c r="X1300" s="215"/>
      <c r="Y1300" s="216"/>
      <c r="Z1300" s="62"/>
      <c r="AA1300" s="214" t="s">
        <v>986</v>
      </c>
      <c r="AB1300" s="215"/>
      <c r="AC1300" s="216"/>
      <c r="AD1300" s="63"/>
      <c r="AF1300" s="61"/>
      <c r="AG1300" s="214" t="s">
        <v>701</v>
      </c>
      <c r="AH1300" s="215"/>
      <c r="AI1300" s="216"/>
      <c r="AJ1300" s="62"/>
      <c r="AK1300" s="214" t="s">
        <v>982</v>
      </c>
      <c r="AL1300" s="215"/>
      <c r="AM1300" s="216"/>
      <c r="AN1300" s="63"/>
    </row>
    <row r="1301" spans="2:40" ht="6.95" customHeight="1" x14ac:dyDescent="0.25">
      <c r="B1301" s="59"/>
      <c r="C1301" s="62"/>
      <c r="D1301" s="62"/>
      <c r="E1301" s="62"/>
      <c r="F1301" s="62"/>
      <c r="G1301" s="62"/>
      <c r="H1301" s="62"/>
      <c r="I1301" s="62"/>
      <c r="J1301" s="60"/>
      <c r="L1301" s="59"/>
      <c r="M1301" s="62"/>
      <c r="N1301" s="62"/>
      <c r="O1301" s="62"/>
      <c r="P1301" s="62"/>
      <c r="Q1301" s="62"/>
      <c r="R1301" s="62"/>
      <c r="S1301" s="62"/>
      <c r="T1301" s="60"/>
      <c r="V1301" s="59"/>
      <c r="W1301" s="62"/>
      <c r="X1301" s="62"/>
      <c r="Y1301" s="62"/>
      <c r="Z1301" s="62"/>
      <c r="AA1301" s="62"/>
      <c r="AB1301" s="62"/>
      <c r="AC1301" s="62"/>
      <c r="AD1301" s="60"/>
      <c r="AF1301" s="59"/>
      <c r="AG1301" s="62"/>
      <c r="AH1301" s="62"/>
      <c r="AI1301" s="62"/>
      <c r="AJ1301" s="62"/>
      <c r="AK1301" s="62"/>
      <c r="AL1301" s="62"/>
      <c r="AM1301" s="62"/>
      <c r="AN1301" s="60"/>
    </row>
    <row r="1302" spans="2:40" ht="18" customHeight="1" x14ac:dyDescent="0.25">
      <c r="B1302" s="61"/>
      <c r="C1302" s="214" t="s">
        <v>703</v>
      </c>
      <c r="D1302" s="215"/>
      <c r="E1302" s="216"/>
      <c r="F1302" s="62"/>
      <c r="G1302" s="214" t="s">
        <v>109</v>
      </c>
      <c r="H1302" s="215"/>
      <c r="I1302" s="216"/>
      <c r="J1302" s="63"/>
      <c r="L1302" s="61"/>
      <c r="M1302" s="214" t="s">
        <v>703</v>
      </c>
      <c r="N1302" s="215"/>
      <c r="O1302" s="216"/>
      <c r="P1302" s="62"/>
      <c r="Q1302" s="214" t="s">
        <v>109</v>
      </c>
      <c r="R1302" s="215"/>
      <c r="S1302" s="216"/>
      <c r="T1302" s="63"/>
      <c r="V1302" s="61"/>
      <c r="W1302" s="214" t="s">
        <v>703</v>
      </c>
      <c r="X1302" s="215"/>
      <c r="Y1302" s="216"/>
      <c r="Z1302" s="62"/>
      <c r="AA1302" s="214" t="s">
        <v>109</v>
      </c>
      <c r="AB1302" s="215"/>
      <c r="AC1302" s="216"/>
      <c r="AD1302" s="63"/>
      <c r="AF1302" s="61"/>
      <c r="AG1302" s="214" t="s">
        <v>703</v>
      </c>
      <c r="AH1302" s="215"/>
      <c r="AI1302" s="216"/>
      <c r="AJ1302" s="62"/>
      <c r="AK1302" s="214" t="s">
        <v>109</v>
      </c>
      <c r="AL1302" s="215"/>
      <c r="AM1302" s="216"/>
      <c r="AN1302" s="63"/>
    </row>
    <row r="1303" spans="2:40" ht="6.95" customHeight="1" x14ac:dyDescent="0.25">
      <c r="B1303" s="59"/>
      <c r="C1303" s="62"/>
      <c r="D1303" s="62"/>
      <c r="E1303" s="62"/>
      <c r="F1303" s="62"/>
      <c r="G1303" s="62"/>
      <c r="H1303" s="62"/>
      <c r="I1303" s="62"/>
      <c r="J1303" s="60"/>
      <c r="L1303" s="59"/>
      <c r="M1303" s="62"/>
      <c r="N1303" s="62"/>
      <c r="O1303" s="62"/>
      <c r="P1303" s="62"/>
      <c r="Q1303" s="62"/>
      <c r="R1303" s="62"/>
      <c r="S1303" s="62"/>
      <c r="T1303" s="60"/>
      <c r="V1303" s="59"/>
      <c r="W1303" s="62"/>
      <c r="X1303" s="62"/>
      <c r="Y1303" s="62"/>
      <c r="Z1303" s="62"/>
      <c r="AA1303" s="62"/>
      <c r="AB1303" s="62"/>
      <c r="AC1303" s="62"/>
      <c r="AD1303" s="60"/>
      <c r="AF1303" s="59"/>
      <c r="AG1303" s="62"/>
      <c r="AH1303" s="62"/>
      <c r="AI1303" s="62"/>
      <c r="AJ1303" s="62"/>
      <c r="AK1303" s="62"/>
      <c r="AL1303" s="62"/>
      <c r="AM1303" s="62"/>
      <c r="AN1303" s="60"/>
    </row>
    <row r="1304" spans="2:40" ht="18" customHeight="1" x14ac:dyDescent="0.25">
      <c r="B1304" s="61"/>
      <c r="C1304" s="214" t="s">
        <v>705</v>
      </c>
      <c r="D1304" s="215"/>
      <c r="E1304" s="216"/>
      <c r="F1304" s="62"/>
      <c r="G1304" s="214" t="s">
        <v>109</v>
      </c>
      <c r="H1304" s="215"/>
      <c r="I1304" s="216"/>
      <c r="J1304" s="63"/>
      <c r="L1304" s="61"/>
      <c r="M1304" s="214" t="s">
        <v>705</v>
      </c>
      <c r="N1304" s="215"/>
      <c r="O1304" s="216"/>
      <c r="P1304" s="62"/>
      <c r="Q1304" s="214" t="s">
        <v>109</v>
      </c>
      <c r="R1304" s="215"/>
      <c r="S1304" s="216"/>
      <c r="T1304" s="63"/>
      <c r="V1304" s="61"/>
      <c r="W1304" s="214" t="s">
        <v>705</v>
      </c>
      <c r="X1304" s="215"/>
      <c r="Y1304" s="216"/>
      <c r="Z1304" s="62"/>
      <c r="AA1304" s="214" t="s">
        <v>109</v>
      </c>
      <c r="AB1304" s="215"/>
      <c r="AC1304" s="216"/>
      <c r="AD1304" s="63"/>
      <c r="AF1304" s="61"/>
      <c r="AG1304" s="214" t="s">
        <v>705</v>
      </c>
      <c r="AH1304" s="215"/>
      <c r="AI1304" s="216"/>
      <c r="AJ1304" s="62"/>
      <c r="AK1304" s="214" t="s">
        <v>1553</v>
      </c>
      <c r="AL1304" s="215"/>
      <c r="AM1304" s="216"/>
      <c r="AN1304" s="63"/>
    </row>
    <row r="1305" spans="2:40" ht="6.95" customHeight="1" x14ac:dyDescent="0.25">
      <c r="B1305" s="59"/>
      <c r="C1305" s="62"/>
      <c r="D1305" s="62"/>
      <c r="E1305" s="62"/>
      <c r="F1305" s="62"/>
      <c r="G1305" s="62"/>
      <c r="H1305" s="62"/>
      <c r="I1305" s="62"/>
      <c r="J1305" s="60"/>
      <c r="L1305" s="59"/>
      <c r="M1305" s="62"/>
      <c r="N1305" s="62"/>
      <c r="O1305" s="62"/>
      <c r="P1305" s="62"/>
      <c r="Q1305" s="62"/>
      <c r="R1305" s="62"/>
      <c r="S1305" s="62"/>
      <c r="T1305" s="60"/>
      <c r="V1305" s="59"/>
      <c r="W1305" s="62"/>
      <c r="X1305" s="62"/>
      <c r="Y1305" s="62"/>
      <c r="Z1305" s="62"/>
      <c r="AA1305" s="62"/>
      <c r="AB1305" s="62"/>
      <c r="AC1305" s="62"/>
      <c r="AD1305" s="60"/>
      <c r="AF1305" s="59"/>
      <c r="AG1305" s="62"/>
      <c r="AH1305" s="62"/>
      <c r="AI1305" s="62"/>
      <c r="AJ1305" s="62"/>
      <c r="AK1305" s="62"/>
      <c r="AL1305" s="62"/>
      <c r="AM1305" s="62"/>
      <c r="AN1305" s="60"/>
    </row>
    <row r="1306" spans="2:40" ht="18" customHeight="1" x14ac:dyDescent="0.25">
      <c r="B1306" s="61"/>
      <c r="C1306" s="214" t="s">
        <v>708</v>
      </c>
      <c r="D1306" s="215"/>
      <c r="E1306" s="216"/>
      <c r="F1306" s="62"/>
      <c r="G1306" s="214" t="s">
        <v>109</v>
      </c>
      <c r="H1306" s="215"/>
      <c r="I1306" s="216"/>
      <c r="J1306" s="63"/>
      <c r="L1306" s="61"/>
      <c r="M1306" s="214" t="s">
        <v>708</v>
      </c>
      <c r="N1306" s="215"/>
      <c r="O1306" s="216"/>
      <c r="P1306" s="62"/>
      <c r="Q1306" s="214" t="s">
        <v>109</v>
      </c>
      <c r="R1306" s="215"/>
      <c r="S1306" s="216"/>
      <c r="T1306" s="63"/>
      <c r="V1306" s="61"/>
      <c r="W1306" s="214" t="s">
        <v>708</v>
      </c>
      <c r="X1306" s="215"/>
      <c r="Y1306" s="216"/>
      <c r="Z1306" s="62"/>
      <c r="AA1306" s="214" t="s">
        <v>109</v>
      </c>
      <c r="AB1306" s="215"/>
      <c r="AC1306" s="216"/>
      <c r="AD1306" s="63"/>
      <c r="AF1306" s="61"/>
      <c r="AG1306" s="214" t="s">
        <v>708</v>
      </c>
      <c r="AH1306" s="215"/>
      <c r="AI1306" s="216"/>
      <c r="AJ1306" s="62"/>
      <c r="AK1306" s="214" t="s">
        <v>1554</v>
      </c>
      <c r="AL1306" s="215"/>
      <c r="AM1306" s="216"/>
      <c r="AN1306" s="63"/>
    </row>
    <row r="1307" spans="2:40" ht="6.95" customHeight="1" x14ac:dyDescent="0.25">
      <c r="B1307" s="59"/>
      <c r="C1307" s="62"/>
      <c r="D1307" s="62"/>
      <c r="E1307" s="62"/>
      <c r="F1307" s="62"/>
      <c r="G1307" s="62"/>
      <c r="H1307" s="62"/>
      <c r="I1307" s="62"/>
      <c r="J1307" s="60"/>
      <c r="L1307" s="59"/>
      <c r="M1307" s="62"/>
      <c r="N1307" s="62"/>
      <c r="O1307" s="62"/>
      <c r="P1307" s="62"/>
      <c r="Q1307" s="62"/>
      <c r="R1307" s="62"/>
      <c r="S1307" s="62"/>
      <c r="T1307" s="60"/>
      <c r="V1307" s="59"/>
      <c r="W1307" s="62"/>
      <c r="X1307" s="62"/>
      <c r="Y1307" s="62"/>
      <c r="Z1307" s="62"/>
      <c r="AA1307" s="62"/>
      <c r="AB1307" s="62"/>
      <c r="AC1307" s="62"/>
      <c r="AD1307" s="60"/>
      <c r="AF1307" s="59"/>
      <c r="AG1307" s="62"/>
      <c r="AH1307" s="62"/>
      <c r="AI1307" s="62"/>
      <c r="AJ1307" s="62"/>
      <c r="AK1307" s="62"/>
      <c r="AL1307" s="62"/>
      <c r="AM1307" s="62"/>
      <c r="AN1307" s="60"/>
    </row>
    <row r="1308" spans="2:40" ht="18" customHeight="1" x14ac:dyDescent="0.25">
      <c r="B1308" s="61"/>
      <c r="C1308" s="214" t="s">
        <v>711</v>
      </c>
      <c r="D1308" s="215"/>
      <c r="E1308" s="216"/>
      <c r="F1308" s="62"/>
      <c r="G1308" s="214" t="s">
        <v>712</v>
      </c>
      <c r="H1308" s="215"/>
      <c r="I1308" s="216"/>
      <c r="J1308" s="63"/>
      <c r="L1308" s="61"/>
      <c r="M1308" s="214" t="s">
        <v>711</v>
      </c>
      <c r="N1308" s="215"/>
      <c r="O1308" s="216"/>
      <c r="P1308" s="62"/>
      <c r="Q1308" s="214" t="s">
        <v>712</v>
      </c>
      <c r="R1308" s="215"/>
      <c r="S1308" s="216"/>
      <c r="T1308" s="63"/>
      <c r="V1308" s="61"/>
      <c r="W1308" s="214" t="s">
        <v>711</v>
      </c>
      <c r="X1308" s="215"/>
      <c r="Y1308" s="216"/>
      <c r="Z1308" s="62"/>
      <c r="AA1308" s="214" t="s">
        <v>712</v>
      </c>
      <c r="AB1308" s="215"/>
      <c r="AC1308" s="216"/>
      <c r="AD1308" s="63"/>
      <c r="AF1308" s="61"/>
      <c r="AG1308" s="214" t="s">
        <v>711</v>
      </c>
      <c r="AH1308" s="215"/>
      <c r="AI1308" s="216"/>
      <c r="AJ1308" s="62"/>
      <c r="AK1308" s="214" t="s">
        <v>712</v>
      </c>
      <c r="AL1308" s="215"/>
      <c r="AM1308" s="216"/>
      <c r="AN1308" s="63"/>
    </row>
    <row r="1309" spans="2:40" ht="6.95" customHeight="1" x14ac:dyDescent="0.25">
      <c r="B1309" s="59"/>
      <c r="C1309" s="62"/>
      <c r="D1309" s="62"/>
      <c r="E1309" s="62"/>
      <c r="F1309" s="62"/>
      <c r="G1309" s="62"/>
      <c r="H1309" s="62"/>
      <c r="I1309" s="62"/>
      <c r="J1309" s="60"/>
      <c r="L1309" s="59"/>
      <c r="M1309" s="62"/>
      <c r="N1309" s="62"/>
      <c r="O1309" s="62"/>
      <c r="P1309" s="62"/>
      <c r="Q1309" s="62"/>
      <c r="R1309" s="62"/>
      <c r="S1309" s="62"/>
      <c r="T1309" s="60"/>
      <c r="V1309" s="59"/>
      <c r="W1309" s="62"/>
      <c r="X1309" s="62"/>
      <c r="Y1309" s="62"/>
      <c r="Z1309" s="62"/>
      <c r="AA1309" s="62"/>
      <c r="AB1309" s="62"/>
      <c r="AC1309" s="62"/>
      <c r="AD1309" s="60"/>
      <c r="AF1309" s="59"/>
      <c r="AG1309" s="62"/>
      <c r="AH1309" s="62"/>
      <c r="AI1309" s="62"/>
      <c r="AJ1309" s="62"/>
      <c r="AK1309" s="62"/>
      <c r="AL1309" s="62"/>
      <c r="AM1309" s="62"/>
      <c r="AN1309" s="60"/>
    </row>
    <row r="1310" spans="2:40" ht="18" customHeight="1" x14ac:dyDescent="0.25">
      <c r="B1310" s="61"/>
      <c r="C1310" s="214" t="s">
        <v>1273</v>
      </c>
      <c r="D1310" s="215"/>
      <c r="E1310" s="216"/>
      <c r="F1310" s="62"/>
      <c r="G1310" s="214" t="s">
        <v>1555</v>
      </c>
      <c r="H1310" s="215"/>
      <c r="I1310" s="216"/>
      <c r="J1310" s="63"/>
      <c r="L1310" s="61"/>
      <c r="M1310" s="214" t="s">
        <v>1273</v>
      </c>
      <c r="N1310" s="215"/>
      <c r="O1310" s="216"/>
      <c r="P1310" s="62"/>
      <c r="Q1310" s="214" t="s">
        <v>1556</v>
      </c>
      <c r="R1310" s="215"/>
      <c r="S1310" s="216"/>
      <c r="T1310" s="63"/>
      <c r="V1310" s="61"/>
      <c r="W1310" s="214" t="s">
        <v>1273</v>
      </c>
      <c r="X1310" s="215"/>
      <c r="Y1310" s="216"/>
      <c r="Z1310" s="62"/>
      <c r="AA1310" s="214" t="s">
        <v>1557</v>
      </c>
      <c r="AB1310" s="215"/>
      <c r="AC1310" s="216"/>
      <c r="AD1310" s="63"/>
      <c r="AF1310" s="61"/>
      <c r="AG1310" s="214" t="s">
        <v>1273</v>
      </c>
      <c r="AH1310" s="215"/>
      <c r="AI1310" s="216"/>
      <c r="AJ1310" s="62"/>
      <c r="AK1310" s="214" t="s">
        <v>1558</v>
      </c>
      <c r="AL1310" s="215"/>
      <c r="AM1310" s="216"/>
      <c r="AN1310" s="63"/>
    </row>
    <row r="1311" spans="2:40" ht="6.95" customHeight="1" x14ac:dyDescent="0.25">
      <c r="B1311" s="59"/>
      <c r="C1311" s="62"/>
      <c r="D1311" s="62"/>
      <c r="E1311" s="62"/>
      <c r="F1311" s="62"/>
      <c r="G1311" s="62"/>
      <c r="H1311" s="62"/>
      <c r="I1311" s="62"/>
      <c r="J1311" s="60"/>
      <c r="L1311" s="59"/>
      <c r="M1311" s="62"/>
      <c r="N1311" s="62"/>
      <c r="O1311" s="62"/>
      <c r="P1311" s="62"/>
      <c r="Q1311" s="62"/>
      <c r="R1311" s="62"/>
      <c r="S1311" s="62"/>
      <c r="T1311" s="60"/>
      <c r="V1311" s="59"/>
      <c r="W1311" s="62"/>
      <c r="X1311" s="62"/>
      <c r="Y1311" s="62"/>
      <c r="Z1311" s="62"/>
      <c r="AA1311" s="62"/>
      <c r="AB1311" s="62"/>
      <c r="AC1311" s="62"/>
      <c r="AD1311" s="60"/>
      <c r="AF1311" s="59"/>
      <c r="AG1311" s="62"/>
      <c r="AH1311" s="62"/>
      <c r="AI1311" s="62"/>
      <c r="AJ1311" s="62"/>
      <c r="AK1311" s="62"/>
      <c r="AL1311" s="62"/>
      <c r="AM1311" s="62"/>
      <c r="AN1311" s="60"/>
    </row>
    <row r="1312" spans="2:40" ht="18" customHeight="1" x14ac:dyDescent="0.25">
      <c r="B1312" s="61"/>
      <c r="C1312" s="214" t="s">
        <v>713</v>
      </c>
      <c r="D1312" s="215"/>
      <c r="E1312" s="216"/>
      <c r="F1312" s="62"/>
      <c r="G1312" s="220" t="s">
        <v>1293</v>
      </c>
      <c r="H1312" s="220"/>
      <c r="I1312" s="220"/>
      <c r="J1312" s="63"/>
      <c r="L1312" s="61"/>
      <c r="M1312" s="214" t="s">
        <v>713</v>
      </c>
      <c r="N1312" s="215"/>
      <c r="O1312" s="216"/>
      <c r="P1312" s="62"/>
      <c r="Q1312" s="220" t="s">
        <v>1293</v>
      </c>
      <c r="R1312" s="220"/>
      <c r="S1312" s="220"/>
      <c r="T1312" s="63"/>
      <c r="V1312" s="61"/>
      <c r="W1312" s="214" t="s">
        <v>713</v>
      </c>
      <c r="X1312" s="215"/>
      <c r="Y1312" s="216"/>
      <c r="Z1312" s="62"/>
      <c r="AA1312" s="220" t="s">
        <v>1293</v>
      </c>
      <c r="AB1312" s="220"/>
      <c r="AC1312" s="220"/>
      <c r="AD1312" s="63"/>
      <c r="AF1312" s="61"/>
      <c r="AG1312" s="214" t="s">
        <v>713</v>
      </c>
      <c r="AH1312" s="215"/>
      <c r="AI1312" s="216"/>
      <c r="AJ1312" s="62"/>
      <c r="AK1312" s="220" t="s">
        <v>1293</v>
      </c>
      <c r="AL1312" s="220"/>
      <c r="AM1312" s="220"/>
      <c r="AN1312" s="63"/>
    </row>
    <row r="1313" spans="2:40" ht="6.95" customHeight="1" x14ac:dyDescent="0.25">
      <c r="B1313" s="59"/>
      <c r="C1313" s="128"/>
      <c r="D1313" s="128"/>
      <c r="E1313" s="128"/>
      <c r="F1313" s="62"/>
      <c r="G1313" s="128"/>
      <c r="H1313" s="128"/>
      <c r="I1313" s="128"/>
      <c r="J1313" s="63"/>
      <c r="L1313" s="59"/>
      <c r="M1313" s="128"/>
      <c r="N1313" s="128"/>
      <c r="O1313" s="128"/>
      <c r="P1313" s="62"/>
      <c r="Q1313" s="128"/>
      <c r="R1313" s="128"/>
      <c r="S1313" s="128"/>
      <c r="T1313" s="63"/>
      <c r="V1313" s="59"/>
      <c r="W1313" s="128"/>
      <c r="X1313" s="128"/>
      <c r="Y1313" s="128"/>
      <c r="Z1313" s="62"/>
      <c r="AA1313" s="128"/>
      <c r="AB1313" s="128"/>
      <c r="AC1313" s="128"/>
      <c r="AD1313" s="63"/>
      <c r="AF1313" s="59"/>
      <c r="AG1313" s="128"/>
      <c r="AH1313" s="128"/>
      <c r="AI1313" s="128"/>
      <c r="AJ1313" s="62"/>
      <c r="AK1313" s="128"/>
      <c r="AL1313" s="128"/>
      <c r="AM1313" s="128"/>
      <c r="AN1313" s="63"/>
    </row>
    <row r="1314" spans="2:40" ht="18" customHeight="1" x14ac:dyDescent="0.25">
      <c r="B1314" s="59"/>
      <c r="C1314" s="220" t="s">
        <v>715</v>
      </c>
      <c r="D1314" s="220"/>
      <c r="E1314" s="220"/>
      <c r="F1314" s="62"/>
      <c r="G1314" s="220" t="s">
        <v>1270</v>
      </c>
      <c r="H1314" s="220"/>
      <c r="I1314" s="220"/>
      <c r="J1314" s="63"/>
      <c r="L1314" s="59"/>
      <c r="M1314" s="220" t="s">
        <v>715</v>
      </c>
      <c r="N1314" s="220"/>
      <c r="O1314" s="220"/>
      <c r="P1314" s="62"/>
      <c r="Q1314" s="220" t="s">
        <v>1270</v>
      </c>
      <c r="R1314" s="220"/>
      <c r="S1314" s="220"/>
      <c r="T1314" s="63"/>
      <c r="V1314" s="59"/>
      <c r="W1314" s="220" t="s">
        <v>715</v>
      </c>
      <c r="X1314" s="220"/>
      <c r="Y1314" s="220"/>
      <c r="Z1314" s="62"/>
      <c r="AA1314" s="220" t="s">
        <v>1270</v>
      </c>
      <c r="AB1314" s="220"/>
      <c r="AC1314" s="220"/>
      <c r="AD1314" s="63"/>
      <c r="AF1314" s="59"/>
      <c r="AG1314" s="220" t="s">
        <v>715</v>
      </c>
      <c r="AH1314" s="220"/>
      <c r="AI1314" s="220"/>
      <c r="AJ1314" s="62"/>
      <c r="AK1314" s="220" t="s">
        <v>1270</v>
      </c>
      <c r="AL1314" s="220"/>
      <c r="AM1314" s="220"/>
      <c r="AN1314" s="63"/>
    </row>
    <row r="1315" spans="2:40" ht="6.95" customHeight="1" thickBot="1" x14ac:dyDescent="0.3">
      <c r="B1315" s="64"/>
      <c r="C1315" s="65"/>
      <c r="D1315" s="65"/>
      <c r="E1315" s="65"/>
      <c r="F1315" s="65"/>
      <c r="G1315" s="65"/>
      <c r="H1315" s="65"/>
      <c r="I1315" s="65"/>
      <c r="J1315" s="66"/>
      <c r="L1315" s="64"/>
      <c r="M1315" s="65"/>
      <c r="N1315" s="65"/>
      <c r="O1315" s="65"/>
      <c r="P1315" s="65"/>
      <c r="Q1315" s="65"/>
      <c r="R1315" s="65"/>
      <c r="S1315" s="65"/>
      <c r="T1315" s="66"/>
      <c r="V1315" s="64"/>
      <c r="W1315" s="65"/>
      <c r="X1315" s="65"/>
      <c r="Y1315" s="65"/>
      <c r="Z1315" s="65"/>
      <c r="AA1315" s="65"/>
      <c r="AB1315" s="65"/>
      <c r="AC1315" s="65"/>
      <c r="AD1315" s="66"/>
      <c r="AF1315" s="64"/>
      <c r="AG1315" s="65"/>
      <c r="AH1315" s="65"/>
      <c r="AI1315" s="65"/>
      <c r="AJ1315" s="65"/>
      <c r="AK1315" s="65"/>
      <c r="AL1315" s="65"/>
      <c r="AM1315" s="65"/>
      <c r="AN1315" s="66"/>
    </row>
    <row r="1316" spans="2:40" ht="32.1" customHeight="1" thickTop="1" x14ac:dyDescent="0.25">
      <c r="B1316" s="57"/>
      <c r="C1316" s="58"/>
      <c r="D1316" s="217" t="s">
        <v>697</v>
      </c>
      <c r="E1316" s="218"/>
      <c r="F1316" s="218"/>
      <c r="G1316" s="218"/>
      <c r="H1316" s="218"/>
      <c r="I1316" s="218"/>
      <c r="J1316" s="219"/>
      <c r="L1316" s="57"/>
      <c r="M1316" s="58"/>
      <c r="N1316" s="217" t="s">
        <v>697</v>
      </c>
      <c r="O1316" s="218"/>
      <c r="P1316" s="218"/>
      <c r="Q1316" s="218"/>
      <c r="R1316" s="218"/>
      <c r="S1316" s="218"/>
      <c r="T1316" s="219"/>
      <c r="V1316" s="57"/>
      <c r="W1316" s="58"/>
      <c r="X1316" s="217" t="s">
        <v>697</v>
      </c>
      <c r="Y1316" s="218"/>
      <c r="Z1316" s="218"/>
      <c r="AA1316" s="218"/>
      <c r="AB1316" s="218"/>
      <c r="AC1316" s="218"/>
      <c r="AD1316" s="219"/>
      <c r="AF1316" s="57"/>
      <c r="AG1316" s="58"/>
      <c r="AH1316" s="217" t="s">
        <v>697</v>
      </c>
      <c r="AI1316" s="218"/>
      <c r="AJ1316" s="218"/>
      <c r="AK1316" s="218"/>
      <c r="AL1316" s="218"/>
      <c r="AM1316" s="218"/>
      <c r="AN1316" s="219"/>
    </row>
    <row r="1317" spans="2:40" ht="6.95" customHeight="1" x14ac:dyDescent="0.25">
      <c r="B1317" s="59"/>
      <c r="J1317" s="60"/>
      <c r="L1317" s="59"/>
      <c r="T1317" s="60"/>
      <c r="V1317" s="59"/>
      <c r="AD1317" s="60"/>
      <c r="AF1317" s="59"/>
      <c r="AN1317" s="60"/>
    </row>
    <row r="1318" spans="2:40" ht="18" customHeight="1" x14ac:dyDescent="0.25">
      <c r="B1318" s="61"/>
      <c r="C1318" s="214" t="s">
        <v>698</v>
      </c>
      <c r="D1318" s="215"/>
      <c r="E1318" s="216"/>
      <c r="F1318" s="62"/>
      <c r="G1318" s="214" t="s">
        <v>1559</v>
      </c>
      <c r="H1318" s="215"/>
      <c r="I1318" s="216"/>
      <c r="J1318" s="63"/>
      <c r="L1318" s="61"/>
      <c r="M1318" s="214" t="s">
        <v>698</v>
      </c>
      <c r="N1318" s="215"/>
      <c r="O1318" s="216"/>
      <c r="P1318" s="62"/>
      <c r="Q1318" s="214" t="s">
        <v>1560</v>
      </c>
      <c r="R1318" s="215"/>
      <c r="S1318" s="216"/>
      <c r="T1318" s="63"/>
      <c r="V1318" s="61"/>
      <c r="W1318" s="214" t="s">
        <v>698</v>
      </c>
      <c r="X1318" s="215"/>
      <c r="Y1318" s="216"/>
      <c r="Z1318" s="62"/>
      <c r="AA1318" s="214" t="s">
        <v>1561</v>
      </c>
      <c r="AB1318" s="215"/>
      <c r="AC1318" s="216"/>
      <c r="AD1318" s="63"/>
      <c r="AF1318" s="61"/>
      <c r="AG1318" s="214" t="s">
        <v>698</v>
      </c>
      <c r="AH1318" s="215"/>
      <c r="AI1318" s="216"/>
      <c r="AJ1318" s="62"/>
      <c r="AK1318" s="214" t="s">
        <v>904</v>
      </c>
      <c r="AL1318" s="215"/>
      <c r="AM1318" s="216"/>
      <c r="AN1318" s="63"/>
    </row>
    <row r="1319" spans="2:40" ht="6.95" customHeight="1" x14ac:dyDescent="0.25">
      <c r="B1319" s="59"/>
      <c r="C1319" s="62"/>
      <c r="D1319" s="62"/>
      <c r="E1319" s="62"/>
      <c r="F1319" s="62"/>
      <c r="G1319" s="62"/>
      <c r="H1319" s="62"/>
      <c r="I1319" s="62"/>
      <c r="J1319" s="60"/>
      <c r="L1319" s="59"/>
      <c r="M1319" s="62"/>
      <c r="N1319" s="62"/>
      <c r="O1319" s="62"/>
      <c r="P1319" s="62"/>
      <c r="Q1319" s="62"/>
      <c r="R1319" s="62"/>
      <c r="S1319" s="62"/>
      <c r="T1319" s="60"/>
      <c r="V1319" s="59"/>
      <c r="W1319" s="62"/>
      <c r="X1319" s="62"/>
      <c r="Y1319" s="62"/>
      <c r="Z1319" s="62"/>
      <c r="AA1319" s="62"/>
      <c r="AB1319" s="62"/>
      <c r="AC1319" s="62"/>
      <c r="AD1319" s="60"/>
      <c r="AF1319" s="59"/>
      <c r="AG1319" s="62"/>
      <c r="AH1319" s="62"/>
      <c r="AI1319" s="62"/>
      <c r="AJ1319" s="62"/>
      <c r="AK1319" s="62"/>
      <c r="AL1319" s="62"/>
      <c r="AM1319" s="62"/>
      <c r="AN1319" s="60"/>
    </row>
    <row r="1320" spans="2:40" ht="18" customHeight="1" x14ac:dyDescent="0.25">
      <c r="B1320" s="61"/>
      <c r="C1320" s="214" t="s">
        <v>699</v>
      </c>
      <c r="D1320" s="215"/>
      <c r="E1320" s="216"/>
      <c r="F1320" s="62"/>
      <c r="G1320" s="214" t="s">
        <v>1639</v>
      </c>
      <c r="H1320" s="215"/>
      <c r="I1320" s="216"/>
      <c r="J1320" s="63"/>
      <c r="L1320" s="61"/>
      <c r="M1320" s="214" t="s">
        <v>699</v>
      </c>
      <c r="N1320" s="215"/>
      <c r="O1320" s="216"/>
      <c r="P1320" s="62"/>
      <c r="Q1320" s="214" t="s">
        <v>1640</v>
      </c>
      <c r="R1320" s="215"/>
      <c r="S1320" s="216"/>
      <c r="T1320" s="63"/>
      <c r="V1320" s="61"/>
      <c r="W1320" s="214" t="s">
        <v>699</v>
      </c>
      <c r="X1320" s="215"/>
      <c r="Y1320" s="216"/>
      <c r="Z1320" s="62"/>
      <c r="AA1320" s="214" t="s">
        <v>1639</v>
      </c>
      <c r="AB1320" s="215"/>
      <c r="AC1320" s="216"/>
      <c r="AD1320" s="63"/>
      <c r="AF1320" s="61"/>
      <c r="AG1320" s="214" t="s">
        <v>699</v>
      </c>
      <c r="AH1320" s="215"/>
      <c r="AI1320" s="216"/>
      <c r="AJ1320" s="62"/>
      <c r="AK1320" s="214" t="s">
        <v>1639</v>
      </c>
      <c r="AL1320" s="215"/>
      <c r="AM1320" s="216"/>
      <c r="AN1320" s="63"/>
    </row>
    <row r="1321" spans="2:40" ht="6.95" customHeight="1" x14ac:dyDescent="0.25">
      <c r="B1321" s="59"/>
      <c r="C1321" s="62"/>
      <c r="D1321" s="62"/>
      <c r="E1321" s="62"/>
      <c r="F1321" s="62"/>
      <c r="G1321" s="62"/>
      <c r="H1321" s="62"/>
      <c r="I1321" s="62"/>
      <c r="J1321" s="60"/>
      <c r="L1321" s="59"/>
      <c r="M1321" s="62"/>
      <c r="N1321" s="62"/>
      <c r="O1321" s="62"/>
      <c r="P1321" s="62"/>
      <c r="Q1321" s="62"/>
      <c r="R1321" s="62"/>
      <c r="S1321" s="62"/>
      <c r="T1321" s="60"/>
      <c r="V1321" s="59"/>
      <c r="W1321" s="62"/>
      <c r="X1321" s="62"/>
      <c r="Y1321" s="62"/>
      <c r="Z1321" s="62"/>
      <c r="AA1321" s="62"/>
      <c r="AB1321" s="62"/>
      <c r="AC1321" s="62"/>
      <c r="AD1321" s="60"/>
      <c r="AF1321" s="59"/>
      <c r="AG1321" s="62"/>
      <c r="AH1321" s="62"/>
      <c r="AI1321" s="62"/>
      <c r="AJ1321" s="62"/>
      <c r="AK1321" s="62"/>
      <c r="AL1321" s="62"/>
      <c r="AM1321" s="62"/>
      <c r="AN1321" s="60"/>
    </row>
    <row r="1322" spans="2:40" ht="18" customHeight="1" x14ac:dyDescent="0.25">
      <c r="B1322" s="61"/>
      <c r="C1322" s="214" t="s">
        <v>701</v>
      </c>
      <c r="D1322" s="215"/>
      <c r="E1322" s="216"/>
      <c r="F1322" s="62"/>
      <c r="G1322" s="214" t="s">
        <v>1562</v>
      </c>
      <c r="H1322" s="215"/>
      <c r="I1322" s="216"/>
      <c r="J1322" s="63"/>
      <c r="L1322" s="61"/>
      <c r="M1322" s="214" t="s">
        <v>701</v>
      </c>
      <c r="N1322" s="215"/>
      <c r="O1322" s="216"/>
      <c r="P1322" s="62"/>
      <c r="Q1322" s="214" t="s">
        <v>1563</v>
      </c>
      <c r="R1322" s="215"/>
      <c r="S1322" s="216"/>
      <c r="T1322" s="63"/>
      <c r="V1322" s="61"/>
      <c r="W1322" s="214" t="s">
        <v>701</v>
      </c>
      <c r="X1322" s="215"/>
      <c r="Y1322" s="216"/>
      <c r="Z1322" s="62"/>
      <c r="AA1322" s="214" t="s">
        <v>986</v>
      </c>
      <c r="AB1322" s="215"/>
      <c r="AC1322" s="216"/>
      <c r="AD1322" s="63"/>
      <c r="AF1322" s="61"/>
      <c r="AG1322" s="214" t="s">
        <v>701</v>
      </c>
      <c r="AH1322" s="215"/>
      <c r="AI1322" s="216"/>
      <c r="AJ1322" s="62"/>
      <c r="AK1322" s="214" t="s">
        <v>984</v>
      </c>
      <c r="AL1322" s="215"/>
      <c r="AM1322" s="216"/>
      <c r="AN1322" s="63"/>
    </row>
    <row r="1323" spans="2:40" ht="6.95" customHeight="1" x14ac:dyDescent="0.25">
      <c r="B1323" s="59"/>
      <c r="C1323" s="62"/>
      <c r="D1323" s="62"/>
      <c r="E1323" s="62"/>
      <c r="F1323" s="62"/>
      <c r="G1323" s="62"/>
      <c r="H1323" s="62"/>
      <c r="I1323" s="62"/>
      <c r="J1323" s="60"/>
      <c r="L1323" s="59"/>
      <c r="M1323" s="62"/>
      <c r="N1323" s="62"/>
      <c r="O1323" s="62"/>
      <c r="P1323" s="62"/>
      <c r="Q1323" s="62"/>
      <c r="R1323" s="62"/>
      <c r="S1323" s="62"/>
      <c r="T1323" s="60"/>
      <c r="V1323" s="59"/>
      <c r="W1323" s="62"/>
      <c r="X1323" s="62"/>
      <c r="Y1323" s="62"/>
      <c r="Z1323" s="62"/>
      <c r="AA1323" s="62"/>
      <c r="AB1323" s="62"/>
      <c r="AC1323" s="62"/>
      <c r="AD1323" s="60"/>
      <c r="AF1323" s="59"/>
      <c r="AG1323" s="62"/>
      <c r="AH1323" s="62"/>
      <c r="AI1323" s="62"/>
      <c r="AJ1323" s="62"/>
      <c r="AK1323" s="62"/>
      <c r="AL1323" s="62"/>
      <c r="AM1323" s="62"/>
      <c r="AN1323" s="60"/>
    </row>
    <row r="1324" spans="2:40" ht="18" customHeight="1" x14ac:dyDescent="0.25">
      <c r="B1324" s="61"/>
      <c r="C1324" s="214" t="s">
        <v>703</v>
      </c>
      <c r="D1324" s="215"/>
      <c r="E1324" s="216"/>
      <c r="F1324" s="62"/>
      <c r="G1324" s="214" t="s">
        <v>109</v>
      </c>
      <c r="H1324" s="215"/>
      <c r="I1324" s="216"/>
      <c r="J1324" s="63"/>
      <c r="L1324" s="61"/>
      <c r="M1324" s="214" t="s">
        <v>703</v>
      </c>
      <c r="N1324" s="215"/>
      <c r="O1324" s="216"/>
      <c r="P1324" s="62"/>
      <c r="Q1324" s="214" t="s">
        <v>109</v>
      </c>
      <c r="R1324" s="215"/>
      <c r="S1324" s="216"/>
      <c r="T1324" s="63"/>
      <c r="V1324" s="61"/>
      <c r="W1324" s="214" t="s">
        <v>703</v>
      </c>
      <c r="X1324" s="215"/>
      <c r="Y1324" s="216"/>
      <c r="Z1324" s="62"/>
      <c r="AA1324" s="214" t="s">
        <v>109</v>
      </c>
      <c r="AB1324" s="215"/>
      <c r="AC1324" s="216"/>
      <c r="AD1324" s="63"/>
      <c r="AF1324" s="61"/>
      <c r="AG1324" s="214" t="s">
        <v>703</v>
      </c>
      <c r="AH1324" s="215"/>
      <c r="AI1324" s="216"/>
      <c r="AJ1324" s="62"/>
      <c r="AK1324" s="214" t="s">
        <v>109</v>
      </c>
      <c r="AL1324" s="215"/>
      <c r="AM1324" s="216"/>
      <c r="AN1324" s="63"/>
    </row>
    <row r="1325" spans="2:40" ht="6.95" customHeight="1" x14ac:dyDescent="0.25">
      <c r="B1325" s="59"/>
      <c r="C1325" s="62"/>
      <c r="D1325" s="62"/>
      <c r="E1325" s="62"/>
      <c r="F1325" s="62"/>
      <c r="G1325" s="62"/>
      <c r="H1325" s="62"/>
      <c r="I1325" s="62"/>
      <c r="J1325" s="60"/>
      <c r="L1325" s="59"/>
      <c r="M1325" s="62"/>
      <c r="N1325" s="62"/>
      <c r="O1325" s="62"/>
      <c r="P1325" s="62"/>
      <c r="Q1325" s="62"/>
      <c r="R1325" s="62"/>
      <c r="S1325" s="62"/>
      <c r="T1325" s="60"/>
      <c r="V1325" s="59"/>
      <c r="W1325" s="62"/>
      <c r="X1325" s="62"/>
      <c r="Y1325" s="62"/>
      <c r="Z1325" s="62"/>
      <c r="AA1325" s="62"/>
      <c r="AB1325" s="62"/>
      <c r="AC1325" s="62"/>
      <c r="AD1325" s="60"/>
      <c r="AF1325" s="59"/>
      <c r="AG1325" s="62"/>
      <c r="AH1325" s="62"/>
      <c r="AI1325" s="62"/>
      <c r="AJ1325" s="62"/>
      <c r="AK1325" s="62"/>
      <c r="AL1325" s="62"/>
      <c r="AM1325" s="62"/>
      <c r="AN1325" s="60"/>
    </row>
    <row r="1326" spans="2:40" ht="18" customHeight="1" x14ac:dyDescent="0.25">
      <c r="B1326" s="61"/>
      <c r="C1326" s="214" t="s">
        <v>705</v>
      </c>
      <c r="D1326" s="215"/>
      <c r="E1326" s="216"/>
      <c r="F1326" s="62"/>
      <c r="G1326" s="214" t="s">
        <v>109</v>
      </c>
      <c r="H1326" s="215"/>
      <c r="I1326" s="216"/>
      <c r="J1326" s="63"/>
      <c r="L1326" s="61"/>
      <c r="M1326" s="214" t="s">
        <v>705</v>
      </c>
      <c r="N1326" s="215"/>
      <c r="O1326" s="216"/>
      <c r="P1326" s="62"/>
      <c r="Q1326" s="214" t="s">
        <v>1564</v>
      </c>
      <c r="R1326" s="215"/>
      <c r="S1326" s="216"/>
      <c r="T1326" s="63"/>
      <c r="V1326" s="61"/>
      <c r="W1326" s="214" t="s">
        <v>705</v>
      </c>
      <c r="X1326" s="215"/>
      <c r="Y1326" s="216"/>
      <c r="Z1326" s="62"/>
      <c r="AA1326" s="214" t="s">
        <v>109</v>
      </c>
      <c r="AB1326" s="215"/>
      <c r="AC1326" s="216"/>
      <c r="AD1326" s="63"/>
      <c r="AF1326" s="61"/>
      <c r="AG1326" s="214" t="s">
        <v>705</v>
      </c>
      <c r="AH1326" s="215"/>
      <c r="AI1326" s="216"/>
      <c r="AJ1326" s="62"/>
      <c r="AK1326" s="214" t="s">
        <v>1565</v>
      </c>
      <c r="AL1326" s="215"/>
      <c r="AM1326" s="216"/>
      <c r="AN1326" s="63"/>
    </row>
    <row r="1327" spans="2:40" ht="6.95" customHeight="1" x14ac:dyDescent="0.25">
      <c r="B1327" s="59"/>
      <c r="C1327" s="62"/>
      <c r="D1327" s="62"/>
      <c r="E1327" s="62"/>
      <c r="F1327" s="62"/>
      <c r="G1327" s="62"/>
      <c r="H1327" s="62"/>
      <c r="I1327" s="62"/>
      <c r="J1327" s="60"/>
      <c r="L1327" s="59"/>
      <c r="M1327" s="62"/>
      <c r="N1327" s="62"/>
      <c r="O1327" s="62"/>
      <c r="P1327" s="62"/>
      <c r="Q1327" s="62"/>
      <c r="R1327" s="62"/>
      <c r="S1327" s="62"/>
      <c r="T1327" s="60"/>
      <c r="V1327" s="59"/>
      <c r="W1327" s="62"/>
      <c r="X1327" s="62"/>
      <c r="Y1327" s="62"/>
      <c r="Z1327" s="62"/>
      <c r="AA1327" s="62"/>
      <c r="AB1327" s="62"/>
      <c r="AC1327" s="62"/>
      <c r="AD1327" s="60"/>
      <c r="AF1327" s="59"/>
      <c r="AG1327" s="62"/>
      <c r="AH1327" s="62"/>
      <c r="AI1327" s="62"/>
      <c r="AJ1327" s="62"/>
      <c r="AK1327" s="62"/>
      <c r="AL1327" s="62"/>
      <c r="AM1327" s="62"/>
      <c r="AN1327" s="60"/>
    </row>
    <row r="1328" spans="2:40" ht="18" customHeight="1" x14ac:dyDescent="0.25">
      <c r="B1328" s="61"/>
      <c r="C1328" s="214" t="s">
        <v>708</v>
      </c>
      <c r="D1328" s="215"/>
      <c r="E1328" s="216"/>
      <c r="F1328" s="62"/>
      <c r="G1328" s="214" t="s">
        <v>109</v>
      </c>
      <c r="H1328" s="215"/>
      <c r="I1328" s="216"/>
      <c r="J1328" s="63"/>
      <c r="L1328" s="61"/>
      <c r="M1328" s="214" t="s">
        <v>708</v>
      </c>
      <c r="N1328" s="215"/>
      <c r="O1328" s="216"/>
      <c r="P1328" s="62"/>
      <c r="Q1328" s="214" t="s">
        <v>748</v>
      </c>
      <c r="R1328" s="215"/>
      <c r="S1328" s="216"/>
      <c r="T1328" s="63"/>
      <c r="V1328" s="61"/>
      <c r="W1328" s="214" t="s">
        <v>708</v>
      </c>
      <c r="X1328" s="215"/>
      <c r="Y1328" s="216"/>
      <c r="Z1328" s="62"/>
      <c r="AA1328" s="214" t="s">
        <v>109</v>
      </c>
      <c r="AB1328" s="215"/>
      <c r="AC1328" s="216"/>
      <c r="AD1328" s="63"/>
      <c r="AF1328" s="61"/>
      <c r="AG1328" s="214" t="s">
        <v>708</v>
      </c>
      <c r="AH1328" s="215"/>
      <c r="AI1328" s="216"/>
      <c r="AJ1328" s="62"/>
      <c r="AK1328" s="214" t="s">
        <v>1566</v>
      </c>
      <c r="AL1328" s="215"/>
      <c r="AM1328" s="216"/>
      <c r="AN1328" s="63"/>
    </row>
    <row r="1329" spans="2:40" ht="6.95" customHeight="1" x14ac:dyDescent="0.25">
      <c r="B1329" s="59"/>
      <c r="C1329" s="62"/>
      <c r="D1329" s="62"/>
      <c r="E1329" s="62"/>
      <c r="F1329" s="62"/>
      <c r="G1329" s="62"/>
      <c r="H1329" s="62"/>
      <c r="I1329" s="62"/>
      <c r="J1329" s="60"/>
      <c r="L1329" s="59"/>
      <c r="M1329" s="62"/>
      <c r="N1329" s="62"/>
      <c r="O1329" s="62"/>
      <c r="P1329" s="62"/>
      <c r="Q1329" s="62"/>
      <c r="R1329" s="62"/>
      <c r="S1329" s="62"/>
      <c r="T1329" s="60"/>
      <c r="V1329" s="59"/>
      <c r="W1329" s="62"/>
      <c r="X1329" s="62"/>
      <c r="Y1329" s="62"/>
      <c r="Z1329" s="62"/>
      <c r="AA1329" s="62"/>
      <c r="AB1329" s="62"/>
      <c r="AC1329" s="62"/>
      <c r="AD1329" s="60"/>
      <c r="AF1329" s="59"/>
      <c r="AG1329" s="62"/>
      <c r="AH1329" s="62"/>
      <c r="AI1329" s="62"/>
      <c r="AJ1329" s="62"/>
      <c r="AK1329" s="62"/>
      <c r="AL1329" s="62"/>
      <c r="AM1329" s="62"/>
      <c r="AN1329" s="60"/>
    </row>
    <row r="1330" spans="2:40" ht="18" customHeight="1" x14ac:dyDescent="0.25">
      <c r="B1330" s="61"/>
      <c r="C1330" s="214" t="s">
        <v>711</v>
      </c>
      <c r="D1330" s="215"/>
      <c r="E1330" s="216"/>
      <c r="F1330" s="62"/>
      <c r="G1330" s="214" t="s">
        <v>712</v>
      </c>
      <c r="H1330" s="215"/>
      <c r="I1330" s="216"/>
      <c r="J1330" s="63"/>
      <c r="L1330" s="61"/>
      <c r="M1330" s="214" t="s">
        <v>711</v>
      </c>
      <c r="N1330" s="215"/>
      <c r="O1330" s="216"/>
      <c r="P1330" s="62"/>
      <c r="Q1330" s="214" t="s">
        <v>712</v>
      </c>
      <c r="R1330" s="215"/>
      <c r="S1330" s="216"/>
      <c r="T1330" s="63"/>
      <c r="V1330" s="61"/>
      <c r="W1330" s="214" t="s">
        <v>711</v>
      </c>
      <c r="X1330" s="215"/>
      <c r="Y1330" s="216"/>
      <c r="Z1330" s="62"/>
      <c r="AA1330" s="214" t="s">
        <v>712</v>
      </c>
      <c r="AB1330" s="215"/>
      <c r="AC1330" s="216"/>
      <c r="AD1330" s="63"/>
      <c r="AF1330" s="61"/>
      <c r="AG1330" s="214" t="s">
        <v>711</v>
      </c>
      <c r="AH1330" s="215"/>
      <c r="AI1330" s="216"/>
      <c r="AJ1330" s="62"/>
      <c r="AK1330" s="214" t="s">
        <v>712</v>
      </c>
      <c r="AL1330" s="215"/>
      <c r="AM1330" s="216"/>
      <c r="AN1330" s="63"/>
    </row>
    <row r="1331" spans="2:40" ht="6.95" customHeight="1" x14ac:dyDescent="0.25">
      <c r="B1331" s="59"/>
      <c r="C1331" s="62"/>
      <c r="D1331" s="62"/>
      <c r="E1331" s="62"/>
      <c r="F1331" s="62"/>
      <c r="G1331" s="62"/>
      <c r="H1331" s="62"/>
      <c r="I1331" s="62"/>
      <c r="J1331" s="60"/>
      <c r="L1331" s="59"/>
      <c r="M1331" s="62"/>
      <c r="N1331" s="62"/>
      <c r="O1331" s="62"/>
      <c r="P1331" s="62"/>
      <c r="Q1331" s="62"/>
      <c r="R1331" s="62"/>
      <c r="S1331" s="62"/>
      <c r="T1331" s="60"/>
      <c r="V1331" s="59"/>
      <c r="W1331" s="62"/>
      <c r="X1331" s="62"/>
      <c r="Y1331" s="62"/>
      <c r="Z1331" s="62"/>
      <c r="AA1331" s="62"/>
      <c r="AB1331" s="62"/>
      <c r="AC1331" s="62"/>
      <c r="AD1331" s="60"/>
      <c r="AF1331" s="59"/>
      <c r="AG1331" s="62"/>
      <c r="AH1331" s="62"/>
      <c r="AI1331" s="62"/>
      <c r="AJ1331" s="62"/>
      <c r="AK1331" s="62"/>
      <c r="AL1331" s="62"/>
      <c r="AM1331" s="62"/>
      <c r="AN1331" s="60"/>
    </row>
    <row r="1332" spans="2:40" ht="18" customHeight="1" x14ac:dyDescent="0.25">
      <c r="B1332" s="61"/>
      <c r="C1332" s="214" t="s">
        <v>1273</v>
      </c>
      <c r="D1332" s="215"/>
      <c r="E1332" s="216"/>
      <c r="F1332" s="62"/>
      <c r="G1332" s="214" t="s">
        <v>1567</v>
      </c>
      <c r="H1332" s="215"/>
      <c r="I1332" s="216"/>
      <c r="J1332" s="63"/>
      <c r="L1332" s="61"/>
      <c r="M1332" s="214" t="s">
        <v>1273</v>
      </c>
      <c r="N1332" s="215"/>
      <c r="O1332" s="216"/>
      <c r="P1332" s="62"/>
      <c r="Q1332" s="214" t="s">
        <v>1568</v>
      </c>
      <c r="R1332" s="215"/>
      <c r="S1332" s="216"/>
      <c r="T1332" s="63"/>
      <c r="V1332" s="61"/>
      <c r="W1332" s="214" t="s">
        <v>1273</v>
      </c>
      <c r="X1332" s="215"/>
      <c r="Y1332" s="216"/>
      <c r="Z1332" s="62"/>
      <c r="AA1332" s="214" t="s">
        <v>1569</v>
      </c>
      <c r="AB1332" s="215"/>
      <c r="AC1332" s="216"/>
      <c r="AD1332" s="63"/>
      <c r="AF1332" s="61"/>
      <c r="AG1332" s="214" t="s">
        <v>1273</v>
      </c>
      <c r="AH1332" s="215"/>
      <c r="AI1332" s="216"/>
      <c r="AJ1332" s="62"/>
      <c r="AK1332" s="214" t="s">
        <v>1570</v>
      </c>
      <c r="AL1332" s="215"/>
      <c r="AM1332" s="216"/>
      <c r="AN1332" s="63"/>
    </row>
    <row r="1333" spans="2:40" ht="6.95" customHeight="1" x14ac:dyDescent="0.25">
      <c r="B1333" s="59"/>
      <c r="C1333" s="62"/>
      <c r="D1333" s="62"/>
      <c r="E1333" s="62"/>
      <c r="F1333" s="62"/>
      <c r="G1333" s="62"/>
      <c r="H1333" s="62"/>
      <c r="I1333" s="62"/>
      <c r="J1333" s="60"/>
      <c r="L1333" s="59"/>
      <c r="M1333" s="62"/>
      <c r="N1333" s="62"/>
      <c r="O1333" s="62"/>
      <c r="P1333" s="62"/>
      <c r="Q1333" s="62"/>
      <c r="R1333" s="62"/>
      <c r="S1333" s="62"/>
      <c r="T1333" s="60"/>
      <c r="V1333" s="59"/>
      <c r="W1333" s="62"/>
      <c r="X1333" s="62"/>
      <c r="Y1333" s="62"/>
      <c r="Z1333" s="62"/>
      <c r="AA1333" s="62"/>
      <c r="AB1333" s="62"/>
      <c r="AC1333" s="62"/>
      <c r="AD1333" s="60"/>
      <c r="AF1333" s="59"/>
      <c r="AG1333" s="62"/>
      <c r="AH1333" s="62"/>
      <c r="AI1333" s="62"/>
      <c r="AJ1333" s="62"/>
      <c r="AK1333" s="62"/>
      <c r="AL1333" s="62"/>
      <c r="AM1333" s="62"/>
      <c r="AN1333" s="60"/>
    </row>
    <row r="1334" spans="2:40" ht="18" customHeight="1" x14ac:dyDescent="0.25">
      <c r="B1334" s="61"/>
      <c r="C1334" s="214" t="s">
        <v>713</v>
      </c>
      <c r="D1334" s="215"/>
      <c r="E1334" s="216"/>
      <c r="F1334" s="62"/>
      <c r="G1334" s="220" t="s">
        <v>1293</v>
      </c>
      <c r="H1334" s="220"/>
      <c r="I1334" s="220"/>
      <c r="J1334" s="63"/>
      <c r="L1334" s="61"/>
      <c r="M1334" s="214" t="s">
        <v>713</v>
      </c>
      <c r="N1334" s="215"/>
      <c r="O1334" s="216"/>
      <c r="P1334" s="62"/>
      <c r="Q1334" s="220" t="s">
        <v>1293</v>
      </c>
      <c r="R1334" s="220"/>
      <c r="S1334" s="220"/>
      <c r="T1334" s="63"/>
      <c r="V1334" s="61"/>
      <c r="W1334" s="214" t="s">
        <v>713</v>
      </c>
      <c r="X1334" s="215"/>
      <c r="Y1334" s="216"/>
      <c r="Z1334" s="62"/>
      <c r="AA1334" s="220" t="s">
        <v>1293</v>
      </c>
      <c r="AB1334" s="220"/>
      <c r="AC1334" s="220"/>
      <c r="AD1334" s="63"/>
      <c r="AF1334" s="61"/>
      <c r="AG1334" s="214" t="s">
        <v>713</v>
      </c>
      <c r="AH1334" s="215"/>
      <c r="AI1334" s="216"/>
      <c r="AJ1334" s="62"/>
      <c r="AK1334" s="220" t="s">
        <v>1293</v>
      </c>
      <c r="AL1334" s="220"/>
      <c r="AM1334" s="220"/>
      <c r="AN1334" s="63"/>
    </row>
    <row r="1335" spans="2:40" ht="6.95" customHeight="1" x14ac:dyDescent="0.25">
      <c r="B1335" s="59"/>
      <c r="C1335" s="128"/>
      <c r="D1335" s="128"/>
      <c r="E1335" s="128"/>
      <c r="F1335" s="62"/>
      <c r="G1335" s="128"/>
      <c r="H1335" s="128"/>
      <c r="I1335" s="128"/>
      <c r="J1335" s="63"/>
      <c r="L1335" s="59"/>
      <c r="M1335" s="128"/>
      <c r="N1335" s="128"/>
      <c r="O1335" s="128"/>
      <c r="P1335" s="62"/>
      <c r="Q1335" s="128"/>
      <c r="R1335" s="128"/>
      <c r="S1335" s="128"/>
      <c r="T1335" s="63"/>
      <c r="V1335" s="59"/>
      <c r="W1335" s="128"/>
      <c r="X1335" s="128"/>
      <c r="Y1335" s="128"/>
      <c r="Z1335" s="62"/>
      <c r="AA1335" s="128"/>
      <c r="AB1335" s="128"/>
      <c r="AC1335" s="128"/>
      <c r="AD1335" s="63"/>
      <c r="AF1335" s="59"/>
      <c r="AG1335" s="128"/>
      <c r="AH1335" s="128"/>
      <c r="AI1335" s="128"/>
      <c r="AJ1335" s="62"/>
      <c r="AK1335" s="128"/>
      <c r="AL1335" s="128"/>
      <c r="AM1335" s="128"/>
      <c r="AN1335" s="63"/>
    </row>
    <row r="1336" spans="2:40" ht="18" customHeight="1" x14ac:dyDescent="0.25">
      <c r="B1336" s="59"/>
      <c r="C1336" s="220" t="s">
        <v>715</v>
      </c>
      <c r="D1336" s="220"/>
      <c r="E1336" s="220"/>
      <c r="F1336" s="62"/>
      <c r="G1336" s="220" t="s">
        <v>1270</v>
      </c>
      <c r="H1336" s="220"/>
      <c r="I1336" s="220"/>
      <c r="J1336" s="63"/>
      <c r="L1336" s="59"/>
      <c r="M1336" s="220" t="s">
        <v>715</v>
      </c>
      <c r="N1336" s="220"/>
      <c r="O1336" s="220"/>
      <c r="P1336" s="62"/>
      <c r="Q1336" s="220" t="s">
        <v>1270</v>
      </c>
      <c r="R1336" s="220"/>
      <c r="S1336" s="220"/>
      <c r="T1336" s="63"/>
      <c r="V1336" s="59"/>
      <c r="W1336" s="220" t="s">
        <v>715</v>
      </c>
      <c r="X1336" s="220"/>
      <c r="Y1336" s="220"/>
      <c r="Z1336" s="62"/>
      <c r="AA1336" s="220" t="s">
        <v>1270</v>
      </c>
      <c r="AB1336" s="220"/>
      <c r="AC1336" s="220"/>
      <c r="AD1336" s="63"/>
      <c r="AF1336" s="59"/>
      <c r="AG1336" s="220" t="s">
        <v>715</v>
      </c>
      <c r="AH1336" s="220"/>
      <c r="AI1336" s="220"/>
      <c r="AJ1336" s="62"/>
      <c r="AK1336" s="220" t="s">
        <v>1270</v>
      </c>
      <c r="AL1336" s="220"/>
      <c r="AM1336" s="220"/>
      <c r="AN1336" s="63"/>
    </row>
    <row r="1337" spans="2:40" ht="6.95" customHeight="1" thickBot="1" x14ac:dyDescent="0.3">
      <c r="B1337" s="64"/>
      <c r="C1337" s="65"/>
      <c r="D1337" s="65"/>
      <c r="E1337" s="65"/>
      <c r="F1337" s="65"/>
      <c r="G1337" s="65"/>
      <c r="H1337" s="65"/>
      <c r="I1337" s="65"/>
      <c r="J1337" s="66"/>
      <c r="L1337" s="64"/>
      <c r="M1337" s="65"/>
      <c r="N1337" s="65"/>
      <c r="O1337" s="65"/>
      <c r="P1337" s="65"/>
      <c r="Q1337" s="65"/>
      <c r="R1337" s="65"/>
      <c r="S1337" s="65"/>
      <c r="T1337" s="66"/>
      <c r="V1337" s="64"/>
      <c r="W1337" s="65"/>
      <c r="X1337" s="65"/>
      <c r="Y1337" s="65"/>
      <c r="Z1337" s="65"/>
      <c r="AA1337" s="65"/>
      <c r="AB1337" s="65"/>
      <c r="AC1337" s="65"/>
      <c r="AD1337" s="66"/>
      <c r="AF1337" s="64"/>
      <c r="AG1337" s="65"/>
      <c r="AH1337" s="65"/>
      <c r="AI1337" s="65"/>
      <c r="AJ1337" s="65"/>
      <c r="AK1337" s="65"/>
      <c r="AL1337" s="65"/>
      <c r="AM1337" s="65"/>
      <c r="AN1337" s="66"/>
    </row>
    <row r="1338" spans="2:40" ht="32.1" customHeight="1" thickTop="1" x14ac:dyDescent="0.25">
      <c r="B1338" s="57"/>
      <c r="C1338" s="58"/>
      <c r="D1338" s="217" t="s">
        <v>697</v>
      </c>
      <c r="E1338" s="218"/>
      <c r="F1338" s="218"/>
      <c r="G1338" s="218"/>
      <c r="H1338" s="218"/>
      <c r="I1338" s="218"/>
      <c r="J1338" s="219"/>
      <c r="L1338" s="57"/>
      <c r="M1338" s="58"/>
      <c r="N1338" s="217" t="s">
        <v>697</v>
      </c>
      <c r="O1338" s="218"/>
      <c r="P1338" s="218"/>
      <c r="Q1338" s="218"/>
      <c r="R1338" s="218"/>
      <c r="S1338" s="218"/>
      <c r="T1338" s="219"/>
      <c r="U1338" t="s">
        <v>1571</v>
      </c>
      <c r="V1338" s="57"/>
      <c r="W1338" s="58"/>
      <c r="X1338" s="217" t="s">
        <v>697</v>
      </c>
      <c r="Y1338" s="217"/>
      <c r="Z1338" s="217"/>
      <c r="AA1338" s="217"/>
      <c r="AB1338" s="217"/>
      <c r="AC1338" s="217"/>
      <c r="AD1338" s="225"/>
      <c r="AF1338" s="57"/>
      <c r="AG1338" s="58"/>
      <c r="AH1338" s="217" t="s">
        <v>697</v>
      </c>
      <c r="AI1338" s="217"/>
      <c r="AJ1338" s="217"/>
      <c r="AK1338" s="217"/>
      <c r="AL1338" s="217"/>
      <c r="AM1338" s="217"/>
      <c r="AN1338" s="225"/>
    </row>
    <row r="1339" spans="2:40" ht="6.95" customHeight="1" x14ac:dyDescent="0.25">
      <c r="B1339" s="59"/>
      <c r="J1339" s="60"/>
      <c r="L1339" s="59"/>
      <c r="T1339" s="60"/>
      <c r="V1339" s="59"/>
      <c r="AD1339" s="60"/>
      <c r="AF1339" s="59"/>
      <c r="AN1339" s="60"/>
    </row>
    <row r="1340" spans="2:40" ht="18" customHeight="1" x14ac:dyDescent="0.25">
      <c r="B1340" s="61"/>
      <c r="C1340" s="214" t="s">
        <v>698</v>
      </c>
      <c r="D1340" s="215"/>
      <c r="E1340" s="216"/>
      <c r="F1340" s="62"/>
      <c r="G1340" s="214" t="s">
        <v>1572</v>
      </c>
      <c r="H1340" s="215"/>
      <c r="I1340" s="216"/>
      <c r="J1340" s="63"/>
      <c r="L1340" s="61"/>
      <c r="M1340" s="214" t="s">
        <v>698</v>
      </c>
      <c r="N1340" s="215"/>
      <c r="O1340" s="216"/>
      <c r="P1340" s="62"/>
      <c r="Q1340" s="214" t="s">
        <v>1559</v>
      </c>
      <c r="R1340" s="215"/>
      <c r="S1340" s="216"/>
      <c r="T1340" s="63"/>
      <c r="V1340" s="61"/>
      <c r="W1340" s="214" t="s">
        <v>698</v>
      </c>
      <c r="X1340" s="215"/>
      <c r="Y1340" s="216"/>
      <c r="Z1340" s="62"/>
      <c r="AA1340" s="214" t="s">
        <v>1573</v>
      </c>
      <c r="AB1340" s="215"/>
      <c r="AC1340" s="216"/>
      <c r="AD1340" s="63"/>
      <c r="AF1340" s="61"/>
      <c r="AG1340" s="214" t="s">
        <v>698</v>
      </c>
      <c r="AH1340" s="215"/>
      <c r="AI1340" s="216"/>
      <c r="AJ1340" s="62"/>
      <c r="AK1340" s="214" t="s">
        <v>905</v>
      </c>
      <c r="AL1340" s="215"/>
      <c r="AM1340" s="216"/>
      <c r="AN1340" s="63"/>
    </row>
    <row r="1341" spans="2:40" ht="6.95" customHeight="1" x14ac:dyDescent="0.25">
      <c r="B1341" s="59"/>
      <c r="C1341" s="62"/>
      <c r="D1341" s="62"/>
      <c r="E1341" s="62"/>
      <c r="F1341" s="62"/>
      <c r="G1341" s="62"/>
      <c r="H1341" s="62"/>
      <c r="I1341" s="62"/>
      <c r="J1341" s="60"/>
      <c r="L1341" s="59"/>
      <c r="M1341" s="62"/>
      <c r="N1341" s="62"/>
      <c r="O1341" s="62"/>
      <c r="P1341" s="62"/>
      <c r="Q1341" s="62"/>
      <c r="R1341" s="62"/>
      <c r="S1341" s="62"/>
      <c r="T1341" s="60"/>
      <c r="V1341" s="59"/>
      <c r="W1341" s="62"/>
      <c r="X1341" s="62"/>
      <c r="Y1341" s="62"/>
      <c r="Z1341" s="62"/>
      <c r="AA1341" s="62"/>
      <c r="AB1341" s="62"/>
      <c r="AC1341" s="62"/>
      <c r="AD1341" s="60"/>
      <c r="AF1341" s="59"/>
      <c r="AG1341" s="62"/>
      <c r="AH1341" s="62"/>
      <c r="AI1341" s="62"/>
      <c r="AJ1341" s="62"/>
      <c r="AK1341" s="62"/>
      <c r="AL1341" s="62"/>
      <c r="AM1341" s="62"/>
      <c r="AN1341" s="60"/>
    </row>
    <row r="1342" spans="2:40" ht="18" customHeight="1" x14ac:dyDescent="0.25">
      <c r="B1342" s="61"/>
      <c r="C1342" s="214" t="s">
        <v>699</v>
      </c>
      <c r="D1342" s="215"/>
      <c r="E1342" s="216"/>
      <c r="F1342" s="62"/>
      <c r="G1342" s="214" t="s">
        <v>1640</v>
      </c>
      <c r="H1342" s="215"/>
      <c r="I1342" s="216"/>
      <c r="J1342" s="63"/>
      <c r="L1342" s="61"/>
      <c r="M1342" s="214" t="s">
        <v>699</v>
      </c>
      <c r="N1342" s="215"/>
      <c r="O1342" s="216"/>
      <c r="P1342" s="62"/>
      <c r="Q1342" s="214" t="s">
        <v>1640</v>
      </c>
      <c r="R1342" s="215"/>
      <c r="S1342" s="216"/>
      <c r="T1342" s="63"/>
      <c r="V1342" s="61"/>
      <c r="W1342" s="214" t="s">
        <v>699</v>
      </c>
      <c r="X1342" s="215"/>
      <c r="Y1342" s="216"/>
      <c r="Z1342" s="62"/>
      <c r="AA1342" s="214" t="s">
        <v>1639</v>
      </c>
      <c r="AB1342" s="215"/>
      <c r="AC1342" s="216"/>
      <c r="AD1342" s="63"/>
      <c r="AF1342" s="61"/>
      <c r="AG1342" s="214" t="s">
        <v>699</v>
      </c>
      <c r="AH1342" s="215"/>
      <c r="AI1342" s="216"/>
      <c r="AJ1342" s="62"/>
      <c r="AK1342" s="214" t="s">
        <v>1639</v>
      </c>
      <c r="AL1342" s="215"/>
      <c r="AM1342" s="216"/>
      <c r="AN1342" s="63"/>
    </row>
    <row r="1343" spans="2:40" ht="6.95" customHeight="1" x14ac:dyDescent="0.25">
      <c r="B1343" s="59"/>
      <c r="C1343" s="62"/>
      <c r="D1343" s="62"/>
      <c r="E1343" s="62"/>
      <c r="F1343" s="62"/>
      <c r="G1343" s="62"/>
      <c r="H1343" s="62"/>
      <c r="I1343" s="62"/>
      <c r="J1343" s="60"/>
      <c r="L1343" s="59"/>
      <c r="M1343" s="62"/>
      <c r="N1343" s="62"/>
      <c r="O1343" s="62"/>
      <c r="P1343" s="62"/>
      <c r="Q1343" s="62"/>
      <c r="R1343" s="62"/>
      <c r="S1343" s="62"/>
      <c r="T1343" s="60"/>
      <c r="V1343" s="59"/>
      <c r="W1343" s="62"/>
      <c r="X1343" s="62"/>
      <c r="Y1343" s="62"/>
      <c r="Z1343" s="62"/>
      <c r="AA1343" s="62"/>
      <c r="AB1343" s="62"/>
      <c r="AC1343" s="62"/>
      <c r="AD1343" s="60"/>
      <c r="AF1343" s="59"/>
      <c r="AG1343" s="62"/>
      <c r="AH1343" s="62"/>
      <c r="AI1343" s="62"/>
      <c r="AJ1343" s="62"/>
      <c r="AK1343" s="62"/>
      <c r="AL1343" s="62"/>
      <c r="AM1343" s="62"/>
      <c r="AN1343" s="60"/>
    </row>
    <row r="1344" spans="2:40" ht="18" customHeight="1" x14ac:dyDescent="0.25">
      <c r="B1344" s="61"/>
      <c r="C1344" s="214" t="s">
        <v>701</v>
      </c>
      <c r="D1344" s="215"/>
      <c r="E1344" s="216"/>
      <c r="F1344" s="62"/>
      <c r="G1344" s="214" t="s">
        <v>973</v>
      </c>
      <c r="H1344" s="215"/>
      <c r="I1344" s="216"/>
      <c r="J1344" s="63"/>
      <c r="L1344" s="61"/>
      <c r="M1344" s="214" t="s">
        <v>701</v>
      </c>
      <c r="N1344" s="215"/>
      <c r="O1344" s="216"/>
      <c r="P1344" s="62"/>
      <c r="Q1344" s="214" t="s">
        <v>973</v>
      </c>
      <c r="R1344" s="215"/>
      <c r="S1344" s="216"/>
      <c r="T1344" s="63"/>
      <c r="V1344" s="61"/>
      <c r="W1344" s="214" t="s">
        <v>701</v>
      </c>
      <c r="X1344" s="215"/>
      <c r="Y1344" s="216"/>
      <c r="Z1344" s="62"/>
      <c r="AA1344" s="214" t="s">
        <v>986</v>
      </c>
      <c r="AB1344" s="215"/>
      <c r="AC1344" s="216"/>
      <c r="AD1344" s="63"/>
      <c r="AF1344" s="61"/>
      <c r="AG1344" s="214" t="s">
        <v>701</v>
      </c>
      <c r="AH1344" s="215"/>
      <c r="AI1344" s="216"/>
      <c r="AJ1344" s="62"/>
      <c r="AK1344" s="214" t="s">
        <v>984</v>
      </c>
      <c r="AL1344" s="215"/>
      <c r="AM1344" s="216"/>
      <c r="AN1344" s="63"/>
    </row>
    <row r="1345" spans="2:40" ht="6.95" customHeight="1" x14ac:dyDescent="0.25">
      <c r="B1345" s="59"/>
      <c r="C1345" s="62"/>
      <c r="D1345" s="62"/>
      <c r="E1345" s="62"/>
      <c r="F1345" s="62"/>
      <c r="G1345" s="62"/>
      <c r="H1345" s="62"/>
      <c r="I1345" s="62"/>
      <c r="J1345" s="60"/>
      <c r="L1345" s="59"/>
      <c r="M1345" s="62"/>
      <c r="N1345" s="62"/>
      <c r="O1345" s="62"/>
      <c r="P1345" s="62"/>
      <c r="Q1345" s="62"/>
      <c r="R1345" s="62"/>
      <c r="S1345" s="62"/>
      <c r="T1345" s="60"/>
      <c r="V1345" s="59"/>
      <c r="W1345" s="62"/>
      <c r="X1345" s="62"/>
      <c r="Y1345" s="62"/>
      <c r="Z1345" s="62"/>
      <c r="AA1345" s="62"/>
      <c r="AB1345" s="62"/>
      <c r="AC1345" s="62"/>
      <c r="AD1345" s="60"/>
      <c r="AF1345" s="59"/>
      <c r="AG1345" s="62"/>
      <c r="AH1345" s="62"/>
      <c r="AI1345" s="62"/>
      <c r="AJ1345" s="62"/>
      <c r="AK1345" s="62"/>
      <c r="AL1345" s="62"/>
      <c r="AM1345" s="62"/>
      <c r="AN1345" s="60"/>
    </row>
    <row r="1346" spans="2:40" ht="18" customHeight="1" x14ac:dyDescent="0.25">
      <c r="B1346" s="61"/>
      <c r="C1346" s="214" t="s">
        <v>703</v>
      </c>
      <c r="D1346" s="215"/>
      <c r="E1346" s="216"/>
      <c r="F1346" s="62"/>
      <c r="G1346" s="214" t="s">
        <v>109</v>
      </c>
      <c r="H1346" s="215"/>
      <c r="I1346" s="216"/>
      <c r="J1346" s="63"/>
      <c r="L1346" s="61"/>
      <c r="M1346" s="214" t="s">
        <v>703</v>
      </c>
      <c r="N1346" s="215"/>
      <c r="O1346" s="216"/>
      <c r="P1346" s="62"/>
      <c r="Q1346" s="214" t="s">
        <v>109</v>
      </c>
      <c r="R1346" s="215"/>
      <c r="S1346" s="216"/>
      <c r="T1346" s="63"/>
      <c r="V1346" s="61"/>
      <c r="W1346" s="214" t="s">
        <v>703</v>
      </c>
      <c r="X1346" s="215"/>
      <c r="Y1346" s="216"/>
      <c r="Z1346" s="62"/>
      <c r="AA1346" s="214" t="s">
        <v>109</v>
      </c>
      <c r="AB1346" s="215"/>
      <c r="AC1346" s="216"/>
      <c r="AD1346" s="63"/>
      <c r="AF1346" s="61"/>
      <c r="AG1346" s="214" t="s">
        <v>703</v>
      </c>
      <c r="AH1346" s="215"/>
      <c r="AI1346" s="216"/>
      <c r="AJ1346" s="62"/>
      <c r="AK1346" s="214" t="s">
        <v>109</v>
      </c>
      <c r="AL1346" s="215"/>
      <c r="AM1346" s="216"/>
      <c r="AN1346" s="63"/>
    </row>
    <row r="1347" spans="2:40" ht="6.95" customHeight="1" x14ac:dyDescent="0.25">
      <c r="B1347" s="59"/>
      <c r="C1347" s="62"/>
      <c r="D1347" s="62"/>
      <c r="E1347" s="62"/>
      <c r="F1347" s="62"/>
      <c r="G1347" s="62"/>
      <c r="H1347" s="62"/>
      <c r="I1347" s="62"/>
      <c r="J1347" s="60"/>
      <c r="L1347" s="59"/>
      <c r="M1347" s="62"/>
      <c r="N1347" s="62"/>
      <c r="O1347" s="62"/>
      <c r="P1347" s="62"/>
      <c r="Q1347" s="62"/>
      <c r="R1347" s="62"/>
      <c r="S1347" s="62"/>
      <c r="T1347" s="60"/>
      <c r="V1347" s="59"/>
      <c r="W1347" s="62"/>
      <c r="X1347" s="62"/>
      <c r="Y1347" s="62"/>
      <c r="Z1347" s="62"/>
      <c r="AA1347" s="62"/>
      <c r="AB1347" s="62"/>
      <c r="AC1347" s="62"/>
      <c r="AD1347" s="60"/>
      <c r="AF1347" s="59"/>
      <c r="AG1347" s="62"/>
      <c r="AH1347" s="62"/>
      <c r="AI1347" s="62"/>
      <c r="AJ1347" s="62"/>
      <c r="AK1347" s="62"/>
      <c r="AL1347" s="62"/>
      <c r="AM1347" s="62"/>
      <c r="AN1347" s="60"/>
    </row>
    <row r="1348" spans="2:40" ht="18" customHeight="1" x14ac:dyDescent="0.25">
      <c r="B1348" s="61"/>
      <c r="C1348" s="214" t="s">
        <v>705</v>
      </c>
      <c r="D1348" s="215"/>
      <c r="E1348" s="216"/>
      <c r="F1348" s="62"/>
      <c r="G1348" s="214" t="s">
        <v>1574</v>
      </c>
      <c r="H1348" s="215"/>
      <c r="I1348" s="216"/>
      <c r="J1348" s="63"/>
      <c r="L1348" s="61"/>
      <c r="M1348" s="214" t="s">
        <v>705</v>
      </c>
      <c r="N1348" s="215"/>
      <c r="O1348" s="216"/>
      <c r="P1348" s="62"/>
      <c r="Q1348" s="214" t="s">
        <v>1575</v>
      </c>
      <c r="R1348" s="215"/>
      <c r="S1348" s="216"/>
      <c r="T1348" s="63"/>
      <c r="V1348" s="61"/>
      <c r="W1348" s="214" t="s">
        <v>705</v>
      </c>
      <c r="X1348" s="215"/>
      <c r="Y1348" s="216"/>
      <c r="Z1348" s="62"/>
      <c r="AA1348" s="214" t="s">
        <v>109</v>
      </c>
      <c r="AB1348" s="215"/>
      <c r="AC1348" s="216"/>
      <c r="AD1348" s="63"/>
      <c r="AF1348" s="61"/>
      <c r="AG1348" s="214" t="s">
        <v>705</v>
      </c>
      <c r="AH1348" s="215"/>
      <c r="AI1348" s="216"/>
      <c r="AJ1348" s="62"/>
      <c r="AK1348" s="214" t="s">
        <v>1576</v>
      </c>
      <c r="AL1348" s="215"/>
      <c r="AM1348" s="216"/>
      <c r="AN1348" s="63"/>
    </row>
    <row r="1349" spans="2:40" ht="6.95" customHeight="1" x14ac:dyDescent="0.25">
      <c r="B1349" s="59"/>
      <c r="C1349" s="62"/>
      <c r="D1349" s="62"/>
      <c r="E1349" s="62"/>
      <c r="F1349" s="62"/>
      <c r="G1349" s="62"/>
      <c r="H1349" s="62"/>
      <c r="I1349" s="62"/>
      <c r="J1349" s="60"/>
      <c r="L1349" s="59"/>
      <c r="M1349" s="62"/>
      <c r="N1349" s="62"/>
      <c r="O1349" s="62"/>
      <c r="P1349" s="62"/>
      <c r="Q1349" s="62"/>
      <c r="R1349" s="62"/>
      <c r="S1349" s="62"/>
      <c r="T1349" s="60"/>
      <c r="V1349" s="59"/>
      <c r="W1349" s="62"/>
      <c r="X1349" s="62"/>
      <c r="Y1349" s="62"/>
      <c r="Z1349" s="62"/>
      <c r="AA1349" s="62"/>
      <c r="AB1349" s="62"/>
      <c r="AC1349" s="62"/>
      <c r="AD1349" s="60"/>
      <c r="AF1349" s="59"/>
      <c r="AG1349" s="62"/>
      <c r="AH1349" s="62"/>
      <c r="AI1349" s="62"/>
      <c r="AJ1349" s="62"/>
      <c r="AK1349" s="62"/>
      <c r="AL1349" s="62"/>
      <c r="AM1349" s="62"/>
      <c r="AN1349" s="60"/>
    </row>
    <row r="1350" spans="2:40" ht="18" customHeight="1" x14ac:dyDescent="0.25">
      <c r="B1350" s="61"/>
      <c r="C1350" s="214" t="s">
        <v>708</v>
      </c>
      <c r="D1350" s="215"/>
      <c r="E1350" s="216"/>
      <c r="F1350" s="62"/>
      <c r="G1350" s="214" t="s">
        <v>1577</v>
      </c>
      <c r="H1350" s="215"/>
      <c r="I1350" s="216"/>
      <c r="J1350" s="63"/>
      <c r="L1350" s="61"/>
      <c r="M1350" s="214" t="s">
        <v>708</v>
      </c>
      <c r="N1350" s="215"/>
      <c r="O1350" s="216"/>
      <c r="P1350" s="62"/>
      <c r="Q1350" s="214" t="s">
        <v>1578</v>
      </c>
      <c r="R1350" s="215"/>
      <c r="S1350" s="216"/>
      <c r="T1350" s="63"/>
      <c r="V1350" s="61"/>
      <c r="W1350" s="214" t="s">
        <v>708</v>
      </c>
      <c r="X1350" s="215"/>
      <c r="Y1350" s="216"/>
      <c r="Z1350" s="62"/>
      <c r="AA1350" s="214" t="s">
        <v>109</v>
      </c>
      <c r="AB1350" s="215"/>
      <c r="AC1350" s="216"/>
      <c r="AD1350" s="63"/>
      <c r="AF1350" s="61"/>
      <c r="AG1350" s="214" t="s">
        <v>708</v>
      </c>
      <c r="AH1350" s="215"/>
      <c r="AI1350" s="216"/>
      <c r="AJ1350" s="62"/>
      <c r="AK1350" s="214" t="s">
        <v>1579</v>
      </c>
      <c r="AL1350" s="215"/>
      <c r="AM1350" s="216"/>
      <c r="AN1350" s="63"/>
    </row>
    <row r="1351" spans="2:40" ht="6.95" customHeight="1" x14ac:dyDescent="0.25">
      <c r="B1351" s="59"/>
      <c r="C1351" s="62"/>
      <c r="D1351" s="62"/>
      <c r="E1351" s="62"/>
      <c r="F1351" s="62"/>
      <c r="G1351" s="62"/>
      <c r="H1351" s="62"/>
      <c r="I1351" s="62"/>
      <c r="J1351" s="60"/>
      <c r="L1351" s="59"/>
      <c r="M1351" s="62"/>
      <c r="N1351" s="62"/>
      <c r="O1351" s="62"/>
      <c r="P1351" s="62"/>
      <c r="Q1351" s="62"/>
      <c r="R1351" s="62"/>
      <c r="S1351" s="62"/>
      <c r="T1351" s="60"/>
      <c r="V1351" s="59"/>
      <c r="W1351" s="62"/>
      <c r="X1351" s="62"/>
      <c r="Y1351" s="62"/>
      <c r="Z1351" s="62"/>
      <c r="AA1351" s="62"/>
      <c r="AB1351" s="62"/>
      <c r="AC1351" s="62"/>
      <c r="AD1351" s="60"/>
      <c r="AF1351" s="59"/>
      <c r="AG1351" s="62"/>
      <c r="AH1351" s="62"/>
      <c r="AI1351" s="62"/>
      <c r="AJ1351" s="62"/>
      <c r="AK1351" s="62"/>
      <c r="AL1351" s="62"/>
      <c r="AM1351" s="62"/>
      <c r="AN1351" s="60"/>
    </row>
    <row r="1352" spans="2:40" ht="18" customHeight="1" x14ac:dyDescent="0.25">
      <c r="B1352" s="61"/>
      <c r="C1352" s="214" t="s">
        <v>711</v>
      </c>
      <c r="D1352" s="215"/>
      <c r="E1352" s="216"/>
      <c r="F1352" s="62"/>
      <c r="G1352" s="214" t="s">
        <v>712</v>
      </c>
      <c r="H1352" s="215"/>
      <c r="I1352" s="216"/>
      <c r="J1352" s="63"/>
      <c r="L1352" s="61"/>
      <c r="M1352" s="214" t="s">
        <v>711</v>
      </c>
      <c r="N1352" s="215"/>
      <c r="O1352" s="216"/>
      <c r="P1352" s="62"/>
      <c r="Q1352" s="214" t="s">
        <v>712</v>
      </c>
      <c r="R1352" s="215"/>
      <c r="S1352" s="216"/>
      <c r="T1352" s="63"/>
      <c r="V1352" s="61"/>
      <c r="W1352" s="214" t="s">
        <v>711</v>
      </c>
      <c r="X1352" s="215"/>
      <c r="Y1352" s="216"/>
      <c r="Z1352" s="62"/>
      <c r="AA1352" s="214" t="s">
        <v>712</v>
      </c>
      <c r="AB1352" s="215"/>
      <c r="AC1352" s="216"/>
      <c r="AD1352" s="63"/>
      <c r="AF1352" s="61"/>
      <c r="AG1352" s="214" t="s">
        <v>711</v>
      </c>
      <c r="AH1352" s="215"/>
      <c r="AI1352" s="216"/>
      <c r="AJ1352" s="62"/>
      <c r="AK1352" s="214" t="s">
        <v>712</v>
      </c>
      <c r="AL1352" s="215"/>
      <c r="AM1352" s="216"/>
      <c r="AN1352" s="63"/>
    </row>
    <row r="1353" spans="2:40" ht="6.95" customHeight="1" x14ac:dyDescent="0.25">
      <c r="B1353" s="59"/>
      <c r="C1353" s="62"/>
      <c r="D1353" s="62"/>
      <c r="E1353" s="62"/>
      <c r="F1353" s="62"/>
      <c r="G1353" s="62"/>
      <c r="H1353" s="62"/>
      <c r="I1353" s="62"/>
      <c r="J1353" s="60"/>
      <c r="L1353" s="59"/>
      <c r="M1353" s="62"/>
      <c r="N1353" s="62"/>
      <c r="O1353" s="62"/>
      <c r="P1353" s="62"/>
      <c r="Q1353" s="62"/>
      <c r="R1353" s="62"/>
      <c r="S1353" s="62"/>
      <c r="T1353" s="60"/>
      <c r="V1353" s="59"/>
      <c r="W1353" s="62"/>
      <c r="X1353" s="62"/>
      <c r="Y1353" s="62"/>
      <c r="Z1353" s="62"/>
      <c r="AA1353" s="62"/>
      <c r="AB1353" s="62"/>
      <c r="AC1353" s="62"/>
      <c r="AD1353" s="60"/>
      <c r="AF1353" s="59"/>
      <c r="AG1353" s="62"/>
      <c r="AH1353" s="62"/>
      <c r="AI1353" s="62"/>
      <c r="AJ1353" s="62"/>
      <c r="AK1353" s="62"/>
      <c r="AL1353" s="62"/>
      <c r="AM1353" s="62"/>
      <c r="AN1353" s="60"/>
    </row>
    <row r="1354" spans="2:40" ht="18" customHeight="1" x14ac:dyDescent="0.25">
      <c r="B1354" s="61"/>
      <c r="C1354" s="214" t="s">
        <v>1273</v>
      </c>
      <c r="D1354" s="215"/>
      <c r="E1354" s="216"/>
      <c r="F1354" s="62"/>
      <c r="G1354" s="214" t="s">
        <v>1580</v>
      </c>
      <c r="H1354" s="215"/>
      <c r="I1354" s="216"/>
      <c r="J1354" s="63"/>
      <c r="L1354" s="61"/>
      <c r="M1354" s="214" t="s">
        <v>1273</v>
      </c>
      <c r="N1354" s="215"/>
      <c r="O1354" s="216"/>
      <c r="P1354" s="62"/>
      <c r="Q1354" s="214" t="s">
        <v>1581</v>
      </c>
      <c r="R1354" s="215"/>
      <c r="S1354" s="216"/>
      <c r="T1354" s="63"/>
      <c r="V1354" s="61"/>
      <c r="W1354" s="214" t="s">
        <v>1273</v>
      </c>
      <c r="X1354" s="215"/>
      <c r="Y1354" s="216"/>
      <c r="Z1354" s="62"/>
      <c r="AA1354" s="214" t="s">
        <v>1582</v>
      </c>
      <c r="AB1354" s="215"/>
      <c r="AC1354" s="216"/>
      <c r="AD1354" s="63"/>
      <c r="AF1354" s="61"/>
      <c r="AG1354" s="214" t="s">
        <v>1273</v>
      </c>
      <c r="AH1354" s="215"/>
      <c r="AI1354" s="216"/>
      <c r="AJ1354" s="62"/>
      <c r="AK1354" s="214" t="s">
        <v>1583</v>
      </c>
      <c r="AL1354" s="215"/>
      <c r="AM1354" s="216"/>
      <c r="AN1354" s="63"/>
    </row>
    <row r="1355" spans="2:40" ht="6.95" customHeight="1" x14ac:dyDescent="0.25">
      <c r="B1355" s="59"/>
      <c r="C1355" s="62"/>
      <c r="D1355" s="62"/>
      <c r="E1355" s="62"/>
      <c r="F1355" s="62"/>
      <c r="G1355" s="62"/>
      <c r="H1355" s="62"/>
      <c r="I1355" s="62"/>
      <c r="J1355" s="60"/>
      <c r="L1355" s="59"/>
      <c r="M1355" s="62"/>
      <c r="N1355" s="62"/>
      <c r="O1355" s="62"/>
      <c r="P1355" s="62"/>
      <c r="Q1355" s="62"/>
      <c r="R1355" s="62"/>
      <c r="S1355" s="62"/>
      <c r="T1355" s="60"/>
      <c r="V1355" s="59"/>
      <c r="W1355" s="62"/>
      <c r="X1355" s="62"/>
      <c r="Y1355" s="62"/>
      <c r="Z1355" s="62"/>
      <c r="AA1355" s="62"/>
      <c r="AB1355" s="62"/>
      <c r="AC1355" s="62"/>
      <c r="AD1355" s="60"/>
      <c r="AF1355" s="59"/>
      <c r="AG1355" s="62"/>
      <c r="AH1355" s="62"/>
      <c r="AI1355" s="62"/>
      <c r="AJ1355" s="62"/>
      <c r="AK1355" s="62"/>
      <c r="AL1355" s="62"/>
      <c r="AM1355" s="62"/>
      <c r="AN1355" s="60"/>
    </row>
    <row r="1356" spans="2:40" ht="18" customHeight="1" x14ac:dyDescent="0.25">
      <c r="B1356" s="61"/>
      <c r="C1356" s="214" t="s">
        <v>713</v>
      </c>
      <c r="D1356" s="215"/>
      <c r="E1356" s="216"/>
      <c r="F1356" s="62"/>
      <c r="G1356" s="220" t="s">
        <v>1293</v>
      </c>
      <c r="H1356" s="220"/>
      <c r="I1356" s="220"/>
      <c r="J1356" s="63"/>
      <c r="L1356" s="61"/>
      <c r="M1356" s="214" t="s">
        <v>713</v>
      </c>
      <c r="N1356" s="215"/>
      <c r="O1356" s="216"/>
      <c r="P1356" s="62"/>
      <c r="Q1356" s="220" t="s">
        <v>1293</v>
      </c>
      <c r="R1356" s="220"/>
      <c r="S1356" s="220"/>
      <c r="T1356" s="63"/>
      <c r="V1356" s="61"/>
      <c r="W1356" s="214" t="s">
        <v>713</v>
      </c>
      <c r="X1356" s="215"/>
      <c r="Y1356" s="216"/>
      <c r="Z1356" s="62"/>
      <c r="AA1356" s="220" t="s">
        <v>1293</v>
      </c>
      <c r="AB1356" s="220"/>
      <c r="AC1356" s="220"/>
      <c r="AD1356" s="63"/>
      <c r="AF1356" s="61"/>
      <c r="AG1356" s="214" t="s">
        <v>713</v>
      </c>
      <c r="AH1356" s="215"/>
      <c r="AI1356" s="216"/>
      <c r="AJ1356" s="62"/>
      <c r="AK1356" s="220" t="s">
        <v>1293</v>
      </c>
      <c r="AL1356" s="220"/>
      <c r="AM1356" s="220"/>
      <c r="AN1356" s="63"/>
    </row>
    <row r="1357" spans="2:40" ht="6.95" customHeight="1" x14ac:dyDescent="0.25">
      <c r="B1357" s="59"/>
      <c r="C1357" s="128"/>
      <c r="D1357" s="128"/>
      <c r="E1357" s="128"/>
      <c r="F1357" s="62"/>
      <c r="G1357" s="128"/>
      <c r="H1357" s="128"/>
      <c r="I1357" s="128"/>
      <c r="J1357" s="63"/>
      <c r="L1357" s="59"/>
      <c r="M1357" s="128"/>
      <c r="N1357" s="128"/>
      <c r="O1357" s="128"/>
      <c r="P1357" s="62"/>
      <c r="Q1357" s="128"/>
      <c r="R1357" s="128"/>
      <c r="S1357" s="128"/>
      <c r="T1357" s="63"/>
      <c r="V1357" s="59"/>
      <c r="W1357" s="128"/>
      <c r="X1357" s="128"/>
      <c r="Y1357" s="128"/>
      <c r="Z1357" s="62"/>
      <c r="AA1357" s="128"/>
      <c r="AB1357" s="128"/>
      <c r="AC1357" s="128"/>
      <c r="AD1357" s="63"/>
      <c r="AF1357" s="59"/>
      <c r="AG1357" s="128"/>
      <c r="AH1357" s="128"/>
      <c r="AI1357" s="128"/>
      <c r="AJ1357" s="62"/>
      <c r="AK1357" s="128"/>
      <c r="AL1357" s="128"/>
      <c r="AM1357" s="128"/>
      <c r="AN1357" s="63"/>
    </row>
    <row r="1358" spans="2:40" ht="18" customHeight="1" x14ac:dyDescent="0.25">
      <c r="B1358" s="59"/>
      <c r="C1358" s="220" t="s">
        <v>715</v>
      </c>
      <c r="D1358" s="220"/>
      <c r="E1358" s="220"/>
      <c r="F1358" s="62"/>
      <c r="G1358" s="220" t="s">
        <v>1270</v>
      </c>
      <c r="H1358" s="220"/>
      <c r="I1358" s="220"/>
      <c r="J1358" s="63"/>
      <c r="L1358" s="59"/>
      <c r="M1358" s="220" t="s">
        <v>715</v>
      </c>
      <c r="N1358" s="220"/>
      <c r="O1358" s="220"/>
      <c r="P1358" s="62"/>
      <c r="Q1358" s="220" t="s">
        <v>1270</v>
      </c>
      <c r="R1358" s="220"/>
      <c r="S1358" s="220"/>
      <c r="T1358" s="63"/>
      <c r="V1358" s="59"/>
      <c r="W1358" s="220" t="s">
        <v>715</v>
      </c>
      <c r="X1358" s="220"/>
      <c r="Y1358" s="220"/>
      <c r="Z1358" s="62"/>
      <c r="AA1358" s="220" t="s">
        <v>1270</v>
      </c>
      <c r="AB1358" s="220"/>
      <c r="AC1358" s="220"/>
      <c r="AD1358" s="63"/>
      <c r="AF1358" s="59"/>
      <c r="AG1358" s="220" t="s">
        <v>715</v>
      </c>
      <c r="AH1358" s="220"/>
      <c r="AI1358" s="220"/>
      <c r="AJ1358" s="62"/>
      <c r="AK1358" s="220" t="s">
        <v>1270</v>
      </c>
      <c r="AL1358" s="220"/>
      <c r="AM1358" s="220"/>
      <c r="AN1358" s="63"/>
    </row>
    <row r="1359" spans="2:40" ht="6.95" customHeight="1" thickBot="1" x14ac:dyDescent="0.3">
      <c r="B1359" s="64"/>
      <c r="C1359" s="65"/>
      <c r="D1359" s="65"/>
      <c r="E1359" s="65"/>
      <c r="F1359" s="65"/>
      <c r="G1359" s="65"/>
      <c r="H1359" s="65"/>
      <c r="I1359" s="65"/>
      <c r="J1359" s="66"/>
      <c r="L1359" s="64"/>
      <c r="M1359" s="65"/>
      <c r="N1359" s="65"/>
      <c r="O1359" s="65"/>
      <c r="P1359" s="65"/>
      <c r="Q1359" s="65"/>
      <c r="R1359" s="65"/>
      <c r="S1359" s="65"/>
      <c r="T1359" s="66"/>
      <c r="V1359" s="64"/>
      <c r="W1359" s="65"/>
      <c r="X1359" s="65"/>
      <c r="Y1359" s="65"/>
      <c r="Z1359" s="65"/>
      <c r="AA1359" s="65"/>
      <c r="AB1359" s="65"/>
      <c r="AC1359" s="65"/>
      <c r="AD1359" s="66"/>
      <c r="AF1359" s="64"/>
      <c r="AG1359" s="65"/>
      <c r="AH1359" s="65"/>
      <c r="AI1359" s="65"/>
      <c r="AJ1359" s="65"/>
      <c r="AK1359" s="65"/>
      <c r="AL1359" s="65"/>
      <c r="AM1359" s="65"/>
      <c r="AN1359" s="66"/>
    </row>
    <row r="1360" spans="2:40" ht="32.1" customHeight="1" thickTop="1" x14ac:dyDescent="0.25">
      <c r="B1360" s="57"/>
      <c r="C1360" s="58"/>
      <c r="D1360" s="217" t="s">
        <v>697</v>
      </c>
      <c r="E1360" s="218"/>
      <c r="F1360" s="218"/>
      <c r="G1360" s="218"/>
      <c r="H1360" s="218"/>
      <c r="I1360" s="218"/>
      <c r="J1360" s="219"/>
      <c r="L1360" s="57"/>
      <c r="M1360" s="58"/>
      <c r="N1360" s="217" t="s">
        <v>697</v>
      </c>
      <c r="O1360" s="218"/>
      <c r="P1360" s="218"/>
      <c r="Q1360" s="218"/>
      <c r="R1360" s="218"/>
      <c r="S1360" s="218"/>
      <c r="T1360" s="219"/>
      <c r="V1360" s="57"/>
      <c r="W1360" s="58"/>
      <c r="X1360" s="217" t="s">
        <v>697</v>
      </c>
      <c r="Y1360" s="217"/>
      <c r="Z1360" s="217"/>
      <c r="AA1360" s="217"/>
      <c r="AB1360" s="217"/>
      <c r="AC1360" s="217"/>
      <c r="AD1360" s="225"/>
      <c r="AF1360" s="57"/>
      <c r="AG1360" s="58"/>
      <c r="AH1360" s="217" t="s">
        <v>697</v>
      </c>
      <c r="AI1360" s="217"/>
      <c r="AJ1360" s="217"/>
      <c r="AK1360" s="217"/>
      <c r="AL1360" s="217"/>
      <c r="AM1360" s="217"/>
      <c r="AN1360" s="225"/>
    </row>
    <row r="1361" spans="2:40" ht="6.95" customHeight="1" x14ac:dyDescent="0.25">
      <c r="B1361" s="59"/>
      <c r="J1361" s="60"/>
      <c r="L1361" s="59"/>
      <c r="T1361" s="60"/>
      <c r="V1361" s="59"/>
      <c r="AD1361" s="60"/>
      <c r="AF1361" s="59"/>
      <c r="AN1361" s="60"/>
    </row>
    <row r="1362" spans="2:40" ht="18" customHeight="1" x14ac:dyDescent="0.25">
      <c r="B1362" s="61"/>
      <c r="C1362" s="214" t="s">
        <v>698</v>
      </c>
      <c r="D1362" s="215"/>
      <c r="E1362" s="216"/>
      <c r="F1362" s="62"/>
      <c r="G1362" s="214" t="s">
        <v>1584</v>
      </c>
      <c r="H1362" s="215"/>
      <c r="I1362" s="216"/>
      <c r="J1362" s="63"/>
      <c r="L1362" s="61"/>
      <c r="M1362" s="214" t="s">
        <v>698</v>
      </c>
      <c r="N1362" s="215"/>
      <c r="O1362" s="216"/>
      <c r="P1362" s="62"/>
      <c r="Q1362" s="214" t="s">
        <v>1585</v>
      </c>
      <c r="R1362" s="215"/>
      <c r="S1362" s="216"/>
      <c r="T1362" s="63"/>
      <c r="V1362" s="61"/>
      <c r="W1362" s="214" t="s">
        <v>698</v>
      </c>
      <c r="X1362" s="215"/>
      <c r="Y1362" s="216"/>
      <c r="Z1362" s="62"/>
      <c r="AA1362" s="214" t="s">
        <v>1586</v>
      </c>
      <c r="AB1362" s="215"/>
      <c r="AC1362" s="216"/>
      <c r="AD1362" s="63"/>
      <c r="AF1362" s="61"/>
      <c r="AG1362" s="214" t="s">
        <v>698</v>
      </c>
      <c r="AH1362" s="215"/>
      <c r="AI1362" s="216"/>
      <c r="AJ1362" s="62"/>
      <c r="AK1362" s="214" t="s">
        <v>906</v>
      </c>
      <c r="AL1362" s="215"/>
      <c r="AM1362" s="216"/>
      <c r="AN1362" s="63"/>
    </row>
    <row r="1363" spans="2:40" ht="6.95" customHeight="1" x14ac:dyDescent="0.25">
      <c r="B1363" s="59"/>
      <c r="C1363" s="62"/>
      <c r="D1363" s="62"/>
      <c r="E1363" s="62"/>
      <c r="F1363" s="62"/>
      <c r="G1363" s="62"/>
      <c r="H1363" s="62"/>
      <c r="I1363" s="62"/>
      <c r="J1363" s="60"/>
      <c r="L1363" s="59"/>
      <c r="M1363" s="62"/>
      <c r="N1363" s="62"/>
      <c r="O1363" s="62"/>
      <c r="P1363" s="62"/>
      <c r="Q1363" s="62"/>
      <c r="R1363" s="62"/>
      <c r="S1363" s="62"/>
      <c r="T1363" s="60"/>
      <c r="V1363" s="59"/>
      <c r="W1363" s="62"/>
      <c r="X1363" s="62"/>
      <c r="Y1363" s="62"/>
      <c r="Z1363" s="62"/>
      <c r="AA1363" s="62"/>
      <c r="AB1363" s="62"/>
      <c r="AC1363" s="62"/>
      <c r="AD1363" s="60"/>
      <c r="AF1363" s="59"/>
      <c r="AG1363" s="62"/>
      <c r="AH1363" s="62"/>
      <c r="AI1363" s="62"/>
      <c r="AJ1363" s="62"/>
      <c r="AK1363" s="62"/>
      <c r="AL1363" s="62"/>
      <c r="AM1363" s="62"/>
      <c r="AN1363" s="60"/>
    </row>
    <row r="1364" spans="2:40" ht="18" customHeight="1" x14ac:dyDescent="0.25">
      <c r="B1364" s="61"/>
      <c r="C1364" s="214" t="s">
        <v>699</v>
      </c>
      <c r="D1364" s="215"/>
      <c r="E1364" s="216"/>
      <c r="F1364" s="62"/>
      <c r="G1364" s="214" t="s">
        <v>1640</v>
      </c>
      <c r="H1364" s="215"/>
      <c r="I1364" s="216"/>
      <c r="J1364" s="63"/>
      <c r="L1364" s="61"/>
      <c r="M1364" s="214" t="s">
        <v>699</v>
      </c>
      <c r="N1364" s="215"/>
      <c r="O1364" s="216"/>
      <c r="P1364" s="62"/>
      <c r="Q1364" s="214" t="s">
        <v>1641</v>
      </c>
      <c r="R1364" s="215"/>
      <c r="S1364" s="216"/>
      <c r="T1364" s="63"/>
      <c r="V1364" s="61"/>
      <c r="W1364" s="214" t="s">
        <v>699</v>
      </c>
      <c r="X1364" s="215"/>
      <c r="Y1364" s="216"/>
      <c r="Z1364" s="62"/>
      <c r="AA1364" s="214" t="s">
        <v>1639</v>
      </c>
      <c r="AB1364" s="215"/>
      <c r="AC1364" s="216"/>
      <c r="AD1364" s="63"/>
      <c r="AF1364" s="61"/>
      <c r="AG1364" s="214" t="s">
        <v>699</v>
      </c>
      <c r="AH1364" s="215"/>
      <c r="AI1364" s="216"/>
      <c r="AJ1364" s="62"/>
      <c r="AK1364" s="214" t="s">
        <v>1639</v>
      </c>
      <c r="AL1364" s="215"/>
      <c r="AM1364" s="216"/>
      <c r="AN1364" s="63"/>
    </row>
    <row r="1365" spans="2:40" ht="6.95" customHeight="1" x14ac:dyDescent="0.25">
      <c r="B1365" s="59"/>
      <c r="C1365" s="62"/>
      <c r="D1365" s="62"/>
      <c r="E1365" s="62"/>
      <c r="F1365" s="62"/>
      <c r="G1365" s="62"/>
      <c r="H1365" s="62"/>
      <c r="I1365" s="62"/>
      <c r="J1365" s="60"/>
      <c r="L1365" s="59"/>
      <c r="M1365" s="62"/>
      <c r="N1365" s="62"/>
      <c r="O1365" s="62"/>
      <c r="P1365" s="62"/>
      <c r="Q1365" s="62"/>
      <c r="R1365" s="62"/>
      <c r="S1365" s="62"/>
      <c r="T1365" s="60"/>
      <c r="V1365" s="59"/>
      <c r="W1365" s="62"/>
      <c r="X1365" s="62"/>
      <c r="Y1365" s="62"/>
      <c r="Z1365" s="62"/>
      <c r="AA1365" s="62"/>
      <c r="AB1365" s="62"/>
      <c r="AC1365" s="62"/>
      <c r="AD1365" s="60"/>
      <c r="AF1365" s="59"/>
      <c r="AG1365" s="62"/>
      <c r="AH1365" s="62"/>
      <c r="AI1365" s="62"/>
      <c r="AJ1365" s="62"/>
      <c r="AK1365" s="62"/>
      <c r="AL1365" s="62"/>
      <c r="AM1365" s="62"/>
      <c r="AN1365" s="60"/>
    </row>
    <row r="1366" spans="2:40" ht="18" customHeight="1" x14ac:dyDescent="0.25">
      <c r="B1366" s="61"/>
      <c r="C1366" s="214" t="s">
        <v>701</v>
      </c>
      <c r="D1366" s="215"/>
      <c r="E1366" s="216"/>
      <c r="F1366" s="62"/>
      <c r="G1366" s="214" t="s">
        <v>974</v>
      </c>
      <c r="H1366" s="215"/>
      <c r="I1366" s="216"/>
      <c r="J1366" s="63"/>
      <c r="L1366" s="61"/>
      <c r="M1366" s="214" t="s">
        <v>701</v>
      </c>
      <c r="N1366" s="215"/>
      <c r="O1366" s="216"/>
      <c r="P1366" s="62"/>
      <c r="Q1366" s="214" t="s">
        <v>1402</v>
      </c>
      <c r="R1366" s="215"/>
      <c r="S1366" s="216"/>
      <c r="T1366" s="63"/>
      <c r="V1366" s="61"/>
      <c r="W1366" s="214" t="s">
        <v>701</v>
      </c>
      <c r="X1366" s="215"/>
      <c r="Y1366" s="216"/>
      <c r="Z1366" s="62"/>
      <c r="AA1366" s="214" t="s">
        <v>986</v>
      </c>
      <c r="AB1366" s="215"/>
      <c r="AC1366" s="216"/>
      <c r="AD1366" s="63"/>
      <c r="AF1366" s="61"/>
      <c r="AG1366" s="214" t="s">
        <v>701</v>
      </c>
      <c r="AH1366" s="215"/>
      <c r="AI1366" s="216"/>
      <c r="AJ1366" s="62"/>
      <c r="AK1366" s="214" t="s">
        <v>985</v>
      </c>
      <c r="AL1366" s="215"/>
      <c r="AM1366" s="216"/>
      <c r="AN1366" s="63"/>
    </row>
    <row r="1367" spans="2:40" ht="6.95" customHeight="1" x14ac:dyDescent="0.25">
      <c r="B1367" s="59"/>
      <c r="C1367" s="62"/>
      <c r="D1367" s="62"/>
      <c r="E1367" s="62"/>
      <c r="F1367" s="62"/>
      <c r="G1367" s="62"/>
      <c r="H1367" s="62"/>
      <c r="I1367" s="62"/>
      <c r="J1367" s="60"/>
      <c r="L1367" s="59"/>
      <c r="M1367" s="62"/>
      <c r="N1367" s="62"/>
      <c r="O1367" s="62"/>
      <c r="P1367" s="62"/>
      <c r="Q1367" s="62"/>
      <c r="R1367" s="62"/>
      <c r="S1367" s="62"/>
      <c r="T1367" s="60"/>
      <c r="V1367" s="59"/>
      <c r="W1367" s="62"/>
      <c r="X1367" s="62"/>
      <c r="Y1367" s="62"/>
      <c r="Z1367" s="62"/>
      <c r="AA1367" s="62"/>
      <c r="AB1367" s="62"/>
      <c r="AC1367" s="62"/>
      <c r="AD1367" s="60"/>
      <c r="AF1367" s="59"/>
      <c r="AG1367" s="62"/>
      <c r="AH1367" s="62"/>
      <c r="AI1367" s="62"/>
      <c r="AJ1367" s="62"/>
      <c r="AK1367" s="62"/>
      <c r="AL1367" s="62"/>
      <c r="AM1367" s="62"/>
      <c r="AN1367" s="60"/>
    </row>
    <row r="1368" spans="2:40" ht="18" customHeight="1" x14ac:dyDescent="0.25">
      <c r="B1368" s="61"/>
      <c r="C1368" s="214" t="s">
        <v>703</v>
      </c>
      <c r="D1368" s="215"/>
      <c r="E1368" s="216"/>
      <c r="F1368" s="62"/>
      <c r="G1368" s="214" t="s">
        <v>109</v>
      </c>
      <c r="H1368" s="215"/>
      <c r="I1368" s="216"/>
      <c r="J1368" s="63"/>
      <c r="L1368" s="61"/>
      <c r="M1368" s="214" t="s">
        <v>703</v>
      </c>
      <c r="N1368" s="215"/>
      <c r="O1368" s="216"/>
      <c r="P1368" s="62"/>
      <c r="Q1368" s="214" t="s">
        <v>109</v>
      </c>
      <c r="R1368" s="215"/>
      <c r="S1368" s="216"/>
      <c r="T1368" s="63"/>
      <c r="V1368" s="61"/>
      <c r="W1368" s="214" t="s">
        <v>703</v>
      </c>
      <c r="X1368" s="215"/>
      <c r="Y1368" s="216"/>
      <c r="Z1368" s="62"/>
      <c r="AA1368" s="214" t="s">
        <v>109</v>
      </c>
      <c r="AB1368" s="215"/>
      <c r="AC1368" s="216"/>
      <c r="AD1368" s="63"/>
      <c r="AF1368" s="61"/>
      <c r="AG1368" s="214" t="s">
        <v>703</v>
      </c>
      <c r="AH1368" s="215"/>
      <c r="AI1368" s="216"/>
      <c r="AJ1368" s="62"/>
      <c r="AK1368" s="214" t="s">
        <v>109</v>
      </c>
      <c r="AL1368" s="215"/>
      <c r="AM1368" s="216"/>
      <c r="AN1368" s="63"/>
    </row>
    <row r="1369" spans="2:40" ht="6.95" customHeight="1" x14ac:dyDescent="0.25">
      <c r="B1369" s="59"/>
      <c r="C1369" s="62"/>
      <c r="D1369" s="62"/>
      <c r="E1369" s="62"/>
      <c r="F1369" s="62"/>
      <c r="G1369" s="62"/>
      <c r="H1369" s="62"/>
      <c r="I1369" s="62"/>
      <c r="J1369" s="60"/>
      <c r="L1369" s="59"/>
      <c r="M1369" s="62"/>
      <c r="N1369" s="62"/>
      <c r="O1369" s="62"/>
      <c r="P1369" s="62"/>
      <c r="Q1369" s="62"/>
      <c r="R1369" s="62"/>
      <c r="S1369" s="62"/>
      <c r="T1369" s="60"/>
      <c r="V1369" s="59"/>
      <c r="W1369" s="62"/>
      <c r="X1369" s="62"/>
      <c r="Y1369" s="62"/>
      <c r="Z1369" s="62"/>
      <c r="AA1369" s="62"/>
      <c r="AB1369" s="62"/>
      <c r="AC1369" s="62"/>
      <c r="AD1369" s="60"/>
      <c r="AF1369" s="59"/>
      <c r="AG1369" s="62"/>
      <c r="AH1369" s="62"/>
      <c r="AI1369" s="62"/>
      <c r="AJ1369" s="62"/>
      <c r="AK1369" s="62"/>
      <c r="AL1369" s="62"/>
      <c r="AM1369" s="62"/>
      <c r="AN1369" s="60"/>
    </row>
    <row r="1370" spans="2:40" ht="18" customHeight="1" x14ac:dyDescent="0.25">
      <c r="B1370" s="61"/>
      <c r="C1370" s="214" t="s">
        <v>705</v>
      </c>
      <c r="D1370" s="215"/>
      <c r="E1370" s="216"/>
      <c r="F1370" s="62"/>
      <c r="G1370" s="214" t="s">
        <v>1587</v>
      </c>
      <c r="H1370" s="215"/>
      <c r="I1370" s="216"/>
      <c r="J1370" s="63"/>
      <c r="L1370" s="61"/>
      <c r="M1370" s="214" t="s">
        <v>705</v>
      </c>
      <c r="N1370" s="215"/>
      <c r="O1370" s="216"/>
      <c r="P1370" s="62"/>
      <c r="Q1370" s="214" t="s">
        <v>109</v>
      </c>
      <c r="R1370" s="215"/>
      <c r="S1370" s="216"/>
      <c r="T1370" s="63"/>
      <c r="V1370" s="61"/>
      <c r="W1370" s="214" t="s">
        <v>705</v>
      </c>
      <c r="X1370" s="215"/>
      <c r="Y1370" s="216"/>
      <c r="Z1370" s="62"/>
      <c r="AA1370" s="214" t="s">
        <v>109</v>
      </c>
      <c r="AB1370" s="215"/>
      <c r="AC1370" s="216"/>
      <c r="AD1370" s="63"/>
      <c r="AF1370" s="61"/>
      <c r="AG1370" s="214" t="s">
        <v>705</v>
      </c>
      <c r="AH1370" s="215"/>
      <c r="AI1370" s="216"/>
      <c r="AJ1370" s="62"/>
      <c r="AK1370" s="214" t="s">
        <v>1564</v>
      </c>
      <c r="AL1370" s="215"/>
      <c r="AM1370" s="216"/>
      <c r="AN1370" s="63"/>
    </row>
    <row r="1371" spans="2:40" ht="6.95" customHeight="1" x14ac:dyDescent="0.25">
      <c r="B1371" s="59"/>
      <c r="C1371" s="62"/>
      <c r="D1371" s="62"/>
      <c r="E1371" s="62"/>
      <c r="F1371" s="62"/>
      <c r="G1371" s="62"/>
      <c r="H1371" s="62"/>
      <c r="I1371" s="62"/>
      <c r="J1371" s="60"/>
      <c r="L1371" s="59"/>
      <c r="M1371" s="62"/>
      <c r="N1371" s="62"/>
      <c r="O1371" s="62"/>
      <c r="P1371" s="62"/>
      <c r="Q1371" s="62"/>
      <c r="R1371" s="62"/>
      <c r="S1371" s="62"/>
      <c r="T1371" s="60"/>
      <c r="V1371" s="59"/>
      <c r="W1371" s="62"/>
      <c r="X1371" s="62"/>
      <c r="Y1371" s="62"/>
      <c r="Z1371" s="62"/>
      <c r="AA1371" s="62"/>
      <c r="AB1371" s="62"/>
      <c r="AC1371" s="62"/>
      <c r="AD1371" s="60"/>
      <c r="AF1371" s="59"/>
      <c r="AG1371" s="62"/>
      <c r="AH1371" s="62"/>
      <c r="AI1371" s="62"/>
      <c r="AJ1371" s="62"/>
      <c r="AK1371" s="62"/>
      <c r="AL1371" s="62"/>
      <c r="AM1371" s="62"/>
      <c r="AN1371" s="60"/>
    </row>
    <row r="1372" spans="2:40" ht="18" customHeight="1" x14ac:dyDescent="0.25">
      <c r="B1372" s="61"/>
      <c r="C1372" s="214" t="s">
        <v>708</v>
      </c>
      <c r="D1372" s="215"/>
      <c r="E1372" s="216"/>
      <c r="F1372" s="62"/>
      <c r="G1372" s="214" t="s">
        <v>1588</v>
      </c>
      <c r="H1372" s="215"/>
      <c r="I1372" s="216"/>
      <c r="J1372" s="63"/>
      <c r="L1372" s="61"/>
      <c r="M1372" s="214" t="s">
        <v>708</v>
      </c>
      <c r="N1372" s="215"/>
      <c r="O1372" s="216"/>
      <c r="P1372" s="62"/>
      <c r="Q1372" s="214" t="s">
        <v>109</v>
      </c>
      <c r="R1372" s="215"/>
      <c r="S1372" s="216"/>
      <c r="T1372" s="63"/>
      <c r="V1372" s="61"/>
      <c r="W1372" s="214" t="s">
        <v>708</v>
      </c>
      <c r="X1372" s="215"/>
      <c r="Y1372" s="216"/>
      <c r="Z1372" s="62"/>
      <c r="AA1372" s="214" t="s">
        <v>109</v>
      </c>
      <c r="AB1372" s="215"/>
      <c r="AC1372" s="216"/>
      <c r="AD1372" s="63"/>
      <c r="AF1372" s="61"/>
      <c r="AG1372" s="214" t="s">
        <v>708</v>
      </c>
      <c r="AH1372" s="215"/>
      <c r="AI1372" s="216"/>
      <c r="AJ1372" s="62"/>
      <c r="AK1372" s="214" t="s">
        <v>1589</v>
      </c>
      <c r="AL1372" s="215"/>
      <c r="AM1372" s="216"/>
      <c r="AN1372" s="63"/>
    </row>
    <row r="1373" spans="2:40" ht="6.95" customHeight="1" x14ac:dyDescent="0.25">
      <c r="B1373" s="59"/>
      <c r="C1373" s="62"/>
      <c r="D1373" s="62"/>
      <c r="E1373" s="62"/>
      <c r="F1373" s="62"/>
      <c r="G1373" s="62"/>
      <c r="H1373" s="62"/>
      <c r="I1373" s="62"/>
      <c r="J1373" s="60"/>
      <c r="L1373" s="59"/>
      <c r="M1373" s="62"/>
      <c r="N1373" s="62"/>
      <c r="O1373" s="62"/>
      <c r="P1373" s="62"/>
      <c r="Q1373" s="62"/>
      <c r="R1373" s="62"/>
      <c r="S1373" s="62"/>
      <c r="T1373" s="60"/>
      <c r="V1373" s="59"/>
      <c r="W1373" s="62"/>
      <c r="X1373" s="62"/>
      <c r="Y1373" s="62"/>
      <c r="Z1373" s="62"/>
      <c r="AA1373" s="62"/>
      <c r="AB1373" s="62"/>
      <c r="AC1373" s="62"/>
      <c r="AD1373" s="60"/>
      <c r="AF1373" s="59"/>
      <c r="AG1373" s="62"/>
      <c r="AH1373" s="62"/>
      <c r="AI1373" s="62"/>
      <c r="AJ1373" s="62"/>
      <c r="AK1373" s="62"/>
      <c r="AL1373" s="62"/>
      <c r="AM1373" s="62"/>
      <c r="AN1373" s="60"/>
    </row>
    <row r="1374" spans="2:40" ht="18" customHeight="1" x14ac:dyDescent="0.25">
      <c r="B1374" s="61"/>
      <c r="C1374" s="214" t="s">
        <v>711</v>
      </c>
      <c r="D1374" s="215"/>
      <c r="E1374" s="216"/>
      <c r="F1374" s="62"/>
      <c r="G1374" s="214" t="s">
        <v>712</v>
      </c>
      <c r="H1374" s="215"/>
      <c r="I1374" s="216"/>
      <c r="J1374" s="63"/>
      <c r="L1374" s="61"/>
      <c r="M1374" s="214" t="s">
        <v>711</v>
      </c>
      <c r="N1374" s="215"/>
      <c r="O1374" s="216"/>
      <c r="P1374" s="62"/>
      <c r="Q1374" s="214" t="s">
        <v>712</v>
      </c>
      <c r="R1374" s="215"/>
      <c r="S1374" s="216"/>
      <c r="T1374" s="63"/>
      <c r="V1374" s="61"/>
      <c r="W1374" s="214" t="s">
        <v>711</v>
      </c>
      <c r="X1374" s="215"/>
      <c r="Y1374" s="216"/>
      <c r="Z1374" s="62"/>
      <c r="AA1374" s="214" t="s">
        <v>712</v>
      </c>
      <c r="AB1374" s="215"/>
      <c r="AC1374" s="216"/>
      <c r="AD1374" s="63"/>
      <c r="AF1374" s="61"/>
      <c r="AG1374" s="214" t="s">
        <v>711</v>
      </c>
      <c r="AH1374" s="215"/>
      <c r="AI1374" s="216"/>
      <c r="AJ1374" s="62"/>
      <c r="AK1374" s="214" t="s">
        <v>712</v>
      </c>
      <c r="AL1374" s="215"/>
      <c r="AM1374" s="216"/>
      <c r="AN1374" s="63"/>
    </row>
    <row r="1375" spans="2:40" ht="6.95" customHeight="1" x14ac:dyDescent="0.25">
      <c r="B1375" s="59"/>
      <c r="C1375" s="62"/>
      <c r="D1375" s="62"/>
      <c r="E1375" s="62"/>
      <c r="F1375" s="62"/>
      <c r="G1375" s="62"/>
      <c r="H1375" s="62"/>
      <c r="I1375" s="62"/>
      <c r="J1375" s="60"/>
      <c r="L1375" s="59"/>
      <c r="M1375" s="62"/>
      <c r="N1375" s="62"/>
      <c r="O1375" s="62"/>
      <c r="P1375" s="62"/>
      <c r="Q1375" s="62"/>
      <c r="R1375" s="62"/>
      <c r="S1375" s="62"/>
      <c r="T1375" s="60"/>
      <c r="V1375" s="59"/>
      <c r="W1375" s="62"/>
      <c r="X1375" s="62"/>
      <c r="Y1375" s="62"/>
      <c r="Z1375" s="62"/>
      <c r="AA1375" s="62"/>
      <c r="AB1375" s="62"/>
      <c r="AC1375" s="62"/>
      <c r="AD1375" s="60"/>
      <c r="AF1375" s="59"/>
      <c r="AG1375" s="62"/>
      <c r="AH1375" s="62"/>
      <c r="AI1375" s="62"/>
      <c r="AJ1375" s="62"/>
      <c r="AK1375" s="62"/>
      <c r="AL1375" s="62"/>
      <c r="AM1375" s="62"/>
      <c r="AN1375" s="60"/>
    </row>
    <row r="1376" spans="2:40" ht="18" customHeight="1" x14ac:dyDescent="0.25">
      <c r="B1376" s="61"/>
      <c r="C1376" s="214" t="s">
        <v>1273</v>
      </c>
      <c r="D1376" s="215"/>
      <c r="E1376" s="216"/>
      <c r="F1376" s="62"/>
      <c r="G1376" s="214" t="s">
        <v>1590</v>
      </c>
      <c r="H1376" s="215"/>
      <c r="I1376" s="216"/>
      <c r="J1376" s="63"/>
      <c r="L1376" s="61"/>
      <c r="M1376" s="214" t="s">
        <v>1273</v>
      </c>
      <c r="N1376" s="215"/>
      <c r="O1376" s="216"/>
      <c r="P1376" s="62"/>
      <c r="Q1376" s="214" t="s">
        <v>1591</v>
      </c>
      <c r="R1376" s="215"/>
      <c r="S1376" s="216"/>
      <c r="T1376" s="63"/>
      <c r="V1376" s="61"/>
      <c r="W1376" s="214" t="s">
        <v>1273</v>
      </c>
      <c r="X1376" s="215"/>
      <c r="Y1376" s="216"/>
      <c r="Z1376" s="62"/>
      <c r="AA1376" s="214" t="s">
        <v>1592</v>
      </c>
      <c r="AB1376" s="215"/>
      <c r="AC1376" s="216"/>
      <c r="AD1376" s="63"/>
      <c r="AF1376" s="61"/>
      <c r="AG1376" s="214" t="s">
        <v>1273</v>
      </c>
      <c r="AH1376" s="215"/>
      <c r="AI1376" s="216"/>
      <c r="AJ1376" s="62"/>
      <c r="AK1376" s="214" t="s">
        <v>1593</v>
      </c>
      <c r="AL1376" s="215"/>
      <c r="AM1376" s="216"/>
      <c r="AN1376" s="63"/>
    </row>
    <row r="1377" spans="2:40" ht="6.95" customHeight="1" x14ac:dyDescent="0.25">
      <c r="B1377" s="59"/>
      <c r="C1377" s="62"/>
      <c r="D1377" s="62"/>
      <c r="E1377" s="62"/>
      <c r="F1377" s="62"/>
      <c r="G1377" s="62"/>
      <c r="H1377" s="62"/>
      <c r="I1377" s="62"/>
      <c r="J1377" s="60"/>
      <c r="L1377" s="59"/>
      <c r="M1377" s="62"/>
      <c r="N1377" s="62"/>
      <c r="O1377" s="62"/>
      <c r="P1377" s="62"/>
      <c r="Q1377" s="62"/>
      <c r="R1377" s="62"/>
      <c r="S1377" s="62"/>
      <c r="T1377" s="60"/>
      <c r="V1377" s="59"/>
      <c r="W1377" s="62"/>
      <c r="X1377" s="62"/>
      <c r="Y1377" s="62"/>
      <c r="Z1377" s="62"/>
      <c r="AA1377" s="62"/>
      <c r="AB1377" s="62"/>
      <c r="AC1377" s="62"/>
      <c r="AD1377" s="60"/>
      <c r="AF1377" s="59"/>
      <c r="AG1377" s="62"/>
      <c r="AH1377" s="62"/>
      <c r="AI1377" s="62"/>
      <c r="AJ1377" s="62"/>
      <c r="AK1377" s="62"/>
      <c r="AL1377" s="62"/>
      <c r="AM1377" s="62"/>
      <c r="AN1377" s="60"/>
    </row>
    <row r="1378" spans="2:40" ht="18" customHeight="1" x14ac:dyDescent="0.25">
      <c r="B1378" s="61"/>
      <c r="C1378" s="214" t="s">
        <v>713</v>
      </c>
      <c r="D1378" s="215"/>
      <c r="E1378" s="216"/>
      <c r="F1378" s="62"/>
      <c r="G1378" s="220" t="s">
        <v>1293</v>
      </c>
      <c r="H1378" s="220"/>
      <c r="I1378" s="220"/>
      <c r="J1378" s="63"/>
      <c r="L1378" s="61"/>
      <c r="M1378" s="214" t="s">
        <v>713</v>
      </c>
      <c r="N1378" s="215"/>
      <c r="O1378" s="216"/>
      <c r="P1378" s="62"/>
      <c r="Q1378" s="220" t="s">
        <v>1293</v>
      </c>
      <c r="R1378" s="220"/>
      <c r="S1378" s="220"/>
      <c r="T1378" s="63"/>
      <c r="V1378" s="61"/>
      <c r="W1378" s="214" t="s">
        <v>713</v>
      </c>
      <c r="X1378" s="215"/>
      <c r="Y1378" s="216"/>
      <c r="Z1378" s="62"/>
      <c r="AA1378" s="220" t="s">
        <v>1293</v>
      </c>
      <c r="AB1378" s="220"/>
      <c r="AC1378" s="220"/>
      <c r="AD1378" s="63"/>
      <c r="AF1378" s="61"/>
      <c r="AG1378" s="214" t="s">
        <v>713</v>
      </c>
      <c r="AH1378" s="215"/>
      <c r="AI1378" s="216"/>
      <c r="AJ1378" s="62"/>
      <c r="AK1378" s="220" t="s">
        <v>1293</v>
      </c>
      <c r="AL1378" s="220"/>
      <c r="AM1378" s="220"/>
      <c r="AN1378" s="63"/>
    </row>
    <row r="1379" spans="2:40" ht="6.95" customHeight="1" x14ac:dyDescent="0.25">
      <c r="B1379" s="59"/>
      <c r="C1379" s="128"/>
      <c r="D1379" s="128"/>
      <c r="E1379" s="128"/>
      <c r="F1379" s="62"/>
      <c r="G1379" s="128"/>
      <c r="H1379" s="128"/>
      <c r="I1379" s="128"/>
      <c r="J1379" s="63"/>
      <c r="L1379" s="59"/>
      <c r="M1379" s="128"/>
      <c r="N1379" s="128"/>
      <c r="O1379" s="128"/>
      <c r="P1379" s="62"/>
      <c r="Q1379" s="128"/>
      <c r="R1379" s="128"/>
      <c r="S1379" s="128"/>
      <c r="T1379" s="63"/>
      <c r="V1379" s="59"/>
      <c r="W1379" s="128"/>
      <c r="X1379" s="128"/>
      <c r="Y1379" s="128"/>
      <c r="Z1379" s="62"/>
      <c r="AA1379" s="128"/>
      <c r="AB1379" s="128"/>
      <c r="AC1379" s="128"/>
      <c r="AD1379" s="63"/>
      <c r="AF1379" s="59"/>
      <c r="AG1379" s="128"/>
      <c r="AH1379" s="128"/>
      <c r="AI1379" s="128"/>
      <c r="AJ1379" s="62"/>
      <c r="AK1379" s="128"/>
      <c r="AL1379" s="128"/>
      <c r="AM1379" s="128"/>
      <c r="AN1379" s="63"/>
    </row>
    <row r="1380" spans="2:40" ht="18" customHeight="1" x14ac:dyDescent="0.25">
      <c r="B1380" s="59"/>
      <c r="C1380" s="220" t="s">
        <v>715</v>
      </c>
      <c r="D1380" s="220"/>
      <c r="E1380" s="220"/>
      <c r="F1380" s="62"/>
      <c r="G1380" s="220" t="s">
        <v>1270</v>
      </c>
      <c r="H1380" s="220"/>
      <c r="I1380" s="220"/>
      <c r="J1380" s="63"/>
      <c r="L1380" s="59"/>
      <c r="M1380" s="220" t="s">
        <v>715</v>
      </c>
      <c r="N1380" s="220"/>
      <c r="O1380" s="220"/>
      <c r="P1380" s="62"/>
      <c r="Q1380" s="220" t="s">
        <v>1270</v>
      </c>
      <c r="R1380" s="220"/>
      <c r="S1380" s="220"/>
      <c r="T1380" s="63"/>
      <c r="V1380" s="59"/>
      <c r="W1380" s="220" t="s">
        <v>715</v>
      </c>
      <c r="X1380" s="220"/>
      <c r="Y1380" s="220"/>
      <c r="Z1380" s="62"/>
      <c r="AA1380" s="220" t="s">
        <v>1270</v>
      </c>
      <c r="AB1380" s="220"/>
      <c r="AC1380" s="220"/>
      <c r="AD1380" s="63"/>
      <c r="AF1380" s="59"/>
      <c r="AG1380" s="220" t="s">
        <v>715</v>
      </c>
      <c r="AH1380" s="220"/>
      <c r="AI1380" s="220"/>
      <c r="AJ1380" s="62"/>
      <c r="AK1380" s="220" t="s">
        <v>1594</v>
      </c>
      <c r="AL1380" s="220"/>
      <c r="AM1380" s="220"/>
      <c r="AN1380" s="63"/>
    </row>
    <row r="1381" spans="2:40" ht="6.95" customHeight="1" thickBot="1" x14ac:dyDescent="0.3">
      <c r="B1381" s="64"/>
      <c r="C1381" s="65"/>
      <c r="D1381" s="65"/>
      <c r="E1381" s="65"/>
      <c r="F1381" s="65"/>
      <c r="G1381" s="65"/>
      <c r="H1381" s="65"/>
      <c r="I1381" s="65"/>
      <c r="J1381" s="66"/>
      <c r="L1381" s="64"/>
      <c r="M1381" s="65"/>
      <c r="N1381" s="65"/>
      <c r="O1381" s="65"/>
      <c r="P1381" s="65"/>
      <c r="Q1381" s="65"/>
      <c r="R1381" s="65"/>
      <c r="S1381" s="65"/>
      <c r="T1381" s="66"/>
      <c r="V1381" s="64"/>
      <c r="W1381" s="65"/>
      <c r="X1381" s="65"/>
      <c r="Y1381" s="65"/>
      <c r="Z1381" s="65"/>
      <c r="AA1381" s="65"/>
      <c r="AB1381" s="65"/>
      <c r="AC1381" s="65"/>
      <c r="AD1381" s="66"/>
      <c r="AF1381" s="64"/>
      <c r="AG1381" s="65"/>
      <c r="AH1381" s="65"/>
      <c r="AI1381" s="65"/>
      <c r="AJ1381" s="65"/>
      <c r="AK1381" s="65"/>
      <c r="AL1381" s="65"/>
      <c r="AM1381" s="65"/>
      <c r="AN1381" s="66"/>
    </row>
    <row r="1382" spans="2:40" ht="32.1" customHeight="1" thickTop="1" x14ac:dyDescent="0.25">
      <c r="B1382" s="57"/>
      <c r="C1382" s="58"/>
      <c r="D1382" s="217" t="s">
        <v>697</v>
      </c>
      <c r="E1382" s="218"/>
      <c r="F1382" s="218"/>
      <c r="G1382" s="218"/>
      <c r="H1382" s="218"/>
      <c r="I1382" s="218"/>
      <c r="J1382" s="219"/>
      <c r="L1382" s="57"/>
      <c r="M1382" s="58"/>
      <c r="N1382" s="217" t="s">
        <v>697</v>
      </c>
      <c r="O1382" s="218"/>
      <c r="P1382" s="218"/>
      <c r="Q1382" s="218"/>
      <c r="R1382" s="218"/>
      <c r="S1382" s="218"/>
      <c r="T1382" s="219"/>
      <c r="V1382" s="57"/>
      <c r="W1382" s="58"/>
      <c r="X1382" s="217" t="s">
        <v>697</v>
      </c>
      <c r="Y1382" s="218"/>
      <c r="Z1382" s="218"/>
      <c r="AA1382" s="218"/>
      <c r="AB1382" s="218"/>
      <c r="AC1382" s="218"/>
      <c r="AD1382" s="219"/>
      <c r="AF1382" s="57"/>
      <c r="AG1382" s="58"/>
      <c r="AH1382" s="217" t="s">
        <v>697</v>
      </c>
      <c r="AI1382" s="218"/>
      <c r="AJ1382" s="218"/>
      <c r="AK1382" s="218"/>
      <c r="AL1382" s="218"/>
      <c r="AM1382" s="218"/>
      <c r="AN1382" s="219"/>
    </row>
    <row r="1383" spans="2:40" ht="6.95" customHeight="1" x14ac:dyDescent="0.25">
      <c r="B1383" s="59"/>
      <c r="J1383" s="60"/>
      <c r="L1383" s="59"/>
      <c r="T1383" s="60"/>
      <c r="V1383" s="59"/>
      <c r="AD1383" s="60"/>
      <c r="AF1383" s="59"/>
      <c r="AN1383" s="60"/>
    </row>
    <row r="1384" spans="2:40" ht="18" customHeight="1" x14ac:dyDescent="0.25">
      <c r="B1384" s="61"/>
      <c r="C1384" s="214" t="s">
        <v>698</v>
      </c>
      <c r="D1384" s="215"/>
      <c r="E1384" s="216"/>
      <c r="F1384" s="62"/>
      <c r="G1384" s="214" t="s">
        <v>1595</v>
      </c>
      <c r="H1384" s="215"/>
      <c r="I1384" s="216"/>
      <c r="J1384" s="63"/>
      <c r="L1384" s="61"/>
      <c r="M1384" s="214" t="s">
        <v>698</v>
      </c>
      <c r="N1384" s="215"/>
      <c r="O1384" s="216"/>
      <c r="P1384" s="62"/>
      <c r="Q1384" s="214" t="s">
        <v>788</v>
      </c>
      <c r="R1384" s="215"/>
      <c r="S1384" s="216"/>
      <c r="T1384" s="63"/>
      <c r="V1384" s="61"/>
      <c r="W1384" s="214" t="s">
        <v>698</v>
      </c>
      <c r="X1384" s="215"/>
      <c r="Y1384" s="216"/>
      <c r="Z1384" s="62"/>
      <c r="AA1384" s="214" t="s">
        <v>1596</v>
      </c>
      <c r="AB1384" s="215"/>
      <c r="AC1384" s="216"/>
      <c r="AD1384" s="63"/>
      <c r="AF1384" s="61"/>
      <c r="AG1384" s="214" t="s">
        <v>698</v>
      </c>
      <c r="AH1384" s="215"/>
      <c r="AI1384" s="216"/>
      <c r="AJ1384" s="62"/>
      <c r="AK1384" s="214" t="s">
        <v>907</v>
      </c>
      <c r="AL1384" s="215"/>
      <c r="AM1384" s="216"/>
      <c r="AN1384" s="63"/>
    </row>
    <row r="1385" spans="2:40" ht="6.95" customHeight="1" x14ac:dyDescent="0.25">
      <c r="B1385" s="59"/>
      <c r="C1385" s="62"/>
      <c r="D1385" s="62"/>
      <c r="E1385" s="62"/>
      <c r="F1385" s="62"/>
      <c r="G1385" s="62"/>
      <c r="H1385" s="62"/>
      <c r="I1385" s="62"/>
      <c r="J1385" s="60"/>
      <c r="L1385" s="59"/>
      <c r="M1385" s="62"/>
      <c r="N1385" s="62"/>
      <c r="O1385" s="62"/>
      <c r="P1385" s="62"/>
      <c r="Q1385" s="62"/>
      <c r="R1385" s="62"/>
      <c r="S1385" s="62"/>
      <c r="T1385" s="60"/>
      <c r="V1385" s="59"/>
      <c r="W1385" s="62"/>
      <c r="X1385" s="62"/>
      <c r="Y1385" s="62"/>
      <c r="Z1385" s="62"/>
      <c r="AA1385" s="62"/>
      <c r="AB1385" s="62"/>
      <c r="AC1385" s="62"/>
      <c r="AD1385" s="60"/>
      <c r="AF1385" s="59"/>
      <c r="AG1385" s="62"/>
      <c r="AH1385" s="62"/>
      <c r="AI1385" s="62"/>
      <c r="AJ1385" s="62"/>
      <c r="AK1385" s="62"/>
      <c r="AL1385" s="62"/>
      <c r="AM1385" s="62"/>
      <c r="AN1385" s="60"/>
    </row>
    <row r="1386" spans="2:40" ht="18" customHeight="1" x14ac:dyDescent="0.25">
      <c r="B1386" s="61"/>
      <c r="C1386" s="214" t="s">
        <v>699</v>
      </c>
      <c r="D1386" s="215"/>
      <c r="E1386" s="216"/>
      <c r="F1386" s="62"/>
      <c r="G1386" s="214" t="s">
        <v>1641</v>
      </c>
      <c r="H1386" s="215"/>
      <c r="I1386" s="216"/>
      <c r="J1386" s="63"/>
      <c r="L1386" s="61"/>
      <c r="M1386" s="214" t="s">
        <v>699</v>
      </c>
      <c r="N1386" s="215"/>
      <c r="O1386" s="216"/>
      <c r="P1386" s="62"/>
      <c r="Q1386" s="214" t="s">
        <v>1639</v>
      </c>
      <c r="R1386" s="215"/>
      <c r="S1386" s="216"/>
      <c r="T1386" s="63"/>
      <c r="V1386" s="61"/>
      <c r="W1386" s="214" t="s">
        <v>699</v>
      </c>
      <c r="X1386" s="215"/>
      <c r="Y1386" s="216"/>
      <c r="Z1386" s="62"/>
      <c r="AA1386" s="214" t="s">
        <v>1639</v>
      </c>
      <c r="AB1386" s="215"/>
      <c r="AC1386" s="216"/>
      <c r="AD1386" s="63"/>
      <c r="AF1386" s="61"/>
      <c r="AG1386" s="214" t="s">
        <v>699</v>
      </c>
      <c r="AH1386" s="215"/>
      <c r="AI1386" s="216"/>
      <c r="AJ1386" s="62"/>
      <c r="AK1386" s="214" t="s">
        <v>1639</v>
      </c>
      <c r="AL1386" s="215"/>
      <c r="AM1386" s="216"/>
      <c r="AN1386" s="63"/>
    </row>
    <row r="1387" spans="2:40" ht="6.95" customHeight="1" x14ac:dyDescent="0.25">
      <c r="B1387" s="59"/>
      <c r="C1387" s="62"/>
      <c r="D1387" s="62"/>
      <c r="E1387" s="62"/>
      <c r="F1387" s="62"/>
      <c r="G1387" s="62"/>
      <c r="H1387" s="62"/>
      <c r="I1387" s="62"/>
      <c r="J1387" s="60"/>
      <c r="L1387" s="59"/>
      <c r="M1387" s="62"/>
      <c r="N1387" s="62"/>
      <c r="O1387" s="62"/>
      <c r="P1387" s="62"/>
      <c r="Q1387" s="62"/>
      <c r="R1387" s="62"/>
      <c r="S1387" s="62"/>
      <c r="T1387" s="60"/>
      <c r="V1387" s="59"/>
      <c r="W1387" s="62"/>
      <c r="X1387" s="62"/>
      <c r="Y1387" s="62"/>
      <c r="Z1387" s="62"/>
      <c r="AA1387" s="62"/>
      <c r="AB1387" s="62"/>
      <c r="AC1387" s="62"/>
      <c r="AD1387" s="60"/>
      <c r="AF1387" s="59"/>
      <c r="AG1387" s="62"/>
      <c r="AH1387" s="62"/>
      <c r="AI1387" s="62"/>
      <c r="AJ1387" s="62"/>
      <c r="AK1387" s="62"/>
      <c r="AL1387" s="62"/>
      <c r="AM1387" s="62"/>
      <c r="AN1387" s="60"/>
    </row>
    <row r="1388" spans="2:40" ht="18" customHeight="1" x14ac:dyDescent="0.25">
      <c r="B1388" s="61"/>
      <c r="C1388" s="214" t="s">
        <v>701</v>
      </c>
      <c r="D1388" s="215"/>
      <c r="E1388" s="216"/>
      <c r="F1388" s="62"/>
      <c r="G1388" s="214" t="s">
        <v>1402</v>
      </c>
      <c r="H1388" s="215"/>
      <c r="I1388" s="216"/>
      <c r="J1388" s="63"/>
      <c r="L1388" s="61"/>
      <c r="M1388" s="214" t="s">
        <v>701</v>
      </c>
      <c r="N1388" s="215"/>
      <c r="O1388" s="216"/>
      <c r="P1388" s="62"/>
      <c r="Q1388" s="214" t="s">
        <v>978</v>
      </c>
      <c r="R1388" s="215"/>
      <c r="S1388" s="216"/>
      <c r="T1388" s="63"/>
      <c r="V1388" s="61"/>
      <c r="W1388" s="214" t="s">
        <v>701</v>
      </c>
      <c r="X1388" s="215"/>
      <c r="Y1388" s="216"/>
      <c r="Z1388" s="62"/>
      <c r="AA1388" s="214" t="s">
        <v>986</v>
      </c>
      <c r="AB1388" s="215"/>
      <c r="AC1388" s="216"/>
      <c r="AD1388" s="63"/>
      <c r="AF1388" s="61"/>
      <c r="AG1388" s="214" t="s">
        <v>701</v>
      </c>
      <c r="AH1388" s="215"/>
      <c r="AI1388" s="216"/>
      <c r="AJ1388" s="62"/>
      <c r="AK1388" s="214" t="s">
        <v>984</v>
      </c>
      <c r="AL1388" s="215"/>
      <c r="AM1388" s="216"/>
      <c r="AN1388" s="63"/>
    </row>
    <row r="1389" spans="2:40" ht="6.95" customHeight="1" x14ac:dyDescent="0.25">
      <c r="B1389" s="59"/>
      <c r="C1389" s="62"/>
      <c r="D1389" s="62"/>
      <c r="E1389" s="62"/>
      <c r="F1389" s="62"/>
      <c r="G1389" s="62"/>
      <c r="H1389" s="62"/>
      <c r="I1389" s="62"/>
      <c r="J1389" s="60"/>
      <c r="L1389" s="59"/>
      <c r="M1389" s="62"/>
      <c r="N1389" s="62"/>
      <c r="O1389" s="62"/>
      <c r="P1389" s="62"/>
      <c r="Q1389" s="62"/>
      <c r="R1389" s="62"/>
      <c r="S1389" s="62"/>
      <c r="T1389" s="60"/>
      <c r="V1389" s="59"/>
      <c r="W1389" s="62"/>
      <c r="X1389" s="62"/>
      <c r="Y1389" s="62"/>
      <c r="Z1389" s="62"/>
      <c r="AA1389" s="62"/>
      <c r="AB1389" s="62"/>
      <c r="AC1389" s="62"/>
      <c r="AD1389" s="60"/>
      <c r="AF1389" s="59"/>
      <c r="AG1389" s="62"/>
      <c r="AH1389" s="62"/>
      <c r="AI1389" s="62"/>
      <c r="AJ1389" s="62"/>
      <c r="AK1389" s="62"/>
      <c r="AL1389" s="62"/>
      <c r="AM1389" s="62"/>
      <c r="AN1389" s="60"/>
    </row>
    <row r="1390" spans="2:40" ht="18" customHeight="1" x14ac:dyDescent="0.25">
      <c r="B1390" s="61"/>
      <c r="C1390" s="214" t="s">
        <v>703</v>
      </c>
      <c r="D1390" s="215"/>
      <c r="E1390" s="216"/>
      <c r="F1390" s="62"/>
      <c r="G1390" s="214" t="s">
        <v>109</v>
      </c>
      <c r="H1390" s="215"/>
      <c r="I1390" s="216"/>
      <c r="J1390" s="63"/>
      <c r="L1390" s="61"/>
      <c r="M1390" s="214" t="s">
        <v>703</v>
      </c>
      <c r="N1390" s="215"/>
      <c r="O1390" s="216"/>
      <c r="P1390" s="62"/>
      <c r="Q1390" s="214" t="s">
        <v>109</v>
      </c>
      <c r="R1390" s="215"/>
      <c r="S1390" s="216"/>
      <c r="T1390" s="63"/>
      <c r="V1390" s="61"/>
      <c r="W1390" s="214" t="s">
        <v>703</v>
      </c>
      <c r="X1390" s="215"/>
      <c r="Y1390" s="216"/>
      <c r="Z1390" s="62"/>
      <c r="AA1390" s="214" t="s">
        <v>109</v>
      </c>
      <c r="AB1390" s="215"/>
      <c r="AC1390" s="216"/>
      <c r="AD1390" s="63"/>
      <c r="AF1390" s="61"/>
      <c r="AG1390" s="214" t="s">
        <v>703</v>
      </c>
      <c r="AH1390" s="215"/>
      <c r="AI1390" s="216"/>
      <c r="AJ1390" s="62"/>
      <c r="AK1390" s="214" t="s">
        <v>109</v>
      </c>
      <c r="AL1390" s="215"/>
      <c r="AM1390" s="216"/>
      <c r="AN1390" s="63"/>
    </row>
    <row r="1391" spans="2:40" ht="6.95" customHeight="1" x14ac:dyDescent="0.25">
      <c r="B1391" s="59"/>
      <c r="C1391" s="62"/>
      <c r="D1391" s="62"/>
      <c r="E1391" s="62"/>
      <c r="F1391" s="62"/>
      <c r="G1391" s="62"/>
      <c r="H1391" s="62"/>
      <c r="I1391" s="62"/>
      <c r="J1391" s="60"/>
      <c r="L1391" s="59"/>
      <c r="M1391" s="62"/>
      <c r="N1391" s="62"/>
      <c r="O1391" s="62"/>
      <c r="P1391" s="62"/>
      <c r="Q1391" s="62"/>
      <c r="R1391" s="62"/>
      <c r="S1391" s="62"/>
      <c r="T1391" s="60"/>
      <c r="V1391" s="59"/>
      <c r="W1391" s="62"/>
      <c r="X1391" s="62"/>
      <c r="Y1391" s="62"/>
      <c r="Z1391" s="62"/>
      <c r="AA1391" s="62"/>
      <c r="AB1391" s="62"/>
      <c r="AC1391" s="62"/>
      <c r="AD1391" s="60"/>
      <c r="AF1391" s="59"/>
      <c r="AG1391" s="62"/>
      <c r="AH1391" s="62"/>
      <c r="AI1391" s="62"/>
      <c r="AJ1391" s="62"/>
      <c r="AK1391" s="62"/>
      <c r="AL1391" s="62"/>
      <c r="AM1391" s="62"/>
      <c r="AN1391" s="60"/>
    </row>
    <row r="1392" spans="2:40" ht="18" customHeight="1" x14ac:dyDescent="0.25">
      <c r="B1392" s="61"/>
      <c r="C1392" s="214" t="s">
        <v>705</v>
      </c>
      <c r="D1392" s="215"/>
      <c r="E1392" s="216"/>
      <c r="F1392" s="62"/>
      <c r="G1392" s="214" t="s">
        <v>109</v>
      </c>
      <c r="H1392" s="215"/>
      <c r="I1392" s="216"/>
      <c r="J1392" s="63"/>
      <c r="L1392" s="61"/>
      <c r="M1392" s="214" t="s">
        <v>705</v>
      </c>
      <c r="N1392" s="215"/>
      <c r="O1392" s="216"/>
      <c r="P1392" s="62"/>
      <c r="Q1392" s="214" t="s">
        <v>1565</v>
      </c>
      <c r="R1392" s="215"/>
      <c r="S1392" s="216"/>
      <c r="T1392" s="63"/>
      <c r="V1392" s="61"/>
      <c r="W1392" s="214" t="s">
        <v>705</v>
      </c>
      <c r="X1392" s="215"/>
      <c r="Y1392" s="216"/>
      <c r="Z1392" s="62"/>
      <c r="AA1392" s="214" t="s">
        <v>109</v>
      </c>
      <c r="AB1392" s="215"/>
      <c r="AC1392" s="216"/>
      <c r="AD1392" s="63"/>
      <c r="AF1392" s="61"/>
      <c r="AG1392" s="214" t="s">
        <v>705</v>
      </c>
      <c r="AH1392" s="215"/>
      <c r="AI1392" s="216"/>
      <c r="AJ1392" s="62"/>
      <c r="AK1392" s="214" t="s">
        <v>1597</v>
      </c>
      <c r="AL1392" s="215"/>
      <c r="AM1392" s="216"/>
      <c r="AN1392" s="63"/>
    </row>
    <row r="1393" spans="2:40" ht="6.95" customHeight="1" x14ac:dyDescent="0.25">
      <c r="B1393" s="59"/>
      <c r="C1393" s="62"/>
      <c r="D1393" s="62"/>
      <c r="E1393" s="62"/>
      <c r="F1393" s="62"/>
      <c r="G1393" s="62"/>
      <c r="H1393" s="62"/>
      <c r="I1393" s="62"/>
      <c r="J1393" s="60"/>
      <c r="L1393" s="59"/>
      <c r="M1393" s="62"/>
      <c r="N1393" s="62"/>
      <c r="O1393" s="62"/>
      <c r="P1393" s="62"/>
      <c r="Q1393" s="62"/>
      <c r="R1393" s="62"/>
      <c r="S1393" s="62"/>
      <c r="T1393" s="60"/>
      <c r="V1393" s="59"/>
      <c r="W1393" s="62"/>
      <c r="X1393" s="62"/>
      <c r="Y1393" s="62"/>
      <c r="Z1393" s="62"/>
      <c r="AA1393" s="62"/>
      <c r="AB1393" s="62"/>
      <c r="AC1393" s="62"/>
      <c r="AD1393" s="60"/>
      <c r="AF1393" s="59"/>
      <c r="AG1393" s="62"/>
      <c r="AH1393" s="62"/>
      <c r="AI1393" s="62"/>
      <c r="AJ1393" s="62"/>
      <c r="AK1393" s="62"/>
      <c r="AL1393" s="62"/>
      <c r="AM1393" s="62"/>
      <c r="AN1393" s="60"/>
    </row>
    <row r="1394" spans="2:40" ht="18" customHeight="1" x14ac:dyDescent="0.25">
      <c r="B1394" s="61"/>
      <c r="C1394" s="214" t="s">
        <v>708</v>
      </c>
      <c r="D1394" s="215"/>
      <c r="E1394" s="216"/>
      <c r="F1394" s="62"/>
      <c r="G1394" s="214" t="s">
        <v>109</v>
      </c>
      <c r="H1394" s="215"/>
      <c r="I1394" s="216"/>
      <c r="J1394" s="63"/>
      <c r="L1394" s="61"/>
      <c r="M1394" s="214" t="s">
        <v>708</v>
      </c>
      <c r="N1394" s="215"/>
      <c r="O1394" s="216"/>
      <c r="P1394" s="62"/>
      <c r="Q1394" s="214" t="s">
        <v>1598</v>
      </c>
      <c r="R1394" s="215"/>
      <c r="S1394" s="216"/>
      <c r="T1394" s="63"/>
      <c r="V1394" s="61"/>
      <c r="W1394" s="214" t="s">
        <v>708</v>
      </c>
      <c r="X1394" s="215"/>
      <c r="Y1394" s="216"/>
      <c r="Z1394" s="62"/>
      <c r="AA1394" s="214" t="s">
        <v>109</v>
      </c>
      <c r="AB1394" s="215"/>
      <c r="AC1394" s="216"/>
      <c r="AD1394" s="63"/>
      <c r="AF1394" s="61"/>
      <c r="AG1394" s="214" t="s">
        <v>708</v>
      </c>
      <c r="AH1394" s="215"/>
      <c r="AI1394" s="216"/>
      <c r="AJ1394" s="62"/>
      <c r="AK1394" s="214" t="s">
        <v>1599</v>
      </c>
      <c r="AL1394" s="215"/>
      <c r="AM1394" s="216"/>
      <c r="AN1394" s="63"/>
    </row>
    <row r="1395" spans="2:40" ht="6.95" customHeight="1" x14ac:dyDescent="0.25">
      <c r="B1395" s="59"/>
      <c r="C1395" s="62"/>
      <c r="D1395" s="62"/>
      <c r="E1395" s="62"/>
      <c r="F1395" s="62"/>
      <c r="G1395" s="62"/>
      <c r="H1395" s="62"/>
      <c r="I1395" s="62"/>
      <c r="J1395" s="60"/>
      <c r="L1395" s="59"/>
      <c r="M1395" s="62"/>
      <c r="N1395" s="62"/>
      <c r="O1395" s="62"/>
      <c r="P1395" s="62"/>
      <c r="Q1395" s="62"/>
      <c r="R1395" s="62"/>
      <c r="S1395" s="62"/>
      <c r="T1395" s="60"/>
      <c r="V1395" s="59"/>
      <c r="W1395" s="62"/>
      <c r="X1395" s="62"/>
      <c r="Y1395" s="62"/>
      <c r="Z1395" s="62"/>
      <c r="AA1395" s="62"/>
      <c r="AB1395" s="62"/>
      <c r="AC1395" s="62"/>
      <c r="AD1395" s="60"/>
      <c r="AF1395" s="59"/>
      <c r="AG1395" s="62"/>
      <c r="AH1395" s="62"/>
      <c r="AI1395" s="62"/>
      <c r="AJ1395" s="62"/>
      <c r="AK1395" s="62"/>
      <c r="AL1395" s="62"/>
      <c r="AM1395" s="62"/>
      <c r="AN1395" s="60"/>
    </row>
    <row r="1396" spans="2:40" ht="18" customHeight="1" x14ac:dyDescent="0.25">
      <c r="B1396" s="61"/>
      <c r="C1396" s="214" t="s">
        <v>711</v>
      </c>
      <c r="D1396" s="215"/>
      <c r="E1396" s="216"/>
      <c r="F1396" s="62"/>
      <c r="G1396" s="214" t="s">
        <v>712</v>
      </c>
      <c r="H1396" s="215"/>
      <c r="I1396" s="216"/>
      <c r="J1396" s="63"/>
      <c r="L1396" s="61"/>
      <c r="M1396" s="214" t="s">
        <v>711</v>
      </c>
      <c r="N1396" s="215"/>
      <c r="O1396" s="216"/>
      <c r="P1396" s="62"/>
      <c r="Q1396" s="214" t="s">
        <v>712</v>
      </c>
      <c r="R1396" s="215"/>
      <c r="S1396" s="216"/>
      <c r="T1396" s="63"/>
      <c r="V1396" s="61"/>
      <c r="W1396" s="214" t="s">
        <v>711</v>
      </c>
      <c r="X1396" s="215"/>
      <c r="Y1396" s="216"/>
      <c r="Z1396" s="62"/>
      <c r="AA1396" s="214" t="s">
        <v>712</v>
      </c>
      <c r="AB1396" s="215"/>
      <c r="AC1396" s="216"/>
      <c r="AD1396" s="63"/>
      <c r="AF1396" s="61"/>
      <c r="AG1396" s="214" t="s">
        <v>711</v>
      </c>
      <c r="AH1396" s="215"/>
      <c r="AI1396" s="216"/>
      <c r="AJ1396" s="62"/>
      <c r="AK1396" s="214" t="s">
        <v>712</v>
      </c>
      <c r="AL1396" s="215"/>
      <c r="AM1396" s="216"/>
      <c r="AN1396" s="63"/>
    </row>
    <row r="1397" spans="2:40" ht="6.95" customHeight="1" x14ac:dyDescent="0.25">
      <c r="B1397" s="59"/>
      <c r="C1397" s="62"/>
      <c r="D1397" s="62"/>
      <c r="E1397" s="62"/>
      <c r="F1397" s="62"/>
      <c r="G1397" s="62"/>
      <c r="H1397" s="62"/>
      <c r="I1397" s="62"/>
      <c r="J1397" s="60"/>
      <c r="L1397" s="59"/>
      <c r="M1397" s="62"/>
      <c r="N1397" s="62"/>
      <c r="O1397" s="62"/>
      <c r="P1397" s="62"/>
      <c r="Q1397" s="62"/>
      <c r="R1397" s="62"/>
      <c r="S1397" s="62"/>
      <c r="T1397" s="60"/>
      <c r="V1397" s="59"/>
      <c r="W1397" s="62"/>
      <c r="X1397" s="62"/>
      <c r="Y1397" s="62"/>
      <c r="Z1397" s="62"/>
      <c r="AA1397" s="62"/>
      <c r="AB1397" s="62"/>
      <c r="AC1397" s="62"/>
      <c r="AD1397" s="60"/>
      <c r="AF1397" s="59"/>
      <c r="AG1397" s="62"/>
      <c r="AH1397" s="62"/>
      <c r="AI1397" s="62"/>
      <c r="AJ1397" s="62"/>
      <c r="AK1397" s="62"/>
      <c r="AL1397" s="62"/>
      <c r="AM1397" s="62"/>
      <c r="AN1397" s="60"/>
    </row>
    <row r="1398" spans="2:40" ht="18" customHeight="1" x14ac:dyDescent="0.25">
      <c r="B1398" s="61"/>
      <c r="C1398" s="214" t="s">
        <v>1273</v>
      </c>
      <c r="D1398" s="215"/>
      <c r="E1398" s="216"/>
      <c r="F1398" s="62"/>
      <c r="G1398" s="214" t="s">
        <v>1600</v>
      </c>
      <c r="H1398" s="215"/>
      <c r="I1398" s="216"/>
      <c r="J1398" s="63"/>
      <c r="L1398" s="61"/>
      <c r="M1398" s="214" t="s">
        <v>1273</v>
      </c>
      <c r="N1398" s="215"/>
      <c r="O1398" s="216"/>
      <c r="P1398" s="62"/>
      <c r="Q1398" s="214" t="s">
        <v>1601</v>
      </c>
      <c r="R1398" s="215"/>
      <c r="S1398" s="216"/>
      <c r="T1398" s="63"/>
      <c r="V1398" s="61"/>
      <c r="W1398" s="214" t="s">
        <v>1273</v>
      </c>
      <c r="X1398" s="215"/>
      <c r="Y1398" s="216"/>
      <c r="Z1398" s="62"/>
      <c r="AA1398" s="214" t="s">
        <v>1602</v>
      </c>
      <c r="AB1398" s="215"/>
      <c r="AC1398" s="216"/>
      <c r="AD1398" s="63"/>
      <c r="AF1398" s="61"/>
      <c r="AG1398" s="214" t="s">
        <v>1273</v>
      </c>
      <c r="AH1398" s="215"/>
      <c r="AI1398" s="216"/>
      <c r="AJ1398" s="62"/>
      <c r="AK1398" s="214" t="s">
        <v>1603</v>
      </c>
      <c r="AL1398" s="215"/>
      <c r="AM1398" s="216"/>
      <c r="AN1398" s="63"/>
    </row>
    <row r="1399" spans="2:40" ht="6.95" customHeight="1" x14ac:dyDescent="0.25">
      <c r="B1399" s="59"/>
      <c r="C1399" s="62"/>
      <c r="D1399" s="62"/>
      <c r="E1399" s="62"/>
      <c r="F1399" s="62"/>
      <c r="G1399" s="62"/>
      <c r="H1399" s="62"/>
      <c r="I1399" s="62"/>
      <c r="J1399" s="60"/>
      <c r="L1399" s="59"/>
      <c r="M1399" s="62"/>
      <c r="N1399" s="62"/>
      <c r="O1399" s="62"/>
      <c r="P1399" s="62"/>
      <c r="Q1399" s="62"/>
      <c r="R1399" s="62"/>
      <c r="S1399" s="62"/>
      <c r="T1399" s="60"/>
      <c r="V1399" s="59"/>
      <c r="W1399" s="62"/>
      <c r="X1399" s="62"/>
      <c r="Y1399" s="62"/>
      <c r="Z1399" s="62"/>
      <c r="AA1399" s="62"/>
      <c r="AB1399" s="62"/>
      <c r="AC1399" s="62"/>
      <c r="AD1399" s="60"/>
      <c r="AF1399" s="59"/>
      <c r="AG1399" s="62"/>
      <c r="AH1399" s="62"/>
      <c r="AI1399" s="62"/>
      <c r="AJ1399" s="62"/>
      <c r="AK1399" s="62"/>
      <c r="AL1399" s="62"/>
      <c r="AM1399" s="62"/>
      <c r="AN1399" s="60"/>
    </row>
    <row r="1400" spans="2:40" ht="18" customHeight="1" x14ac:dyDescent="0.25">
      <c r="B1400" s="61"/>
      <c r="C1400" s="214" t="s">
        <v>713</v>
      </c>
      <c r="D1400" s="215"/>
      <c r="E1400" s="216"/>
      <c r="F1400" s="62"/>
      <c r="G1400" s="220" t="s">
        <v>1293</v>
      </c>
      <c r="H1400" s="220"/>
      <c r="I1400" s="220"/>
      <c r="J1400" s="63"/>
      <c r="L1400" s="61"/>
      <c r="M1400" s="214" t="s">
        <v>713</v>
      </c>
      <c r="N1400" s="215"/>
      <c r="O1400" s="216"/>
      <c r="P1400" s="62"/>
      <c r="Q1400" s="220" t="s">
        <v>1293</v>
      </c>
      <c r="R1400" s="220"/>
      <c r="S1400" s="220"/>
      <c r="T1400" s="63"/>
      <c r="V1400" s="61"/>
      <c r="W1400" s="214" t="s">
        <v>713</v>
      </c>
      <c r="X1400" s="215"/>
      <c r="Y1400" s="216"/>
      <c r="Z1400" s="62"/>
      <c r="AA1400" s="220" t="s">
        <v>1293</v>
      </c>
      <c r="AB1400" s="220"/>
      <c r="AC1400" s="220"/>
      <c r="AD1400" s="63"/>
      <c r="AF1400" s="61"/>
      <c r="AG1400" s="214" t="s">
        <v>713</v>
      </c>
      <c r="AH1400" s="215"/>
      <c r="AI1400" s="216"/>
      <c r="AJ1400" s="62"/>
      <c r="AK1400" s="220" t="s">
        <v>1293</v>
      </c>
      <c r="AL1400" s="220"/>
      <c r="AM1400" s="220"/>
      <c r="AN1400" s="63"/>
    </row>
    <row r="1401" spans="2:40" ht="6.95" customHeight="1" x14ac:dyDescent="0.25">
      <c r="B1401" s="59"/>
      <c r="C1401" s="128"/>
      <c r="D1401" s="128"/>
      <c r="E1401" s="128"/>
      <c r="F1401" s="62"/>
      <c r="G1401" s="128"/>
      <c r="H1401" s="128"/>
      <c r="I1401" s="128"/>
      <c r="J1401" s="63"/>
      <c r="L1401" s="59"/>
      <c r="M1401" s="128"/>
      <c r="N1401" s="128"/>
      <c r="O1401" s="128"/>
      <c r="P1401" s="62"/>
      <c r="Q1401" s="128"/>
      <c r="R1401" s="128"/>
      <c r="S1401" s="128"/>
      <c r="T1401" s="63"/>
      <c r="V1401" s="59"/>
      <c r="W1401" s="128"/>
      <c r="X1401" s="128"/>
      <c r="Y1401" s="128"/>
      <c r="Z1401" s="62"/>
      <c r="AA1401" s="128"/>
      <c r="AB1401" s="128"/>
      <c r="AC1401" s="128"/>
      <c r="AD1401" s="63"/>
      <c r="AF1401" s="59"/>
      <c r="AG1401" s="128"/>
      <c r="AH1401" s="128"/>
      <c r="AI1401" s="128"/>
      <c r="AJ1401" s="62"/>
      <c r="AK1401" s="128"/>
      <c r="AL1401" s="128"/>
      <c r="AM1401" s="128"/>
      <c r="AN1401" s="63"/>
    </row>
    <row r="1402" spans="2:40" ht="18" customHeight="1" x14ac:dyDescent="0.25">
      <c r="B1402" s="59"/>
      <c r="C1402" s="220" t="s">
        <v>715</v>
      </c>
      <c r="D1402" s="220"/>
      <c r="E1402" s="220"/>
      <c r="F1402" s="62"/>
      <c r="G1402" s="220" t="s">
        <v>1270</v>
      </c>
      <c r="H1402" s="220"/>
      <c r="I1402" s="220"/>
      <c r="J1402" s="63"/>
      <c r="L1402" s="59"/>
      <c r="M1402" s="220" t="s">
        <v>715</v>
      </c>
      <c r="N1402" s="220"/>
      <c r="O1402" s="220"/>
      <c r="P1402" s="62"/>
      <c r="Q1402" s="220" t="s">
        <v>1270</v>
      </c>
      <c r="R1402" s="220"/>
      <c r="S1402" s="220"/>
      <c r="T1402" s="63"/>
      <c r="V1402" s="59"/>
      <c r="W1402" s="220" t="s">
        <v>715</v>
      </c>
      <c r="X1402" s="220"/>
      <c r="Y1402" s="220"/>
      <c r="Z1402" s="62"/>
      <c r="AA1402" s="220" t="s">
        <v>1270</v>
      </c>
      <c r="AB1402" s="220"/>
      <c r="AC1402" s="220"/>
      <c r="AD1402" s="63"/>
      <c r="AF1402" s="59"/>
      <c r="AG1402" s="220" t="s">
        <v>715</v>
      </c>
      <c r="AH1402" s="220"/>
      <c r="AI1402" s="220"/>
      <c r="AJ1402" s="62"/>
      <c r="AK1402" s="220" t="s">
        <v>1270</v>
      </c>
      <c r="AL1402" s="220"/>
      <c r="AM1402" s="220"/>
      <c r="AN1402" s="63"/>
    </row>
    <row r="1403" spans="2:40" ht="6.95" customHeight="1" thickBot="1" x14ac:dyDescent="0.3">
      <c r="B1403" s="64"/>
      <c r="C1403" s="65"/>
      <c r="D1403" s="65"/>
      <c r="E1403" s="65"/>
      <c r="F1403" s="65"/>
      <c r="G1403" s="65"/>
      <c r="H1403" s="65"/>
      <c r="I1403" s="65"/>
      <c r="J1403" s="66"/>
      <c r="L1403" s="64"/>
      <c r="M1403" s="65"/>
      <c r="N1403" s="65"/>
      <c r="O1403" s="65"/>
      <c r="P1403" s="65"/>
      <c r="Q1403" s="65"/>
      <c r="R1403" s="65"/>
      <c r="S1403" s="65"/>
      <c r="T1403" s="66"/>
      <c r="V1403" s="64"/>
      <c r="W1403" s="65"/>
      <c r="X1403" s="65"/>
      <c r="Y1403" s="65"/>
      <c r="Z1403" s="65"/>
      <c r="AA1403" s="65"/>
      <c r="AB1403" s="65"/>
      <c r="AC1403" s="65"/>
      <c r="AD1403" s="66"/>
      <c r="AF1403" s="64"/>
      <c r="AG1403" s="65"/>
      <c r="AH1403" s="65"/>
      <c r="AI1403" s="65"/>
      <c r="AJ1403" s="65"/>
      <c r="AK1403" s="65"/>
      <c r="AL1403" s="65"/>
      <c r="AM1403" s="65"/>
      <c r="AN1403" s="66"/>
    </row>
    <row r="1404" spans="2:40" ht="32.1" customHeight="1" thickTop="1" x14ac:dyDescent="0.25">
      <c r="B1404" s="57"/>
      <c r="C1404" s="58"/>
      <c r="D1404" s="217" t="s">
        <v>697</v>
      </c>
      <c r="E1404" s="218"/>
      <c r="F1404" s="218"/>
      <c r="G1404" s="218"/>
      <c r="H1404" s="218"/>
      <c r="I1404" s="218"/>
      <c r="J1404" s="219"/>
      <c r="L1404" s="57"/>
      <c r="M1404" s="58"/>
      <c r="N1404" s="217" t="s">
        <v>697</v>
      </c>
      <c r="O1404" s="218"/>
      <c r="P1404" s="218"/>
      <c r="Q1404" s="218"/>
      <c r="R1404" s="218"/>
      <c r="S1404" s="218"/>
      <c r="T1404" s="219"/>
      <c r="V1404" s="57"/>
      <c r="W1404" s="58"/>
      <c r="X1404" s="217" t="s">
        <v>697</v>
      </c>
      <c r="Y1404" s="218"/>
      <c r="Z1404" s="218"/>
      <c r="AA1404" s="218"/>
      <c r="AB1404" s="218"/>
      <c r="AC1404" s="218"/>
      <c r="AD1404" s="219"/>
      <c r="AF1404" s="57"/>
      <c r="AG1404" s="58"/>
      <c r="AH1404" s="217" t="s">
        <v>697</v>
      </c>
      <c r="AI1404" s="218"/>
      <c r="AJ1404" s="218"/>
      <c r="AK1404" s="218"/>
      <c r="AL1404" s="218"/>
      <c r="AM1404" s="218"/>
      <c r="AN1404" s="219"/>
    </row>
    <row r="1405" spans="2:40" ht="6.95" customHeight="1" x14ac:dyDescent="0.25">
      <c r="B1405" s="59"/>
      <c r="J1405" s="60"/>
      <c r="L1405" s="59"/>
      <c r="T1405" s="60"/>
      <c r="V1405" s="59"/>
      <c r="AD1405" s="60"/>
      <c r="AF1405" s="59"/>
      <c r="AN1405" s="60"/>
    </row>
    <row r="1406" spans="2:40" ht="18" customHeight="1" x14ac:dyDescent="0.25">
      <c r="B1406" s="61"/>
      <c r="C1406" s="214" t="s">
        <v>698</v>
      </c>
      <c r="D1406" s="215"/>
      <c r="E1406" s="216"/>
      <c r="F1406" s="62"/>
      <c r="G1406" s="214" t="s">
        <v>794</v>
      </c>
      <c r="H1406" s="215"/>
      <c r="I1406" s="216"/>
      <c r="J1406" s="63"/>
      <c r="L1406" s="61"/>
      <c r="M1406" s="214" t="s">
        <v>698</v>
      </c>
      <c r="N1406" s="215"/>
      <c r="O1406" s="216"/>
      <c r="P1406" s="62"/>
      <c r="Q1406" s="214" t="s">
        <v>797</v>
      </c>
      <c r="R1406" s="215"/>
      <c r="S1406" s="216"/>
      <c r="T1406" s="63"/>
      <c r="V1406" s="61"/>
      <c r="W1406" s="214" t="s">
        <v>698</v>
      </c>
      <c r="X1406" s="215"/>
      <c r="Y1406" s="216"/>
      <c r="Z1406" s="62"/>
      <c r="AA1406" s="214" t="s">
        <v>1604</v>
      </c>
      <c r="AB1406" s="215"/>
      <c r="AC1406" s="216"/>
      <c r="AD1406" s="63"/>
      <c r="AF1406" s="61"/>
      <c r="AG1406" s="214" t="s">
        <v>698</v>
      </c>
      <c r="AH1406" s="215"/>
      <c r="AI1406" s="216"/>
      <c r="AJ1406" s="62"/>
      <c r="AK1406" s="214" t="s">
        <v>800</v>
      </c>
      <c r="AL1406" s="215"/>
      <c r="AM1406" s="216"/>
      <c r="AN1406" s="63"/>
    </row>
    <row r="1407" spans="2:40" ht="6.95" customHeight="1" x14ac:dyDescent="0.25">
      <c r="B1407" s="59"/>
      <c r="C1407" s="62"/>
      <c r="D1407" s="62"/>
      <c r="E1407" s="62"/>
      <c r="F1407" s="62"/>
      <c r="G1407" s="62"/>
      <c r="H1407" s="62"/>
      <c r="I1407" s="62"/>
      <c r="J1407" s="60"/>
      <c r="L1407" s="59"/>
      <c r="M1407" s="62"/>
      <c r="N1407" s="62"/>
      <c r="O1407" s="62"/>
      <c r="P1407" s="62"/>
      <c r="Q1407" s="62"/>
      <c r="R1407" s="62"/>
      <c r="S1407" s="62"/>
      <c r="T1407" s="60"/>
      <c r="V1407" s="59"/>
      <c r="W1407" s="62"/>
      <c r="X1407" s="62"/>
      <c r="Y1407" s="62"/>
      <c r="Z1407" s="62"/>
      <c r="AA1407" s="62"/>
      <c r="AB1407" s="62"/>
      <c r="AC1407" s="62"/>
      <c r="AD1407" s="60"/>
      <c r="AF1407" s="59"/>
      <c r="AG1407" s="62"/>
      <c r="AH1407" s="62"/>
      <c r="AI1407" s="62"/>
      <c r="AJ1407" s="62"/>
      <c r="AK1407" s="62"/>
      <c r="AL1407" s="62"/>
      <c r="AM1407" s="62"/>
      <c r="AN1407" s="60"/>
    </row>
    <row r="1408" spans="2:40" x14ac:dyDescent="0.25">
      <c r="B1408" s="61"/>
      <c r="C1408" s="214" t="s">
        <v>699</v>
      </c>
      <c r="D1408" s="215"/>
      <c r="E1408" s="216"/>
      <c r="F1408" s="62"/>
      <c r="G1408" s="214" t="s">
        <v>1639</v>
      </c>
      <c r="H1408" s="215"/>
      <c r="I1408" s="216"/>
      <c r="J1408" s="63"/>
      <c r="L1408" s="61"/>
      <c r="M1408" s="214" t="s">
        <v>699</v>
      </c>
      <c r="N1408" s="215"/>
      <c r="O1408" s="216"/>
      <c r="P1408" s="62"/>
      <c r="Q1408" s="214" t="s">
        <v>1640</v>
      </c>
      <c r="R1408" s="215"/>
      <c r="S1408" s="216"/>
      <c r="T1408" s="63"/>
      <c r="V1408" s="61"/>
      <c r="W1408" s="214" t="s">
        <v>699</v>
      </c>
      <c r="X1408" s="215"/>
      <c r="Y1408" s="216"/>
      <c r="Z1408" s="62"/>
      <c r="AA1408" s="214" t="s">
        <v>1639</v>
      </c>
      <c r="AB1408" s="215"/>
      <c r="AC1408" s="216"/>
      <c r="AD1408" s="63"/>
      <c r="AF1408" s="61"/>
      <c r="AG1408" s="214" t="s">
        <v>699</v>
      </c>
      <c r="AH1408" s="215"/>
      <c r="AI1408" s="216"/>
      <c r="AJ1408" s="62"/>
      <c r="AK1408" s="214" t="s">
        <v>1639</v>
      </c>
      <c r="AL1408" s="215"/>
      <c r="AM1408" s="216"/>
      <c r="AN1408" s="63"/>
    </row>
    <row r="1409" spans="2:40" ht="6.95" customHeight="1" x14ac:dyDescent="0.25">
      <c r="B1409" s="59"/>
      <c r="C1409" s="62"/>
      <c r="D1409" s="62"/>
      <c r="E1409" s="62"/>
      <c r="F1409" s="62"/>
      <c r="G1409" s="62"/>
      <c r="H1409" s="62"/>
      <c r="I1409" s="62"/>
      <c r="J1409" s="60"/>
      <c r="L1409" s="59"/>
      <c r="M1409" s="62"/>
      <c r="N1409" s="62"/>
      <c r="O1409" s="62"/>
      <c r="P1409" s="62"/>
      <c r="Q1409" s="62"/>
      <c r="R1409" s="62"/>
      <c r="S1409" s="62"/>
      <c r="T1409" s="60"/>
      <c r="V1409" s="59"/>
      <c r="W1409" s="62"/>
      <c r="X1409" s="62"/>
      <c r="Y1409" s="62"/>
      <c r="Z1409" s="62"/>
      <c r="AA1409" s="62"/>
      <c r="AB1409" s="62"/>
      <c r="AC1409" s="62"/>
      <c r="AD1409" s="60"/>
      <c r="AF1409" s="59"/>
      <c r="AG1409" s="62"/>
      <c r="AH1409" s="62"/>
      <c r="AI1409" s="62"/>
      <c r="AJ1409" s="62"/>
      <c r="AK1409" s="62"/>
      <c r="AL1409" s="62"/>
      <c r="AM1409" s="62"/>
      <c r="AN1409" s="60"/>
    </row>
    <row r="1410" spans="2:40" x14ac:dyDescent="0.25">
      <c r="B1410" s="61"/>
      <c r="C1410" s="214" t="s">
        <v>701</v>
      </c>
      <c r="D1410" s="215"/>
      <c r="E1410" s="216"/>
      <c r="F1410" s="62"/>
      <c r="G1410" s="214" t="s">
        <v>750</v>
      </c>
      <c r="H1410" s="215"/>
      <c r="I1410" s="216"/>
      <c r="J1410" s="63"/>
      <c r="L1410" s="61"/>
      <c r="M1410" s="214" t="s">
        <v>701</v>
      </c>
      <c r="N1410" s="215"/>
      <c r="O1410" s="216"/>
      <c r="P1410" s="62"/>
      <c r="Q1410" s="214" t="s">
        <v>979</v>
      </c>
      <c r="R1410" s="215"/>
      <c r="S1410" s="216"/>
      <c r="T1410" s="63"/>
      <c r="V1410" s="61"/>
      <c r="W1410" s="214" t="s">
        <v>701</v>
      </c>
      <c r="X1410" s="215"/>
      <c r="Y1410" s="216"/>
      <c r="Z1410" s="62"/>
      <c r="AA1410" s="214" t="s">
        <v>729</v>
      </c>
      <c r="AB1410" s="215"/>
      <c r="AC1410" s="216"/>
      <c r="AD1410" s="63"/>
      <c r="AF1410" s="61"/>
      <c r="AG1410" s="214" t="s">
        <v>701</v>
      </c>
      <c r="AH1410" s="215"/>
      <c r="AI1410" s="216"/>
      <c r="AJ1410" s="62"/>
      <c r="AK1410" s="214" t="s">
        <v>977</v>
      </c>
      <c r="AL1410" s="215"/>
      <c r="AM1410" s="216"/>
      <c r="AN1410" s="63"/>
    </row>
    <row r="1411" spans="2:40" ht="6.95" customHeight="1" x14ac:dyDescent="0.25">
      <c r="B1411" s="59"/>
      <c r="C1411" s="62"/>
      <c r="D1411" s="62"/>
      <c r="E1411" s="62"/>
      <c r="F1411" s="62"/>
      <c r="G1411" s="62"/>
      <c r="H1411" s="62"/>
      <c r="I1411" s="62"/>
      <c r="J1411" s="60"/>
      <c r="L1411" s="59"/>
      <c r="M1411" s="62"/>
      <c r="N1411" s="62"/>
      <c r="O1411" s="62"/>
      <c r="P1411" s="62"/>
      <c r="Q1411" s="62"/>
      <c r="R1411" s="62"/>
      <c r="S1411" s="62"/>
      <c r="T1411" s="60"/>
      <c r="V1411" s="59"/>
      <c r="W1411" s="62"/>
      <c r="X1411" s="62"/>
      <c r="Y1411" s="62"/>
      <c r="Z1411" s="62"/>
      <c r="AA1411" s="62"/>
      <c r="AB1411" s="62"/>
      <c r="AC1411" s="62"/>
      <c r="AD1411" s="60"/>
      <c r="AF1411" s="59"/>
      <c r="AG1411" s="62"/>
      <c r="AH1411" s="62"/>
      <c r="AI1411" s="62"/>
      <c r="AJ1411" s="62"/>
      <c r="AK1411" s="62"/>
      <c r="AL1411" s="62"/>
      <c r="AM1411" s="62"/>
      <c r="AN1411" s="60"/>
    </row>
    <row r="1412" spans="2:40" x14ac:dyDescent="0.25">
      <c r="B1412" s="61"/>
      <c r="C1412" s="214" t="s">
        <v>703</v>
      </c>
      <c r="D1412" s="215"/>
      <c r="E1412" s="216"/>
      <c r="F1412" s="62"/>
      <c r="G1412" s="214" t="s">
        <v>109</v>
      </c>
      <c r="H1412" s="215"/>
      <c r="I1412" s="216"/>
      <c r="J1412" s="63"/>
      <c r="L1412" s="61"/>
      <c r="M1412" s="214" t="s">
        <v>703</v>
      </c>
      <c r="N1412" s="215"/>
      <c r="O1412" s="216"/>
      <c r="P1412" s="62"/>
      <c r="Q1412" s="214" t="s">
        <v>109</v>
      </c>
      <c r="R1412" s="215"/>
      <c r="S1412" s="216"/>
      <c r="T1412" s="63"/>
      <c r="V1412" s="61"/>
      <c r="W1412" s="214" t="s">
        <v>703</v>
      </c>
      <c r="X1412" s="215"/>
      <c r="Y1412" s="216"/>
      <c r="Z1412" s="62"/>
      <c r="AA1412" s="214" t="s">
        <v>109</v>
      </c>
      <c r="AB1412" s="215"/>
      <c r="AC1412" s="216"/>
      <c r="AD1412" s="63"/>
      <c r="AF1412" s="61"/>
      <c r="AG1412" s="214" t="s">
        <v>703</v>
      </c>
      <c r="AH1412" s="215"/>
      <c r="AI1412" s="216"/>
      <c r="AJ1412" s="62"/>
      <c r="AK1412" s="214" t="s">
        <v>109</v>
      </c>
      <c r="AL1412" s="215"/>
      <c r="AM1412" s="216"/>
      <c r="AN1412" s="63"/>
    </row>
    <row r="1413" spans="2:40" ht="6.95" customHeight="1" x14ac:dyDescent="0.25">
      <c r="B1413" s="59"/>
      <c r="C1413" s="62"/>
      <c r="D1413" s="62"/>
      <c r="E1413" s="62"/>
      <c r="F1413" s="62"/>
      <c r="G1413" s="62"/>
      <c r="H1413" s="62"/>
      <c r="I1413" s="62"/>
      <c r="J1413" s="60"/>
      <c r="L1413" s="59"/>
      <c r="M1413" s="62"/>
      <c r="N1413" s="62"/>
      <c r="O1413" s="62"/>
      <c r="P1413" s="62"/>
      <c r="Q1413" s="62"/>
      <c r="R1413" s="62"/>
      <c r="S1413" s="62"/>
      <c r="T1413" s="60"/>
      <c r="V1413" s="59"/>
      <c r="W1413" s="62"/>
      <c r="X1413" s="62"/>
      <c r="Y1413" s="62"/>
      <c r="Z1413" s="62"/>
      <c r="AA1413" s="62"/>
      <c r="AB1413" s="62"/>
      <c r="AC1413" s="62"/>
      <c r="AD1413" s="60"/>
      <c r="AF1413" s="59"/>
      <c r="AG1413" s="62"/>
      <c r="AH1413" s="62"/>
      <c r="AI1413" s="62"/>
      <c r="AJ1413" s="62"/>
      <c r="AK1413" s="62"/>
      <c r="AL1413" s="62"/>
      <c r="AM1413" s="62"/>
      <c r="AN1413" s="60"/>
    </row>
    <row r="1414" spans="2:40" x14ac:dyDescent="0.25">
      <c r="B1414" s="61"/>
      <c r="C1414" s="214" t="s">
        <v>705</v>
      </c>
      <c r="D1414" s="215"/>
      <c r="E1414" s="216"/>
      <c r="F1414" s="62"/>
      <c r="G1414" s="214" t="s">
        <v>1605</v>
      </c>
      <c r="H1414" s="215"/>
      <c r="I1414" s="216"/>
      <c r="J1414" s="63"/>
      <c r="L1414" s="61"/>
      <c r="M1414" s="214" t="s">
        <v>705</v>
      </c>
      <c r="N1414" s="215"/>
      <c r="O1414" s="216"/>
      <c r="P1414" s="62"/>
      <c r="Q1414" s="214" t="s">
        <v>1597</v>
      </c>
      <c r="R1414" s="215"/>
      <c r="S1414" s="216"/>
      <c r="T1414" s="63"/>
      <c r="V1414" s="61"/>
      <c r="W1414" s="214" t="s">
        <v>705</v>
      </c>
      <c r="X1414" s="215"/>
      <c r="Y1414" s="216"/>
      <c r="Z1414" s="62"/>
      <c r="AA1414" s="214" t="s">
        <v>109</v>
      </c>
      <c r="AB1414" s="215"/>
      <c r="AC1414" s="216"/>
      <c r="AD1414" s="63"/>
      <c r="AF1414" s="61"/>
      <c r="AG1414" s="214" t="s">
        <v>705</v>
      </c>
      <c r="AH1414" s="215"/>
      <c r="AI1414" s="216"/>
      <c r="AJ1414" s="62"/>
      <c r="AK1414" s="214" t="s">
        <v>1576</v>
      </c>
      <c r="AL1414" s="215"/>
      <c r="AM1414" s="216"/>
      <c r="AN1414" s="63"/>
    </row>
    <row r="1415" spans="2:40" ht="6.95" customHeight="1" x14ac:dyDescent="0.25">
      <c r="B1415" s="59"/>
      <c r="C1415" s="62"/>
      <c r="D1415" s="62"/>
      <c r="E1415" s="62"/>
      <c r="F1415" s="62"/>
      <c r="G1415" s="62"/>
      <c r="H1415" s="62"/>
      <c r="I1415" s="62"/>
      <c r="J1415" s="60"/>
      <c r="L1415" s="59"/>
      <c r="M1415" s="62"/>
      <c r="N1415" s="62"/>
      <c r="O1415" s="62"/>
      <c r="P1415" s="62"/>
      <c r="Q1415" s="62"/>
      <c r="R1415" s="62"/>
      <c r="S1415" s="62"/>
      <c r="T1415" s="60"/>
      <c r="V1415" s="59"/>
      <c r="W1415" s="62"/>
      <c r="X1415" s="62"/>
      <c r="Y1415" s="62"/>
      <c r="Z1415" s="62"/>
      <c r="AA1415" s="62"/>
      <c r="AB1415" s="62"/>
      <c r="AC1415" s="62"/>
      <c r="AD1415" s="60"/>
      <c r="AF1415" s="59"/>
      <c r="AG1415" s="62"/>
      <c r="AH1415" s="62"/>
      <c r="AI1415" s="62"/>
      <c r="AJ1415" s="62"/>
      <c r="AK1415" s="62"/>
      <c r="AL1415" s="62"/>
      <c r="AM1415" s="62"/>
      <c r="AN1415" s="60"/>
    </row>
    <row r="1416" spans="2:40" x14ac:dyDescent="0.25">
      <c r="B1416" s="61"/>
      <c r="C1416" s="214" t="s">
        <v>708</v>
      </c>
      <c r="D1416" s="215"/>
      <c r="E1416" s="216"/>
      <c r="F1416" s="62"/>
      <c r="G1416" s="214" t="s">
        <v>1606</v>
      </c>
      <c r="H1416" s="215"/>
      <c r="I1416" s="216"/>
      <c r="J1416" s="63"/>
      <c r="L1416" s="61"/>
      <c r="M1416" s="214" t="s">
        <v>708</v>
      </c>
      <c r="N1416" s="215"/>
      <c r="O1416" s="216"/>
      <c r="P1416" s="62"/>
      <c r="Q1416" s="214" t="s">
        <v>1599</v>
      </c>
      <c r="R1416" s="215"/>
      <c r="S1416" s="216"/>
      <c r="T1416" s="63"/>
      <c r="V1416" s="61"/>
      <c r="W1416" s="214" t="s">
        <v>708</v>
      </c>
      <c r="X1416" s="215"/>
      <c r="Y1416" s="216"/>
      <c r="Z1416" s="62"/>
      <c r="AA1416" s="214" t="s">
        <v>109</v>
      </c>
      <c r="AB1416" s="215"/>
      <c r="AC1416" s="216"/>
      <c r="AD1416" s="63"/>
      <c r="AF1416" s="61"/>
      <c r="AG1416" s="214" t="s">
        <v>708</v>
      </c>
      <c r="AH1416" s="215"/>
      <c r="AI1416" s="216"/>
      <c r="AJ1416" s="62"/>
      <c r="AK1416" s="214" t="s">
        <v>1579</v>
      </c>
      <c r="AL1416" s="215"/>
      <c r="AM1416" s="216"/>
      <c r="AN1416" s="63"/>
    </row>
    <row r="1417" spans="2:40" ht="6.95" customHeight="1" x14ac:dyDescent="0.25">
      <c r="B1417" s="59"/>
      <c r="C1417" s="62"/>
      <c r="D1417" s="62"/>
      <c r="E1417" s="62"/>
      <c r="F1417" s="62"/>
      <c r="G1417" s="62"/>
      <c r="H1417" s="62"/>
      <c r="I1417" s="62"/>
      <c r="J1417" s="60"/>
      <c r="L1417" s="59"/>
      <c r="M1417" s="62"/>
      <c r="N1417" s="62"/>
      <c r="O1417" s="62"/>
      <c r="P1417" s="62"/>
      <c r="Q1417" s="62"/>
      <c r="R1417" s="62"/>
      <c r="S1417" s="62"/>
      <c r="T1417" s="60"/>
      <c r="V1417" s="59"/>
      <c r="W1417" s="62"/>
      <c r="X1417" s="62"/>
      <c r="Y1417" s="62"/>
      <c r="Z1417" s="62"/>
      <c r="AA1417" s="62"/>
      <c r="AB1417" s="62"/>
      <c r="AC1417" s="62"/>
      <c r="AD1417" s="60"/>
      <c r="AF1417" s="59"/>
      <c r="AG1417" s="62"/>
      <c r="AH1417" s="62"/>
      <c r="AI1417" s="62"/>
      <c r="AJ1417" s="62"/>
      <c r="AK1417" s="62"/>
      <c r="AL1417" s="62"/>
      <c r="AM1417" s="62"/>
      <c r="AN1417" s="60"/>
    </row>
    <row r="1418" spans="2:40" x14ac:dyDescent="0.25">
      <c r="B1418" s="61"/>
      <c r="C1418" s="214" t="s">
        <v>711</v>
      </c>
      <c r="D1418" s="215"/>
      <c r="E1418" s="216"/>
      <c r="F1418" s="62"/>
      <c r="G1418" s="214" t="s">
        <v>712</v>
      </c>
      <c r="H1418" s="215"/>
      <c r="I1418" s="216"/>
      <c r="J1418" s="63"/>
      <c r="L1418" s="61"/>
      <c r="M1418" s="214" t="s">
        <v>711</v>
      </c>
      <c r="N1418" s="215"/>
      <c r="O1418" s="216"/>
      <c r="P1418" s="62"/>
      <c r="Q1418" s="214" t="s">
        <v>712</v>
      </c>
      <c r="R1418" s="215"/>
      <c r="S1418" s="216"/>
      <c r="T1418" s="63"/>
      <c r="V1418" s="61"/>
      <c r="W1418" s="214" t="s">
        <v>711</v>
      </c>
      <c r="X1418" s="215"/>
      <c r="Y1418" s="216"/>
      <c r="Z1418" s="62"/>
      <c r="AA1418" s="214" t="s">
        <v>712</v>
      </c>
      <c r="AB1418" s="215"/>
      <c r="AC1418" s="216"/>
      <c r="AD1418" s="63"/>
      <c r="AF1418" s="61"/>
      <c r="AG1418" s="214" t="s">
        <v>711</v>
      </c>
      <c r="AH1418" s="215"/>
      <c r="AI1418" s="216"/>
      <c r="AJ1418" s="62"/>
      <c r="AK1418" s="214" t="s">
        <v>712</v>
      </c>
      <c r="AL1418" s="215"/>
      <c r="AM1418" s="216"/>
      <c r="AN1418" s="63"/>
    </row>
    <row r="1419" spans="2:40" ht="6.95" customHeight="1" x14ac:dyDescent="0.25">
      <c r="B1419" s="59"/>
      <c r="C1419" s="62"/>
      <c r="D1419" s="62"/>
      <c r="E1419" s="62"/>
      <c r="F1419" s="62"/>
      <c r="G1419" s="62"/>
      <c r="H1419" s="62"/>
      <c r="I1419" s="62"/>
      <c r="J1419" s="60"/>
      <c r="L1419" s="59"/>
      <c r="M1419" s="62"/>
      <c r="N1419" s="62"/>
      <c r="O1419" s="62"/>
      <c r="P1419" s="62"/>
      <c r="Q1419" s="62"/>
      <c r="R1419" s="62"/>
      <c r="S1419" s="62"/>
      <c r="T1419" s="60"/>
      <c r="V1419" s="59"/>
      <c r="W1419" s="62"/>
      <c r="X1419" s="62"/>
      <c r="Y1419" s="62"/>
      <c r="Z1419" s="62"/>
      <c r="AA1419" s="62"/>
      <c r="AB1419" s="62"/>
      <c r="AC1419" s="62"/>
      <c r="AD1419" s="60"/>
      <c r="AF1419" s="59"/>
      <c r="AG1419" s="62"/>
      <c r="AH1419" s="62"/>
      <c r="AI1419" s="62"/>
      <c r="AJ1419" s="62"/>
      <c r="AK1419" s="62"/>
      <c r="AL1419" s="62"/>
      <c r="AM1419" s="62"/>
      <c r="AN1419" s="60"/>
    </row>
    <row r="1420" spans="2:40" x14ac:dyDescent="0.25">
      <c r="B1420" s="61"/>
      <c r="C1420" s="214" t="s">
        <v>1273</v>
      </c>
      <c r="D1420" s="215"/>
      <c r="E1420" s="216"/>
      <c r="F1420" s="62"/>
      <c r="G1420" s="214" t="s">
        <v>1607</v>
      </c>
      <c r="H1420" s="215"/>
      <c r="I1420" s="216"/>
      <c r="J1420" s="63"/>
      <c r="L1420" s="61"/>
      <c r="M1420" s="214" t="s">
        <v>1273</v>
      </c>
      <c r="N1420" s="215"/>
      <c r="O1420" s="216"/>
      <c r="P1420" s="62"/>
      <c r="Q1420" s="214" t="s">
        <v>1608</v>
      </c>
      <c r="R1420" s="215"/>
      <c r="S1420" s="216"/>
      <c r="T1420" s="63"/>
      <c r="V1420" s="61"/>
      <c r="W1420" s="214" t="s">
        <v>1273</v>
      </c>
      <c r="X1420" s="215"/>
      <c r="Y1420" s="216"/>
      <c r="Z1420" s="62"/>
      <c r="AA1420" s="214" t="s">
        <v>1609</v>
      </c>
      <c r="AB1420" s="215"/>
      <c r="AC1420" s="216"/>
      <c r="AD1420" s="63"/>
      <c r="AF1420" s="61"/>
      <c r="AG1420" s="214" t="s">
        <v>1273</v>
      </c>
      <c r="AH1420" s="215"/>
      <c r="AI1420" s="216"/>
      <c r="AJ1420" s="62"/>
      <c r="AK1420" s="214" t="s">
        <v>1610</v>
      </c>
      <c r="AL1420" s="215"/>
      <c r="AM1420" s="216"/>
      <c r="AN1420" s="63"/>
    </row>
    <row r="1421" spans="2:40" ht="6.95" customHeight="1" x14ac:dyDescent="0.25">
      <c r="B1421" s="59"/>
      <c r="C1421" s="62"/>
      <c r="D1421" s="62"/>
      <c r="E1421" s="62"/>
      <c r="F1421" s="62"/>
      <c r="G1421" s="62"/>
      <c r="H1421" s="62"/>
      <c r="I1421" s="62"/>
      <c r="J1421" s="60"/>
      <c r="L1421" s="59"/>
      <c r="M1421" s="62"/>
      <c r="N1421" s="62"/>
      <c r="O1421" s="62"/>
      <c r="P1421" s="62"/>
      <c r="Q1421" s="62"/>
      <c r="R1421" s="62"/>
      <c r="S1421" s="62"/>
      <c r="T1421" s="60"/>
      <c r="V1421" s="59"/>
      <c r="W1421" s="62"/>
      <c r="X1421" s="62"/>
      <c r="Y1421" s="62"/>
      <c r="Z1421" s="62"/>
      <c r="AA1421" s="62"/>
      <c r="AB1421" s="62"/>
      <c r="AC1421" s="62"/>
      <c r="AD1421" s="60"/>
      <c r="AF1421" s="59"/>
      <c r="AG1421" s="62"/>
      <c r="AH1421" s="62"/>
      <c r="AI1421" s="62"/>
      <c r="AJ1421" s="62"/>
      <c r="AK1421" s="62"/>
      <c r="AL1421" s="62"/>
      <c r="AM1421" s="62"/>
      <c r="AN1421" s="60"/>
    </row>
    <row r="1422" spans="2:40" x14ac:dyDescent="0.25">
      <c r="B1422" s="61"/>
      <c r="C1422" s="214" t="s">
        <v>713</v>
      </c>
      <c r="D1422" s="215"/>
      <c r="E1422" s="216"/>
      <c r="F1422" s="62"/>
      <c r="G1422" s="220" t="s">
        <v>1293</v>
      </c>
      <c r="H1422" s="220"/>
      <c r="I1422" s="220"/>
      <c r="J1422" s="63"/>
      <c r="L1422" s="61"/>
      <c r="M1422" s="214" t="s">
        <v>713</v>
      </c>
      <c r="N1422" s="215"/>
      <c r="O1422" s="216"/>
      <c r="P1422" s="62"/>
      <c r="Q1422" s="220" t="s">
        <v>714</v>
      </c>
      <c r="R1422" s="220"/>
      <c r="S1422" s="220"/>
      <c r="T1422" s="63"/>
      <c r="V1422" s="61"/>
      <c r="W1422" s="214" t="s">
        <v>713</v>
      </c>
      <c r="X1422" s="215"/>
      <c r="Y1422" s="216"/>
      <c r="Z1422" s="62"/>
      <c r="AA1422" s="220" t="s">
        <v>714</v>
      </c>
      <c r="AB1422" s="220"/>
      <c r="AC1422" s="220"/>
      <c r="AD1422" s="63"/>
      <c r="AF1422" s="61"/>
      <c r="AG1422" s="214" t="s">
        <v>713</v>
      </c>
      <c r="AH1422" s="215"/>
      <c r="AI1422" s="216"/>
      <c r="AJ1422" s="62"/>
      <c r="AK1422" s="220" t="s">
        <v>1293</v>
      </c>
      <c r="AL1422" s="220"/>
      <c r="AM1422" s="220"/>
      <c r="AN1422" s="63"/>
    </row>
    <row r="1423" spans="2:40" ht="6.95" customHeight="1" x14ac:dyDescent="0.25">
      <c r="B1423" s="59"/>
      <c r="C1423" s="128"/>
      <c r="D1423" s="128"/>
      <c r="E1423" s="128"/>
      <c r="F1423" s="62"/>
      <c r="G1423" s="128"/>
      <c r="H1423" s="128"/>
      <c r="I1423" s="128"/>
      <c r="J1423" s="63"/>
      <c r="L1423" s="59"/>
      <c r="M1423" s="128"/>
      <c r="N1423" s="128"/>
      <c r="O1423" s="128"/>
      <c r="P1423" s="62"/>
      <c r="Q1423" s="128"/>
      <c r="R1423" s="128"/>
      <c r="S1423" s="128"/>
      <c r="T1423" s="63"/>
      <c r="V1423" s="59"/>
      <c r="W1423" s="128"/>
      <c r="X1423" s="128"/>
      <c r="Y1423" s="128"/>
      <c r="Z1423" s="62"/>
      <c r="AA1423" s="128"/>
      <c r="AB1423" s="128"/>
      <c r="AC1423" s="128"/>
      <c r="AD1423" s="63"/>
      <c r="AF1423" s="59"/>
      <c r="AG1423" s="128"/>
      <c r="AH1423" s="128"/>
      <c r="AI1423" s="128"/>
      <c r="AJ1423" s="62"/>
      <c r="AK1423" s="128"/>
      <c r="AL1423" s="128"/>
      <c r="AM1423" s="128"/>
      <c r="AN1423" s="63"/>
    </row>
    <row r="1424" spans="2:40" x14ac:dyDescent="0.25">
      <c r="B1424" s="59"/>
      <c r="C1424" s="220" t="s">
        <v>715</v>
      </c>
      <c r="D1424" s="220"/>
      <c r="E1424" s="220"/>
      <c r="F1424" s="62"/>
      <c r="G1424" s="220" t="s">
        <v>1270</v>
      </c>
      <c r="H1424" s="220"/>
      <c r="I1424" s="220"/>
      <c r="J1424" s="63"/>
      <c r="L1424" s="59"/>
      <c r="M1424" s="220" t="s">
        <v>715</v>
      </c>
      <c r="N1424" s="220"/>
      <c r="O1424" s="220"/>
      <c r="P1424" s="62"/>
      <c r="Q1424" s="220" t="s">
        <v>1288</v>
      </c>
      <c r="R1424" s="220"/>
      <c r="S1424" s="220"/>
      <c r="T1424" s="63"/>
      <c r="V1424" s="59"/>
      <c r="W1424" s="220" t="s">
        <v>715</v>
      </c>
      <c r="X1424" s="220"/>
      <c r="Y1424" s="220"/>
      <c r="Z1424" s="62"/>
      <c r="AA1424" s="220" t="s">
        <v>1288</v>
      </c>
      <c r="AB1424" s="220"/>
      <c r="AC1424" s="220"/>
      <c r="AD1424" s="63"/>
      <c r="AF1424" s="59"/>
      <c r="AG1424" s="220" t="s">
        <v>715</v>
      </c>
      <c r="AH1424" s="220"/>
      <c r="AI1424" s="220"/>
      <c r="AJ1424" s="62"/>
      <c r="AK1424" s="220" t="s">
        <v>1270</v>
      </c>
      <c r="AL1424" s="220"/>
      <c r="AM1424" s="220"/>
      <c r="AN1424" s="63"/>
    </row>
    <row r="1425" spans="2:40" ht="6.95" customHeight="1" thickBot="1" x14ac:dyDescent="0.3">
      <c r="B1425" s="64"/>
      <c r="C1425" s="65"/>
      <c r="D1425" s="65"/>
      <c r="E1425" s="65"/>
      <c r="F1425" s="65"/>
      <c r="G1425" s="65"/>
      <c r="H1425" s="65"/>
      <c r="I1425" s="65"/>
      <c r="J1425" s="66"/>
      <c r="L1425" s="64"/>
      <c r="M1425" s="65"/>
      <c r="N1425" s="65"/>
      <c r="O1425" s="65"/>
      <c r="P1425" s="65"/>
      <c r="Q1425" s="65"/>
      <c r="R1425" s="65"/>
      <c r="S1425" s="65"/>
      <c r="T1425" s="66"/>
      <c r="V1425" s="64"/>
      <c r="W1425" s="65"/>
      <c r="X1425" s="65"/>
      <c r="Y1425" s="65"/>
      <c r="Z1425" s="65"/>
      <c r="AA1425" s="65"/>
      <c r="AB1425" s="65"/>
      <c r="AC1425" s="65"/>
      <c r="AD1425" s="66"/>
      <c r="AF1425" s="64"/>
      <c r="AG1425" s="65"/>
      <c r="AH1425" s="65"/>
      <c r="AI1425" s="65"/>
      <c r="AJ1425" s="65"/>
      <c r="AK1425" s="65"/>
      <c r="AL1425" s="65"/>
      <c r="AM1425" s="65"/>
      <c r="AN1425" s="66"/>
    </row>
    <row r="1426" spans="2:40" ht="32.1" customHeight="1" thickTop="1" x14ac:dyDescent="0.25">
      <c r="B1426" s="57"/>
      <c r="C1426" s="58"/>
      <c r="D1426" s="217" t="s">
        <v>697</v>
      </c>
      <c r="E1426" s="218"/>
      <c r="F1426" s="218"/>
      <c r="G1426" s="218"/>
      <c r="H1426" s="218"/>
      <c r="I1426" s="218"/>
      <c r="J1426" s="219"/>
      <c r="L1426" s="57"/>
      <c r="M1426" s="58"/>
      <c r="N1426" s="217" t="s">
        <v>697</v>
      </c>
      <c r="O1426" s="218"/>
      <c r="P1426" s="218"/>
      <c r="Q1426" s="218"/>
      <c r="R1426" s="218"/>
      <c r="S1426" s="218"/>
      <c r="T1426" s="219"/>
    </row>
    <row r="1427" spans="2:40" x14ac:dyDescent="0.25">
      <c r="B1427" s="59"/>
      <c r="J1427" s="60"/>
      <c r="L1427" s="59"/>
      <c r="T1427" s="60"/>
    </row>
    <row r="1428" spans="2:40" x14ac:dyDescent="0.25">
      <c r="B1428" s="61"/>
      <c r="C1428" s="214" t="s">
        <v>698</v>
      </c>
      <c r="D1428" s="215"/>
      <c r="E1428" s="216"/>
      <c r="F1428" s="62"/>
      <c r="G1428" s="214" t="s">
        <v>883</v>
      </c>
      <c r="H1428" s="215"/>
      <c r="I1428" s="216"/>
      <c r="J1428" s="63"/>
      <c r="L1428" s="61"/>
      <c r="M1428" s="214" t="s">
        <v>698</v>
      </c>
      <c r="N1428" s="215"/>
      <c r="O1428" s="216"/>
      <c r="P1428" s="62"/>
      <c r="Q1428" s="214" t="s">
        <v>907</v>
      </c>
      <c r="R1428" s="215"/>
      <c r="S1428" s="216"/>
      <c r="T1428" s="63"/>
    </row>
    <row r="1429" spans="2:40" ht="6.95" customHeight="1" x14ac:dyDescent="0.25">
      <c r="B1429" s="59"/>
      <c r="C1429" s="62"/>
      <c r="D1429" s="62"/>
      <c r="E1429" s="62"/>
      <c r="F1429" s="62"/>
      <c r="G1429" s="62"/>
      <c r="H1429" s="62"/>
      <c r="I1429" s="62"/>
      <c r="J1429" s="60"/>
      <c r="L1429" s="59"/>
      <c r="M1429" s="62"/>
      <c r="N1429" s="62"/>
      <c r="O1429" s="62"/>
      <c r="P1429" s="62"/>
      <c r="Q1429" s="62"/>
      <c r="R1429" s="62"/>
      <c r="S1429" s="62"/>
      <c r="T1429" s="60"/>
    </row>
    <row r="1430" spans="2:40" x14ac:dyDescent="0.25">
      <c r="B1430" s="61"/>
      <c r="C1430" s="214" t="s">
        <v>699</v>
      </c>
      <c r="D1430" s="215"/>
      <c r="E1430" s="216"/>
      <c r="F1430" s="62"/>
      <c r="G1430" s="214" t="s">
        <v>1639</v>
      </c>
      <c r="H1430" s="215"/>
      <c r="I1430" s="216"/>
      <c r="J1430" s="63"/>
      <c r="L1430" s="61"/>
      <c r="M1430" s="214" t="s">
        <v>699</v>
      </c>
      <c r="N1430" s="215"/>
      <c r="O1430" s="216"/>
      <c r="P1430" s="62"/>
      <c r="Q1430" s="214" t="s">
        <v>1639</v>
      </c>
      <c r="R1430" s="215"/>
      <c r="S1430" s="216"/>
      <c r="T1430" s="63"/>
    </row>
    <row r="1431" spans="2:40" ht="6.95" customHeight="1" x14ac:dyDescent="0.25">
      <c r="B1431" s="59"/>
      <c r="C1431" s="62"/>
      <c r="D1431" s="62"/>
      <c r="E1431" s="62"/>
      <c r="F1431" s="62"/>
      <c r="G1431" s="62"/>
      <c r="H1431" s="62"/>
      <c r="I1431" s="62"/>
      <c r="J1431" s="60"/>
      <c r="L1431" s="59"/>
      <c r="M1431" s="62"/>
      <c r="N1431" s="62"/>
      <c r="O1431" s="62"/>
      <c r="P1431" s="62"/>
      <c r="Q1431" s="62"/>
      <c r="R1431" s="62"/>
      <c r="S1431" s="62"/>
      <c r="T1431" s="60"/>
    </row>
    <row r="1432" spans="2:40" x14ac:dyDescent="0.25">
      <c r="B1432" s="61"/>
      <c r="C1432" s="214" t="s">
        <v>701</v>
      </c>
      <c r="D1432" s="215"/>
      <c r="E1432" s="216"/>
      <c r="F1432" s="62"/>
      <c r="G1432" s="214" t="s">
        <v>980</v>
      </c>
      <c r="H1432" s="215"/>
      <c r="I1432" s="216"/>
      <c r="J1432" s="63"/>
      <c r="L1432" s="61"/>
      <c r="M1432" s="214" t="s">
        <v>701</v>
      </c>
      <c r="N1432" s="215"/>
      <c r="O1432" s="216"/>
      <c r="P1432" s="62"/>
      <c r="Q1432" s="214" t="s">
        <v>984</v>
      </c>
      <c r="R1432" s="215"/>
      <c r="S1432" s="216"/>
      <c r="T1432" s="63"/>
    </row>
    <row r="1433" spans="2:40" ht="6.95" customHeight="1" x14ac:dyDescent="0.25">
      <c r="B1433" s="59"/>
      <c r="C1433" s="62"/>
      <c r="D1433" s="62"/>
      <c r="E1433" s="62"/>
      <c r="F1433" s="62"/>
      <c r="G1433" s="62"/>
      <c r="H1433" s="62"/>
      <c r="I1433" s="62"/>
      <c r="J1433" s="60"/>
      <c r="L1433" s="59"/>
      <c r="M1433" s="62"/>
      <c r="N1433" s="62"/>
      <c r="O1433" s="62"/>
      <c r="P1433" s="62"/>
      <c r="Q1433" s="62"/>
      <c r="R1433" s="62"/>
      <c r="S1433" s="62"/>
      <c r="T1433" s="60"/>
    </row>
    <row r="1434" spans="2:40" x14ac:dyDescent="0.25">
      <c r="B1434" s="61"/>
      <c r="C1434" s="214" t="s">
        <v>703</v>
      </c>
      <c r="D1434" s="215"/>
      <c r="E1434" s="216"/>
      <c r="F1434" s="62"/>
      <c r="G1434" s="214" t="s">
        <v>109</v>
      </c>
      <c r="H1434" s="215"/>
      <c r="I1434" s="216"/>
      <c r="J1434" s="63"/>
      <c r="L1434" s="61"/>
      <c r="M1434" s="214" t="s">
        <v>703</v>
      </c>
      <c r="N1434" s="215"/>
      <c r="O1434" s="216"/>
      <c r="P1434" s="62"/>
      <c r="Q1434" s="214" t="s">
        <v>109</v>
      </c>
      <c r="R1434" s="215"/>
      <c r="S1434" s="216"/>
      <c r="T1434" s="63"/>
    </row>
    <row r="1435" spans="2:40" ht="6.95" customHeight="1" x14ac:dyDescent="0.25">
      <c r="B1435" s="59"/>
      <c r="C1435" s="62"/>
      <c r="D1435" s="62"/>
      <c r="E1435" s="62"/>
      <c r="F1435" s="62"/>
      <c r="G1435" s="62"/>
      <c r="H1435" s="62"/>
      <c r="I1435" s="62"/>
      <c r="J1435" s="60"/>
      <c r="L1435" s="59"/>
      <c r="M1435" s="62"/>
      <c r="N1435" s="62"/>
      <c r="O1435" s="62"/>
      <c r="P1435" s="62"/>
      <c r="Q1435" s="62"/>
      <c r="R1435" s="62"/>
      <c r="S1435" s="62"/>
      <c r="T1435" s="60"/>
    </row>
    <row r="1436" spans="2:40" x14ac:dyDescent="0.25">
      <c r="B1436" s="61"/>
      <c r="C1436" s="214" t="s">
        <v>705</v>
      </c>
      <c r="D1436" s="215"/>
      <c r="E1436" s="216"/>
      <c r="F1436" s="62"/>
      <c r="G1436" s="214" t="s">
        <v>1611</v>
      </c>
      <c r="H1436" s="215"/>
      <c r="I1436" s="216"/>
      <c r="J1436" s="63"/>
      <c r="L1436" s="61"/>
      <c r="M1436" s="214" t="s">
        <v>705</v>
      </c>
      <c r="N1436" s="215"/>
      <c r="O1436" s="216"/>
      <c r="P1436" s="62"/>
      <c r="Q1436" s="214" t="s">
        <v>1597</v>
      </c>
      <c r="R1436" s="215"/>
      <c r="S1436" s="216"/>
      <c r="T1436" s="63"/>
    </row>
    <row r="1437" spans="2:40" ht="6.95" customHeight="1" x14ac:dyDescent="0.25">
      <c r="B1437" s="59"/>
      <c r="C1437" s="62"/>
      <c r="D1437" s="62"/>
      <c r="E1437" s="62"/>
      <c r="F1437" s="62"/>
      <c r="G1437" s="62"/>
      <c r="H1437" s="62"/>
      <c r="I1437" s="62"/>
      <c r="J1437" s="60"/>
      <c r="L1437" s="59"/>
      <c r="M1437" s="62"/>
      <c r="N1437" s="62"/>
      <c r="O1437" s="62"/>
      <c r="P1437" s="62"/>
      <c r="Q1437" s="62"/>
      <c r="R1437" s="62"/>
      <c r="S1437" s="62"/>
      <c r="T1437" s="60"/>
    </row>
    <row r="1438" spans="2:40" x14ac:dyDescent="0.25">
      <c r="B1438" s="61"/>
      <c r="C1438" s="214" t="s">
        <v>708</v>
      </c>
      <c r="D1438" s="215"/>
      <c r="E1438" s="216"/>
      <c r="F1438" s="62"/>
      <c r="G1438" s="214" t="s">
        <v>1612</v>
      </c>
      <c r="H1438" s="215"/>
      <c r="I1438" s="216"/>
      <c r="J1438" s="63"/>
      <c r="L1438" s="61"/>
      <c r="M1438" s="214" t="s">
        <v>708</v>
      </c>
      <c r="N1438" s="215"/>
      <c r="O1438" s="216"/>
      <c r="P1438" s="62"/>
      <c r="Q1438" s="214" t="s">
        <v>1599</v>
      </c>
      <c r="R1438" s="215"/>
      <c r="S1438" s="216"/>
      <c r="T1438" s="63"/>
    </row>
    <row r="1439" spans="2:40" ht="6.95" customHeight="1" x14ac:dyDescent="0.25">
      <c r="B1439" s="59"/>
      <c r="C1439" s="62"/>
      <c r="D1439" s="62"/>
      <c r="E1439" s="62"/>
      <c r="F1439" s="62"/>
      <c r="G1439" s="62"/>
      <c r="H1439" s="62"/>
      <c r="I1439" s="62"/>
      <c r="J1439" s="60"/>
      <c r="L1439" s="59"/>
      <c r="M1439" s="62"/>
      <c r="N1439" s="62"/>
      <c r="O1439" s="62"/>
      <c r="P1439" s="62"/>
      <c r="Q1439" s="62"/>
      <c r="R1439" s="62"/>
      <c r="S1439" s="62"/>
      <c r="T1439" s="60"/>
    </row>
    <row r="1440" spans="2:40" x14ac:dyDescent="0.25">
      <c r="B1440" s="61"/>
      <c r="C1440" s="214" t="s">
        <v>711</v>
      </c>
      <c r="D1440" s="215"/>
      <c r="E1440" s="216"/>
      <c r="F1440" s="62"/>
      <c r="G1440" s="214" t="s">
        <v>712</v>
      </c>
      <c r="H1440" s="215"/>
      <c r="I1440" s="216"/>
      <c r="J1440" s="63"/>
      <c r="L1440" s="61"/>
      <c r="M1440" s="214" t="s">
        <v>711</v>
      </c>
      <c r="N1440" s="215"/>
      <c r="O1440" s="216"/>
      <c r="P1440" s="62"/>
      <c r="Q1440" s="214" t="s">
        <v>712</v>
      </c>
      <c r="R1440" s="215"/>
      <c r="S1440" s="216"/>
      <c r="T1440" s="63"/>
    </row>
    <row r="1441" spans="2:20" ht="6.95" customHeight="1" x14ac:dyDescent="0.25">
      <c r="B1441" s="59"/>
      <c r="C1441" s="62"/>
      <c r="D1441" s="62"/>
      <c r="E1441" s="62"/>
      <c r="F1441" s="62"/>
      <c r="G1441" s="62"/>
      <c r="H1441" s="62"/>
      <c r="I1441" s="62"/>
      <c r="J1441" s="60"/>
      <c r="L1441" s="59"/>
      <c r="M1441" s="62"/>
      <c r="N1441" s="62"/>
      <c r="O1441" s="62"/>
      <c r="P1441" s="62"/>
      <c r="Q1441" s="62"/>
      <c r="R1441" s="62"/>
      <c r="S1441" s="62"/>
      <c r="T1441" s="60"/>
    </row>
    <row r="1442" spans="2:20" x14ac:dyDescent="0.25">
      <c r="B1442" s="61"/>
      <c r="C1442" s="214" t="s">
        <v>1273</v>
      </c>
      <c r="D1442" s="215"/>
      <c r="E1442" s="216"/>
      <c r="F1442" s="62"/>
      <c r="G1442" s="214" t="s">
        <v>1613</v>
      </c>
      <c r="H1442" s="215"/>
      <c r="I1442" s="216"/>
      <c r="J1442" s="63"/>
      <c r="L1442" s="61"/>
      <c r="M1442" s="214" t="s">
        <v>1273</v>
      </c>
      <c r="N1442" s="215"/>
      <c r="O1442" s="216"/>
      <c r="P1442" s="62"/>
      <c r="Q1442" s="214" t="s">
        <v>1603</v>
      </c>
      <c r="R1442" s="215"/>
      <c r="S1442" s="216"/>
      <c r="T1442" s="63"/>
    </row>
    <row r="1443" spans="2:20" ht="6.95" customHeight="1" x14ac:dyDescent="0.25">
      <c r="B1443" s="59"/>
      <c r="C1443" s="62"/>
      <c r="D1443" s="62"/>
      <c r="E1443" s="62"/>
      <c r="F1443" s="62"/>
      <c r="G1443" s="62"/>
      <c r="H1443" s="62"/>
      <c r="I1443" s="62"/>
      <c r="J1443" s="60"/>
      <c r="L1443" s="59"/>
      <c r="M1443" s="62"/>
      <c r="N1443" s="62"/>
      <c r="O1443" s="62"/>
      <c r="P1443" s="62"/>
      <c r="Q1443" s="62"/>
      <c r="R1443" s="62"/>
      <c r="S1443" s="62"/>
      <c r="T1443" s="60"/>
    </row>
    <row r="1444" spans="2:20" x14ac:dyDescent="0.25">
      <c r="B1444" s="61"/>
      <c r="C1444" s="214" t="s">
        <v>713</v>
      </c>
      <c r="D1444" s="215"/>
      <c r="E1444" s="216"/>
      <c r="F1444" s="62"/>
      <c r="G1444" s="220" t="s">
        <v>714</v>
      </c>
      <c r="H1444" s="220"/>
      <c r="I1444" s="220"/>
      <c r="J1444" s="63"/>
      <c r="L1444" s="61"/>
      <c r="M1444" s="214" t="s">
        <v>713</v>
      </c>
      <c r="N1444" s="215"/>
      <c r="O1444" s="216"/>
      <c r="P1444" s="62"/>
      <c r="Q1444" s="220" t="s">
        <v>1293</v>
      </c>
      <c r="R1444" s="220"/>
      <c r="S1444" s="220"/>
      <c r="T1444" s="63"/>
    </row>
    <row r="1445" spans="2:20" ht="6.95" customHeight="1" x14ac:dyDescent="0.25">
      <c r="B1445" s="59"/>
      <c r="C1445" s="128"/>
      <c r="D1445" s="128"/>
      <c r="E1445" s="128"/>
      <c r="F1445" s="62"/>
      <c r="G1445" s="128"/>
      <c r="H1445" s="128"/>
      <c r="I1445" s="128"/>
      <c r="J1445" s="63"/>
      <c r="L1445" s="59"/>
      <c r="M1445" s="128"/>
      <c r="N1445" s="128"/>
      <c r="O1445" s="128"/>
      <c r="P1445" s="62"/>
      <c r="Q1445" s="128"/>
      <c r="R1445" s="128"/>
      <c r="S1445" s="128"/>
      <c r="T1445" s="63"/>
    </row>
    <row r="1446" spans="2:20" x14ac:dyDescent="0.25">
      <c r="B1446" s="59"/>
      <c r="C1446" s="220" t="s">
        <v>715</v>
      </c>
      <c r="D1446" s="220"/>
      <c r="E1446" s="220"/>
      <c r="F1446" s="62"/>
      <c r="G1446" s="220" t="s">
        <v>1288</v>
      </c>
      <c r="H1446" s="220"/>
      <c r="I1446" s="220"/>
      <c r="J1446" s="63"/>
      <c r="L1446" s="59"/>
      <c r="M1446" s="220" t="s">
        <v>715</v>
      </c>
      <c r="N1446" s="220"/>
      <c r="O1446" s="220"/>
      <c r="P1446" s="62"/>
      <c r="Q1446" s="220" t="s">
        <v>1270</v>
      </c>
      <c r="R1446" s="220"/>
      <c r="S1446" s="220"/>
      <c r="T1446" s="63"/>
    </row>
    <row r="1447" spans="2:20" ht="6.95" customHeight="1" thickBot="1" x14ac:dyDescent="0.3">
      <c r="B1447" s="64"/>
      <c r="C1447" s="65"/>
      <c r="D1447" s="65"/>
      <c r="E1447" s="65"/>
      <c r="F1447" s="65"/>
      <c r="G1447" s="65"/>
      <c r="H1447" s="65"/>
      <c r="I1447" s="65"/>
      <c r="J1447" s="66"/>
      <c r="L1447" s="64"/>
      <c r="M1447" s="65"/>
      <c r="N1447" s="65"/>
      <c r="O1447" s="65"/>
      <c r="P1447" s="65"/>
      <c r="Q1447" s="65"/>
      <c r="R1447" s="65"/>
      <c r="S1447" s="65"/>
      <c r="T1447" s="66"/>
    </row>
    <row r="1448" spans="2:20" ht="32.1" customHeight="1" thickTop="1" x14ac:dyDescent="0.25">
      <c r="B1448" s="57"/>
      <c r="C1448" s="58"/>
      <c r="D1448" s="217" t="s">
        <v>697</v>
      </c>
      <c r="E1448" s="218"/>
      <c r="F1448" s="218"/>
      <c r="G1448" s="218"/>
      <c r="H1448" s="218"/>
      <c r="I1448" s="218"/>
      <c r="J1448" s="219"/>
    </row>
    <row r="1449" spans="2:20" x14ac:dyDescent="0.25">
      <c r="B1449" s="59"/>
      <c r="J1449" s="60"/>
    </row>
    <row r="1450" spans="2:20" x14ac:dyDescent="0.25">
      <c r="B1450" s="61"/>
      <c r="C1450" s="214" t="s">
        <v>698</v>
      </c>
      <c r="D1450" s="215"/>
      <c r="E1450" s="216"/>
      <c r="F1450" s="62"/>
      <c r="G1450" s="214" t="s">
        <v>1596</v>
      </c>
      <c r="H1450" s="215"/>
      <c r="I1450" s="216"/>
      <c r="J1450" s="63"/>
    </row>
    <row r="1451" spans="2:20" ht="6.95" customHeight="1" x14ac:dyDescent="0.25">
      <c r="B1451" s="59"/>
      <c r="C1451" s="62"/>
      <c r="D1451" s="62"/>
      <c r="E1451" s="62"/>
      <c r="F1451" s="62"/>
      <c r="G1451" s="62"/>
      <c r="H1451" s="62"/>
      <c r="I1451" s="62"/>
      <c r="J1451" s="60"/>
    </row>
    <row r="1452" spans="2:20" x14ac:dyDescent="0.25">
      <c r="B1452" s="61"/>
      <c r="C1452" s="214" t="s">
        <v>699</v>
      </c>
      <c r="D1452" s="215"/>
      <c r="E1452" s="216"/>
      <c r="F1452" s="62"/>
      <c r="G1452" s="214" t="s">
        <v>1639</v>
      </c>
      <c r="H1452" s="215"/>
      <c r="I1452" s="216"/>
      <c r="J1452" s="63"/>
    </row>
    <row r="1453" spans="2:20" ht="6.95" customHeight="1" x14ac:dyDescent="0.25">
      <c r="B1453" s="59"/>
      <c r="C1453" s="62"/>
      <c r="D1453" s="62"/>
      <c r="E1453" s="62"/>
      <c r="F1453" s="62"/>
      <c r="G1453" s="62"/>
      <c r="H1453" s="62"/>
      <c r="I1453" s="62"/>
      <c r="J1453" s="60"/>
    </row>
    <row r="1454" spans="2:20" x14ac:dyDescent="0.25">
      <c r="B1454" s="61"/>
      <c r="C1454" s="214" t="s">
        <v>701</v>
      </c>
      <c r="D1454" s="215"/>
      <c r="E1454" s="216"/>
      <c r="F1454" s="62"/>
      <c r="G1454" s="214" t="s">
        <v>986</v>
      </c>
      <c r="H1454" s="215"/>
      <c r="I1454" s="216"/>
      <c r="J1454" s="63"/>
    </row>
    <row r="1455" spans="2:20" ht="6.95" customHeight="1" x14ac:dyDescent="0.25">
      <c r="B1455" s="59"/>
      <c r="C1455" s="62"/>
      <c r="D1455" s="62"/>
      <c r="E1455" s="62"/>
      <c r="F1455" s="62"/>
      <c r="G1455" s="62"/>
      <c r="H1455" s="62"/>
      <c r="I1455" s="62"/>
      <c r="J1455" s="60"/>
    </row>
    <row r="1456" spans="2:20" x14ac:dyDescent="0.25">
      <c r="B1456" s="61"/>
      <c r="C1456" s="214" t="s">
        <v>703</v>
      </c>
      <c r="D1456" s="215"/>
      <c r="E1456" s="216"/>
      <c r="F1456" s="62"/>
      <c r="G1456" s="214" t="s">
        <v>109</v>
      </c>
      <c r="H1456" s="215"/>
      <c r="I1456" s="216"/>
      <c r="J1456" s="63"/>
    </row>
    <row r="1457" spans="2:40" ht="6.95" customHeight="1" x14ac:dyDescent="0.25">
      <c r="B1457" s="59"/>
      <c r="C1457" s="62"/>
      <c r="D1457" s="62"/>
      <c r="E1457" s="62"/>
      <c r="F1457" s="62"/>
      <c r="G1457" s="62"/>
      <c r="H1457" s="62"/>
      <c r="I1457" s="62"/>
      <c r="J1457" s="60"/>
    </row>
    <row r="1458" spans="2:40" x14ac:dyDescent="0.25">
      <c r="B1458" s="61"/>
      <c r="C1458" s="214" t="s">
        <v>705</v>
      </c>
      <c r="D1458" s="215"/>
      <c r="E1458" s="216"/>
      <c r="F1458" s="62"/>
      <c r="G1458" s="214" t="s">
        <v>109</v>
      </c>
      <c r="H1458" s="215"/>
      <c r="I1458" s="216"/>
      <c r="J1458" s="63"/>
    </row>
    <row r="1459" spans="2:40" ht="6.95" customHeight="1" x14ac:dyDescent="0.25">
      <c r="B1459" s="59"/>
      <c r="C1459" s="62"/>
      <c r="D1459" s="62"/>
      <c r="E1459" s="62"/>
      <c r="F1459" s="62"/>
      <c r="G1459" s="62"/>
      <c r="H1459" s="62"/>
      <c r="I1459" s="62"/>
      <c r="J1459" s="60"/>
    </row>
    <row r="1460" spans="2:40" x14ac:dyDescent="0.25">
      <c r="B1460" s="61"/>
      <c r="C1460" s="214" t="s">
        <v>708</v>
      </c>
      <c r="D1460" s="215"/>
      <c r="E1460" s="216"/>
      <c r="F1460" s="62"/>
      <c r="G1460" s="214" t="s">
        <v>109</v>
      </c>
      <c r="H1460" s="215"/>
      <c r="I1460" s="216"/>
      <c r="J1460" s="63"/>
    </row>
    <row r="1461" spans="2:40" ht="6.95" customHeight="1" x14ac:dyDescent="0.25">
      <c r="B1461" s="59"/>
      <c r="C1461" s="62"/>
      <c r="D1461" s="62"/>
      <c r="E1461" s="62"/>
      <c r="F1461" s="62"/>
      <c r="G1461" s="62"/>
      <c r="H1461" s="62"/>
      <c r="I1461" s="62"/>
      <c r="J1461" s="60"/>
    </row>
    <row r="1462" spans="2:40" x14ac:dyDescent="0.25">
      <c r="B1462" s="61"/>
      <c r="C1462" s="214" t="s">
        <v>711</v>
      </c>
      <c r="D1462" s="215"/>
      <c r="E1462" s="216"/>
      <c r="F1462" s="62"/>
      <c r="G1462" s="214" t="s">
        <v>712</v>
      </c>
      <c r="H1462" s="215"/>
      <c r="I1462" s="216"/>
      <c r="J1462" s="63"/>
    </row>
    <row r="1463" spans="2:40" ht="6.95" customHeight="1" x14ac:dyDescent="0.25">
      <c r="B1463" s="59"/>
      <c r="C1463" s="62"/>
      <c r="D1463" s="62"/>
      <c r="E1463" s="62"/>
      <c r="F1463" s="62"/>
      <c r="G1463" s="62"/>
      <c r="H1463" s="62"/>
      <c r="I1463" s="62"/>
      <c r="J1463" s="60"/>
    </row>
    <row r="1464" spans="2:40" x14ac:dyDescent="0.25">
      <c r="B1464" s="61"/>
      <c r="C1464" s="214" t="s">
        <v>1273</v>
      </c>
      <c r="D1464" s="215"/>
      <c r="E1464" s="216"/>
      <c r="F1464" s="62"/>
      <c r="G1464" s="214" t="s">
        <v>1602</v>
      </c>
      <c r="H1464" s="215"/>
      <c r="I1464" s="216"/>
      <c r="J1464" s="63"/>
    </row>
    <row r="1465" spans="2:40" ht="6.95" customHeight="1" x14ac:dyDescent="0.25">
      <c r="B1465" s="59"/>
      <c r="C1465" s="62"/>
      <c r="D1465" s="62"/>
      <c r="E1465" s="62"/>
      <c r="F1465" s="62"/>
      <c r="G1465" s="62"/>
      <c r="H1465" s="62"/>
      <c r="I1465" s="62"/>
      <c r="J1465" s="60"/>
    </row>
    <row r="1466" spans="2:40" x14ac:dyDescent="0.25">
      <c r="B1466" s="61"/>
      <c r="C1466" s="214" t="s">
        <v>713</v>
      </c>
      <c r="D1466" s="215"/>
      <c r="E1466" s="216"/>
      <c r="F1466" s="62"/>
      <c r="G1466" s="220" t="s">
        <v>1293</v>
      </c>
      <c r="H1466" s="220"/>
      <c r="I1466" s="220"/>
      <c r="J1466" s="63"/>
    </row>
    <row r="1467" spans="2:40" ht="6.95" customHeight="1" x14ac:dyDescent="0.25">
      <c r="B1467" s="59"/>
      <c r="C1467" s="128"/>
      <c r="D1467" s="128"/>
      <c r="E1467" s="128"/>
      <c r="F1467" s="62"/>
      <c r="G1467" s="128"/>
      <c r="H1467" s="128"/>
      <c r="I1467" s="128"/>
      <c r="J1467" s="63"/>
    </row>
    <row r="1468" spans="2:40" x14ac:dyDescent="0.25">
      <c r="B1468" s="59"/>
      <c r="C1468" s="220" t="s">
        <v>715</v>
      </c>
      <c r="D1468" s="220"/>
      <c r="E1468" s="220"/>
      <c r="F1468" s="62"/>
      <c r="G1468" s="220" t="s">
        <v>1270</v>
      </c>
      <c r="H1468" s="220"/>
      <c r="I1468" s="220"/>
      <c r="J1468" s="63"/>
    </row>
    <row r="1469" spans="2:40" ht="6.95" customHeight="1" thickBot="1" x14ac:dyDescent="0.3">
      <c r="B1469" s="64"/>
      <c r="C1469" s="65"/>
      <c r="D1469" s="65"/>
      <c r="E1469" s="65"/>
      <c r="F1469" s="65"/>
      <c r="G1469" s="65"/>
      <c r="H1469" s="65"/>
      <c r="I1469" s="65"/>
      <c r="J1469" s="66"/>
    </row>
    <row r="1470" spans="2:40" ht="32.1" customHeight="1" thickTop="1" x14ac:dyDescent="0.25">
      <c r="B1470" s="57"/>
      <c r="C1470" s="58"/>
      <c r="D1470" s="217" t="s">
        <v>697</v>
      </c>
      <c r="E1470" s="218"/>
      <c r="F1470" s="218"/>
      <c r="G1470" s="218"/>
      <c r="H1470" s="218"/>
      <c r="I1470" s="218"/>
      <c r="J1470" s="219"/>
      <c r="L1470" s="57"/>
      <c r="M1470" s="58"/>
      <c r="N1470" s="217" t="s">
        <v>697</v>
      </c>
      <c r="O1470" s="218"/>
      <c r="P1470" s="218"/>
      <c r="Q1470" s="218"/>
      <c r="R1470" s="218"/>
      <c r="S1470" s="218"/>
      <c r="T1470" s="219"/>
      <c r="V1470" s="57"/>
      <c r="W1470" s="58"/>
      <c r="X1470" s="217" t="s">
        <v>697</v>
      </c>
      <c r="Y1470" s="218"/>
      <c r="Z1470" s="218"/>
      <c r="AA1470" s="218"/>
      <c r="AB1470" s="218"/>
      <c r="AC1470" s="218"/>
      <c r="AD1470" s="219"/>
      <c r="AF1470" s="57"/>
      <c r="AG1470" s="58"/>
      <c r="AH1470" s="217" t="s">
        <v>697</v>
      </c>
      <c r="AI1470" s="218"/>
      <c r="AJ1470" s="218"/>
      <c r="AK1470" s="218"/>
      <c r="AL1470" s="218"/>
      <c r="AM1470" s="218"/>
      <c r="AN1470" s="219"/>
    </row>
    <row r="1471" spans="2:40" ht="6.95" customHeight="1" x14ac:dyDescent="0.25">
      <c r="B1471" s="59"/>
      <c r="J1471" s="60"/>
      <c r="L1471" s="59"/>
      <c r="T1471" s="60"/>
      <c r="V1471" s="59"/>
      <c r="AD1471" s="60"/>
      <c r="AF1471" s="59"/>
      <c r="AN1471" s="60"/>
    </row>
    <row r="1472" spans="2:40" ht="18" customHeight="1" x14ac:dyDescent="0.25">
      <c r="B1472" s="61"/>
      <c r="C1472" s="214" t="s">
        <v>698</v>
      </c>
      <c r="D1472" s="215"/>
      <c r="E1472" s="216"/>
      <c r="F1472" s="62"/>
      <c r="G1472" s="214" t="s">
        <v>1595</v>
      </c>
      <c r="H1472" s="215"/>
      <c r="I1472" s="216"/>
      <c r="J1472" s="63"/>
      <c r="L1472" s="61"/>
      <c r="M1472" s="214" t="s">
        <v>698</v>
      </c>
      <c r="N1472" s="215"/>
      <c r="O1472" s="216"/>
      <c r="P1472" s="62"/>
      <c r="Q1472" s="214" t="s">
        <v>1595</v>
      </c>
      <c r="R1472" s="215"/>
      <c r="S1472" s="216"/>
      <c r="T1472" s="63"/>
      <c r="V1472" s="61"/>
      <c r="W1472" s="214" t="s">
        <v>698</v>
      </c>
      <c r="X1472" s="215"/>
      <c r="Y1472" s="216"/>
      <c r="Z1472" s="62"/>
      <c r="AA1472" s="214" t="s">
        <v>800</v>
      </c>
      <c r="AB1472" s="215"/>
      <c r="AC1472" s="216"/>
      <c r="AD1472" s="63"/>
      <c r="AF1472" s="61"/>
      <c r="AG1472" s="214" t="s">
        <v>698</v>
      </c>
      <c r="AH1472" s="215"/>
      <c r="AI1472" s="216"/>
      <c r="AJ1472" s="62"/>
      <c r="AK1472" s="214" t="s">
        <v>799</v>
      </c>
      <c r="AL1472" s="215"/>
      <c r="AM1472" s="216"/>
      <c r="AN1472" s="63"/>
    </row>
    <row r="1473" spans="2:40" ht="6.95" customHeight="1" x14ac:dyDescent="0.25">
      <c r="B1473" s="59"/>
      <c r="C1473" s="62"/>
      <c r="D1473" s="62"/>
      <c r="E1473" s="62"/>
      <c r="F1473" s="62"/>
      <c r="G1473" s="62"/>
      <c r="H1473" s="62"/>
      <c r="I1473" s="62"/>
      <c r="J1473" s="60"/>
      <c r="L1473" s="59"/>
      <c r="M1473" s="62"/>
      <c r="N1473" s="62"/>
      <c r="O1473" s="62"/>
      <c r="P1473" s="62"/>
      <c r="Q1473" s="62"/>
      <c r="R1473" s="62"/>
      <c r="S1473" s="62"/>
      <c r="T1473" s="60"/>
      <c r="V1473" s="59"/>
      <c r="W1473" s="62"/>
      <c r="X1473" s="62"/>
      <c r="Y1473" s="62"/>
      <c r="Z1473" s="62"/>
      <c r="AA1473" s="62"/>
      <c r="AB1473" s="62"/>
      <c r="AC1473" s="62"/>
      <c r="AD1473" s="60"/>
      <c r="AF1473" s="59"/>
      <c r="AG1473" s="62"/>
      <c r="AH1473" s="62"/>
      <c r="AI1473" s="62"/>
      <c r="AJ1473" s="62"/>
      <c r="AK1473" s="62"/>
      <c r="AL1473" s="62"/>
      <c r="AM1473" s="62"/>
      <c r="AN1473" s="60"/>
    </row>
    <row r="1474" spans="2:40" ht="18" customHeight="1" x14ac:dyDescent="0.25">
      <c r="B1474" s="61"/>
      <c r="C1474" s="214" t="s">
        <v>699</v>
      </c>
      <c r="D1474" s="215"/>
      <c r="E1474" s="216"/>
      <c r="F1474" s="62"/>
      <c r="G1474" s="214" t="s">
        <v>1641</v>
      </c>
      <c r="H1474" s="215"/>
      <c r="I1474" s="216"/>
      <c r="J1474" s="63"/>
      <c r="L1474" s="61"/>
      <c r="M1474" s="214" t="s">
        <v>699</v>
      </c>
      <c r="N1474" s="215"/>
      <c r="O1474" s="216"/>
      <c r="P1474" s="62"/>
      <c r="Q1474" s="214" t="s">
        <v>1641</v>
      </c>
      <c r="R1474" s="215"/>
      <c r="S1474" s="216"/>
      <c r="T1474" s="63"/>
      <c r="V1474" s="61"/>
      <c r="W1474" s="214" t="s">
        <v>699</v>
      </c>
      <c r="X1474" s="215"/>
      <c r="Y1474" s="216"/>
      <c r="Z1474" s="62"/>
      <c r="AA1474" s="214" t="s">
        <v>1639</v>
      </c>
      <c r="AB1474" s="215"/>
      <c r="AC1474" s="216"/>
      <c r="AD1474" s="63"/>
      <c r="AF1474" s="61"/>
      <c r="AG1474" s="214" t="s">
        <v>699</v>
      </c>
      <c r="AH1474" s="215"/>
      <c r="AI1474" s="216"/>
      <c r="AJ1474" s="62"/>
      <c r="AK1474" s="214" t="s">
        <v>1639</v>
      </c>
      <c r="AL1474" s="215"/>
      <c r="AM1474" s="216"/>
      <c r="AN1474" s="63"/>
    </row>
    <row r="1475" spans="2:40" ht="6.95" customHeight="1" x14ac:dyDescent="0.25">
      <c r="B1475" s="59"/>
      <c r="C1475" s="62"/>
      <c r="D1475" s="62"/>
      <c r="E1475" s="62"/>
      <c r="F1475" s="62"/>
      <c r="G1475" s="62"/>
      <c r="H1475" s="62"/>
      <c r="I1475" s="62"/>
      <c r="J1475" s="60"/>
      <c r="L1475" s="59"/>
      <c r="M1475" s="62"/>
      <c r="N1475" s="62"/>
      <c r="O1475" s="62"/>
      <c r="P1475" s="62"/>
      <c r="Q1475" s="62"/>
      <c r="R1475" s="62"/>
      <c r="S1475" s="62"/>
      <c r="T1475" s="60"/>
      <c r="V1475" s="59"/>
      <c r="W1475" s="62"/>
      <c r="X1475" s="62"/>
      <c r="Y1475" s="62"/>
      <c r="Z1475" s="62"/>
      <c r="AA1475" s="62"/>
      <c r="AB1475" s="62"/>
      <c r="AC1475" s="62"/>
      <c r="AD1475" s="60"/>
      <c r="AF1475" s="59"/>
      <c r="AG1475" s="62"/>
      <c r="AH1475" s="62"/>
      <c r="AI1475" s="62"/>
      <c r="AJ1475" s="62"/>
      <c r="AK1475" s="62"/>
      <c r="AL1475" s="62"/>
      <c r="AM1475" s="62"/>
      <c r="AN1475" s="60"/>
    </row>
    <row r="1476" spans="2:40" ht="18" customHeight="1" x14ac:dyDescent="0.25">
      <c r="B1476" s="61"/>
      <c r="C1476" s="214" t="s">
        <v>701</v>
      </c>
      <c r="D1476" s="215"/>
      <c r="E1476" s="216"/>
      <c r="F1476" s="62"/>
      <c r="G1476" s="214" t="s">
        <v>1402</v>
      </c>
      <c r="H1476" s="215"/>
      <c r="I1476" s="216"/>
      <c r="J1476" s="63"/>
      <c r="L1476" s="61"/>
      <c r="M1476" s="214" t="s">
        <v>701</v>
      </c>
      <c r="N1476" s="215"/>
      <c r="O1476" s="216"/>
      <c r="P1476" s="62"/>
      <c r="Q1476" s="214" t="s">
        <v>1402</v>
      </c>
      <c r="R1476" s="215"/>
      <c r="S1476" s="216"/>
      <c r="T1476" s="63"/>
      <c r="V1476" s="61"/>
      <c r="W1476" s="214" t="s">
        <v>701</v>
      </c>
      <c r="X1476" s="215"/>
      <c r="Y1476" s="216"/>
      <c r="Z1476" s="62"/>
      <c r="AA1476" s="214" t="s">
        <v>977</v>
      </c>
      <c r="AB1476" s="215"/>
      <c r="AC1476" s="216"/>
      <c r="AD1476" s="63"/>
      <c r="AF1476" s="61"/>
      <c r="AG1476" s="214" t="s">
        <v>701</v>
      </c>
      <c r="AH1476" s="215"/>
      <c r="AI1476" s="216"/>
      <c r="AJ1476" s="62"/>
      <c r="AK1476" s="214" t="s">
        <v>750</v>
      </c>
      <c r="AL1476" s="215"/>
      <c r="AM1476" s="216"/>
      <c r="AN1476" s="63"/>
    </row>
    <row r="1477" spans="2:40" ht="6.95" customHeight="1" x14ac:dyDescent="0.25">
      <c r="B1477" s="59"/>
      <c r="C1477" s="62"/>
      <c r="D1477" s="62"/>
      <c r="E1477" s="62"/>
      <c r="F1477" s="62"/>
      <c r="G1477" s="62"/>
      <c r="H1477" s="62"/>
      <c r="I1477" s="62"/>
      <c r="J1477" s="60"/>
      <c r="L1477" s="59"/>
      <c r="M1477" s="62"/>
      <c r="N1477" s="62"/>
      <c r="O1477" s="62"/>
      <c r="P1477" s="62"/>
      <c r="Q1477" s="62"/>
      <c r="R1477" s="62"/>
      <c r="S1477" s="62"/>
      <c r="T1477" s="60"/>
      <c r="V1477" s="59"/>
      <c r="W1477" s="62"/>
      <c r="X1477" s="62"/>
      <c r="Y1477" s="62"/>
      <c r="Z1477" s="62"/>
      <c r="AA1477" s="62"/>
      <c r="AB1477" s="62"/>
      <c r="AC1477" s="62"/>
      <c r="AD1477" s="60"/>
      <c r="AF1477" s="59"/>
      <c r="AG1477" s="62"/>
      <c r="AH1477" s="62"/>
      <c r="AI1477" s="62"/>
      <c r="AJ1477" s="62"/>
      <c r="AK1477" s="62"/>
      <c r="AL1477" s="62"/>
      <c r="AM1477" s="62"/>
      <c r="AN1477" s="60"/>
    </row>
    <row r="1478" spans="2:40" ht="18" customHeight="1" x14ac:dyDescent="0.25">
      <c r="B1478" s="61"/>
      <c r="C1478" s="214" t="s">
        <v>703</v>
      </c>
      <c r="D1478" s="215"/>
      <c r="E1478" s="216"/>
      <c r="F1478" s="62"/>
      <c r="G1478" s="214" t="s">
        <v>109</v>
      </c>
      <c r="H1478" s="215"/>
      <c r="I1478" s="216"/>
      <c r="J1478" s="63"/>
      <c r="L1478" s="61"/>
      <c r="M1478" s="214" t="s">
        <v>703</v>
      </c>
      <c r="N1478" s="215"/>
      <c r="O1478" s="216"/>
      <c r="P1478" s="62"/>
      <c r="Q1478" s="214" t="s">
        <v>109</v>
      </c>
      <c r="R1478" s="215"/>
      <c r="S1478" s="216"/>
      <c r="T1478" s="63"/>
      <c r="V1478" s="61"/>
      <c r="W1478" s="214" t="s">
        <v>703</v>
      </c>
      <c r="X1478" s="215"/>
      <c r="Y1478" s="216"/>
      <c r="Z1478" s="62"/>
      <c r="AA1478" s="214" t="s">
        <v>109</v>
      </c>
      <c r="AB1478" s="215"/>
      <c r="AC1478" s="216"/>
      <c r="AD1478" s="63"/>
      <c r="AF1478" s="61"/>
      <c r="AG1478" s="214" t="s">
        <v>703</v>
      </c>
      <c r="AH1478" s="215"/>
      <c r="AI1478" s="216"/>
      <c r="AJ1478" s="62"/>
      <c r="AK1478" s="214" t="s">
        <v>109</v>
      </c>
      <c r="AL1478" s="215"/>
      <c r="AM1478" s="216"/>
      <c r="AN1478" s="63"/>
    </row>
    <row r="1479" spans="2:40" ht="6.95" customHeight="1" x14ac:dyDescent="0.25">
      <c r="B1479" s="59"/>
      <c r="C1479" s="62"/>
      <c r="D1479" s="62"/>
      <c r="E1479" s="62"/>
      <c r="F1479" s="62"/>
      <c r="G1479" s="62"/>
      <c r="H1479" s="62"/>
      <c r="I1479" s="62"/>
      <c r="J1479" s="60"/>
      <c r="L1479" s="59"/>
      <c r="M1479" s="62"/>
      <c r="N1479" s="62"/>
      <c r="O1479" s="62"/>
      <c r="P1479" s="62"/>
      <c r="Q1479" s="62"/>
      <c r="R1479" s="62"/>
      <c r="S1479" s="62"/>
      <c r="T1479" s="60"/>
      <c r="V1479" s="59"/>
      <c r="W1479" s="62"/>
      <c r="X1479" s="62"/>
      <c r="Y1479" s="62"/>
      <c r="Z1479" s="62"/>
      <c r="AA1479" s="62"/>
      <c r="AB1479" s="62"/>
      <c r="AC1479" s="62"/>
      <c r="AD1479" s="60"/>
      <c r="AF1479" s="59"/>
      <c r="AG1479" s="62"/>
      <c r="AH1479" s="62"/>
      <c r="AI1479" s="62"/>
      <c r="AJ1479" s="62"/>
      <c r="AK1479" s="62"/>
      <c r="AL1479" s="62"/>
      <c r="AM1479" s="62"/>
      <c r="AN1479" s="60"/>
    </row>
    <row r="1480" spans="2:40" ht="18" customHeight="1" x14ac:dyDescent="0.25">
      <c r="B1480" s="61"/>
      <c r="C1480" s="214" t="s">
        <v>705</v>
      </c>
      <c r="D1480" s="215"/>
      <c r="E1480" s="216"/>
      <c r="F1480" s="62"/>
      <c r="G1480" s="214" t="s">
        <v>109</v>
      </c>
      <c r="H1480" s="215"/>
      <c r="I1480" s="216"/>
      <c r="J1480" s="63"/>
      <c r="L1480" s="61"/>
      <c r="M1480" s="214" t="s">
        <v>705</v>
      </c>
      <c r="N1480" s="215"/>
      <c r="O1480" s="216"/>
      <c r="P1480" s="62"/>
      <c r="Q1480" s="214" t="s">
        <v>109</v>
      </c>
      <c r="R1480" s="215"/>
      <c r="S1480" s="216"/>
      <c r="T1480" s="63"/>
      <c r="V1480" s="61"/>
      <c r="W1480" s="214" t="s">
        <v>705</v>
      </c>
      <c r="X1480" s="215"/>
      <c r="Y1480" s="216"/>
      <c r="Z1480" s="62"/>
      <c r="AA1480" s="214" t="s">
        <v>1576</v>
      </c>
      <c r="AB1480" s="215"/>
      <c r="AC1480" s="216"/>
      <c r="AD1480" s="63"/>
      <c r="AF1480" s="61"/>
      <c r="AG1480" s="214" t="s">
        <v>705</v>
      </c>
      <c r="AH1480" s="215"/>
      <c r="AI1480" s="216"/>
      <c r="AJ1480" s="62"/>
      <c r="AK1480" s="214" t="s">
        <v>1564</v>
      </c>
      <c r="AL1480" s="215"/>
      <c r="AM1480" s="216"/>
      <c r="AN1480" s="63"/>
    </row>
    <row r="1481" spans="2:40" ht="6.95" customHeight="1" x14ac:dyDescent="0.25">
      <c r="B1481" s="59"/>
      <c r="C1481" s="62"/>
      <c r="D1481" s="62"/>
      <c r="E1481" s="62"/>
      <c r="F1481" s="62"/>
      <c r="G1481" s="62"/>
      <c r="H1481" s="62"/>
      <c r="I1481" s="62"/>
      <c r="J1481" s="60"/>
      <c r="L1481" s="59"/>
      <c r="M1481" s="62"/>
      <c r="N1481" s="62"/>
      <c r="O1481" s="62"/>
      <c r="P1481" s="62"/>
      <c r="Q1481" s="62"/>
      <c r="R1481" s="62"/>
      <c r="S1481" s="62"/>
      <c r="T1481" s="60"/>
      <c r="V1481" s="59"/>
      <c r="W1481" s="62"/>
      <c r="X1481" s="62"/>
      <c r="Y1481" s="62"/>
      <c r="Z1481" s="62"/>
      <c r="AA1481" s="62"/>
      <c r="AB1481" s="62"/>
      <c r="AC1481" s="62"/>
      <c r="AD1481" s="60"/>
      <c r="AF1481" s="59"/>
      <c r="AG1481" s="62"/>
      <c r="AH1481" s="62"/>
      <c r="AI1481" s="62"/>
      <c r="AJ1481" s="62"/>
      <c r="AK1481" s="62"/>
      <c r="AL1481" s="62"/>
      <c r="AM1481" s="62"/>
      <c r="AN1481" s="60"/>
    </row>
    <row r="1482" spans="2:40" ht="18" customHeight="1" x14ac:dyDescent="0.25">
      <c r="B1482" s="61"/>
      <c r="C1482" s="214" t="s">
        <v>708</v>
      </c>
      <c r="D1482" s="215"/>
      <c r="E1482" s="216"/>
      <c r="F1482" s="62"/>
      <c r="G1482" s="214" t="s">
        <v>109</v>
      </c>
      <c r="H1482" s="215"/>
      <c r="I1482" s="216"/>
      <c r="J1482" s="63"/>
      <c r="L1482" s="61"/>
      <c r="M1482" s="214" t="s">
        <v>708</v>
      </c>
      <c r="N1482" s="215"/>
      <c r="O1482" s="216"/>
      <c r="P1482" s="62"/>
      <c r="Q1482" s="214" t="s">
        <v>109</v>
      </c>
      <c r="R1482" s="215"/>
      <c r="S1482" s="216"/>
      <c r="T1482" s="63"/>
      <c r="V1482" s="61"/>
      <c r="W1482" s="214" t="s">
        <v>708</v>
      </c>
      <c r="X1482" s="215"/>
      <c r="Y1482" s="216"/>
      <c r="Z1482" s="62"/>
      <c r="AA1482" s="214" t="s">
        <v>1579</v>
      </c>
      <c r="AB1482" s="215"/>
      <c r="AC1482" s="216"/>
      <c r="AD1482" s="63"/>
      <c r="AF1482" s="61"/>
      <c r="AG1482" s="214" t="s">
        <v>708</v>
      </c>
      <c r="AH1482" s="215"/>
      <c r="AI1482" s="216"/>
      <c r="AJ1482" s="62"/>
      <c r="AK1482" s="214" t="s">
        <v>1589</v>
      </c>
      <c r="AL1482" s="215"/>
      <c r="AM1482" s="216"/>
      <c r="AN1482" s="63"/>
    </row>
    <row r="1483" spans="2:40" ht="6.95" customHeight="1" x14ac:dyDescent="0.25">
      <c r="B1483" s="59"/>
      <c r="C1483" s="62"/>
      <c r="D1483" s="62"/>
      <c r="E1483" s="62"/>
      <c r="F1483" s="62"/>
      <c r="G1483" s="62"/>
      <c r="H1483" s="62"/>
      <c r="I1483" s="62"/>
      <c r="J1483" s="60"/>
      <c r="L1483" s="59"/>
      <c r="M1483" s="62"/>
      <c r="N1483" s="62"/>
      <c r="O1483" s="62"/>
      <c r="P1483" s="62"/>
      <c r="Q1483" s="62"/>
      <c r="R1483" s="62"/>
      <c r="S1483" s="62"/>
      <c r="T1483" s="60"/>
      <c r="V1483" s="59"/>
      <c r="W1483" s="62"/>
      <c r="X1483" s="62"/>
      <c r="Y1483" s="62"/>
      <c r="Z1483" s="62"/>
      <c r="AA1483" s="62"/>
      <c r="AB1483" s="62"/>
      <c r="AC1483" s="62"/>
      <c r="AD1483" s="60"/>
      <c r="AF1483" s="59"/>
      <c r="AG1483" s="62"/>
      <c r="AH1483" s="62"/>
      <c r="AI1483" s="62"/>
      <c r="AJ1483" s="62"/>
      <c r="AK1483" s="62"/>
      <c r="AL1483" s="62"/>
      <c r="AM1483" s="62"/>
      <c r="AN1483" s="60"/>
    </row>
    <row r="1484" spans="2:40" ht="18" customHeight="1" x14ac:dyDescent="0.25">
      <c r="B1484" s="61"/>
      <c r="C1484" s="214" t="s">
        <v>711</v>
      </c>
      <c r="D1484" s="215"/>
      <c r="E1484" s="216"/>
      <c r="F1484" s="62"/>
      <c r="G1484" s="214" t="s">
        <v>712</v>
      </c>
      <c r="H1484" s="215"/>
      <c r="I1484" s="216"/>
      <c r="J1484" s="63"/>
      <c r="L1484" s="61"/>
      <c r="M1484" s="214" t="s">
        <v>711</v>
      </c>
      <c r="N1484" s="215"/>
      <c r="O1484" s="216"/>
      <c r="P1484" s="62"/>
      <c r="Q1484" s="214" t="s">
        <v>712</v>
      </c>
      <c r="R1484" s="215"/>
      <c r="S1484" s="216"/>
      <c r="T1484" s="63"/>
      <c r="V1484" s="61"/>
      <c r="W1484" s="214" t="s">
        <v>711</v>
      </c>
      <c r="X1484" s="215"/>
      <c r="Y1484" s="216"/>
      <c r="Z1484" s="62"/>
      <c r="AA1484" s="214" t="s">
        <v>712</v>
      </c>
      <c r="AB1484" s="215"/>
      <c r="AC1484" s="216"/>
      <c r="AD1484" s="63"/>
      <c r="AF1484" s="61"/>
      <c r="AG1484" s="214" t="s">
        <v>711</v>
      </c>
      <c r="AH1484" s="215"/>
      <c r="AI1484" s="216"/>
      <c r="AJ1484" s="62"/>
      <c r="AK1484" s="214" t="s">
        <v>712</v>
      </c>
      <c r="AL1484" s="215"/>
      <c r="AM1484" s="216"/>
      <c r="AN1484" s="63"/>
    </row>
    <row r="1485" spans="2:40" ht="6.95" customHeight="1" x14ac:dyDescent="0.25">
      <c r="B1485" s="59"/>
      <c r="C1485" s="62"/>
      <c r="D1485" s="62"/>
      <c r="E1485" s="62"/>
      <c r="F1485" s="62"/>
      <c r="G1485" s="62"/>
      <c r="H1485" s="62"/>
      <c r="I1485" s="62"/>
      <c r="J1485" s="60"/>
      <c r="L1485" s="59"/>
      <c r="M1485" s="62"/>
      <c r="N1485" s="62"/>
      <c r="O1485" s="62"/>
      <c r="P1485" s="62"/>
      <c r="Q1485" s="62"/>
      <c r="R1485" s="62"/>
      <c r="S1485" s="62"/>
      <c r="T1485" s="60"/>
      <c r="V1485" s="59"/>
      <c r="W1485" s="62"/>
      <c r="X1485" s="62"/>
      <c r="Y1485" s="62"/>
      <c r="Z1485" s="62"/>
      <c r="AA1485" s="62"/>
      <c r="AB1485" s="62"/>
      <c r="AC1485" s="62"/>
      <c r="AD1485" s="60"/>
      <c r="AF1485" s="59"/>
      <c r="AG1485" s="62"/>
      <c r="AH1485" s="62"/>
      <c r="AI1485" s="62"/>
      <c r="AJ1485" s="62"/>
      <c r="AK1485" s="62"/>
      <c r="AL1485" s="62"/>
      <c r="AM1485" s="62"/>
      <c r="AN1485" s="60"/>
    </row>
    <row r="1486" spans="2:40" ht="18" customHeight="1" x14ac:dyDescent="0.25">
      <c r="B1486" s="61"/>
      <c r="C1486" s="214" t="s">
        <v>1273</v>
      </c>
      <c r="D1486" s="215"/>
      <c r="E1486" s="216"/>
      <c r="F1486" s="62"/>
      <c r="G1486" s="214" t="s">
        <v>1600</v>
      </c>
      <c r="H1486" s="215"/>
      <c r="I1486" s="216"/>
      <c r="J1486" s="63"/>
      <c r="L1486" s="61"/>
      <c r="M1486" s="214" t="s">
        <v>1273</v>
      </c>
      <c r="N1486" s="215"/>
      <c r="O1486" s="216"/>
      <c r="P1486" s="62"/>
      <c r="Q1486" s="214" t="s">
        <v>1600</v>
      </c>
      <c r="R1486" s="215"/>
      <c r="S1486" s="216"/>
      <c r="T1486" s="63"/>
      <c r="V1486" s="61"/>
      <c r="W1486" s="214" t="s">
        <v>1273</v>
      </c>
      <c r="X1486" s="215"/>
      <c r="Y1486" s="216"/>
      <c r="Z1486" s="62"/>
      <c r="AA1486" s="214" t="s">
        <v>1610</v>
      </c>
      <c r="AB1486" s="215"/>
      <c r="AC1486" s="216"/>
      <c r="AD1486" s="63"/>
      <c r="AF1486" s="61"/>
      <c r="AG1486" s="214" t="s">
        <v>1273</v>
      </c>
      <c r="AH1486" s="215"/>
      <c r="AI1486" s="216"/>
      <c r="AJ1486" s="62"/>
      <c r="AK1486" s="214" t="s">
        <v>1614</v>
      </c>
      <c r="AL1486" s="215"/>
      <c r="AM1486" s="216"/>
      <c r="AN1486" s="63"/>
    </row>
    <row r="1487" spans="2:40" ht="6.95" customHeight="1" x14ac:dyDescent="0.25">
      <c r="B1487" s="59"/>
      <c r="C1487" s="62"/>
      <c r="D1487" s="62"/>
      <c r="E1487" s="62"/>
      <c r="F1487" s="62"/>
      <c r="G1487" s="62"/>
      <c r="H1487" s="62"/>
      <c r="I1487" s="62"/>
      <c r="J1487" s="60"/>
      <c r="L1487" s="59"/>
      <c r="M1487" s="62"/>
      <c r="N1487" s="62"/>
      <c r="O1487" s="62"/>
      <c r="P1487" s="62"/>
      <c r="Q1487" s="62"/>
      <c r="R1487" s="62"/>
      <c r="S1487" s="62"/>
      <c r="T1487" s="60"/>
      <c r="V1487" s="59"/>
      <c r="W1487" s="62"/>
      <c r="X1487" s="62"/>
      <c r="Y1487" s="62"/>
      <c r="Z1487" s="62"/>
      <c r="AA1487" s="62"/>
      <c r="AB1487" s="62"/>
      <c r="AC1487" s="62"/>
      <c r="AD1487" s="60"/>
      <c r="AF1487" s="59"/>
      <c r="AG1487" s="62"/>
      <c r="AH1487" s="62"/>
      <c r="AI1487" s="62"/>
      <c r="AJ1487" s="62"/>
      <c r="AK1487" s="62"/>
      <c r="AL1487" s="62"/>
      <c r="AM1487" s="62"/>
      <c r="AN1487" s="60"/>
    </row>
    <row r="1488" spans="2:40" ht="18" customHeight="1" x14ac:dyDescent="0.25">
      <c r="B1488" s="61"/>
      <c r="C1488" s="214" t="s">
        <v>713</v>
      </c>
      <c r="D1488" s="215"/>
      <c r="E1488" s="216"/>
      <c r="F1488" s="62"/>
      <c r="G1488" s="220" t="s">
        <v>1293</v>
      </c>
      <c r="H1488" s="220"/>
      <c r="I1488" s="220"/>
      <c r="J1488" s="63"/>
      <c r="L1488" s="61"/>
      <c r="M1488" s="214" t="s">
        <v>713</v>
      </c>
      <c r="N1488" s="215"/>
      <c r="O1488" s="216"/>
      <c r="P1488" s="62"/>
      <c r="Q1488" s="220" t="s">
        <v>1293</v>
      </c>
      <c r="R1488" s="220"/>
      <c r="S1488" s="220"/>
      <c r="T1488" s="63"/>
      <c r="V1488" s="61"/>
      <c r="W1488" s="214" t="s">
        <v>713</v>
      </c>
      <c r="X1488" s="215"/>
      <c r="Y1488" s="216"/>
      <c r="Z1488" s="62"/>
      <c r="AA1488" s="220" t="s">
        <v>1293</v>
      </c>
      <c r="AB1488" s="220"/>
      <c r="AC1488" s="220"/>
      <c r="AD1488" s="63"/>
      <c r="AF1488" s="61"/>
      <c r="AG1488" s="214" t="s">
        <v>713</v>
      </c>
      <c r="AH1488" s="215"/>
      <c r="AI1488" s="216"/>
      <c r="AJ1488" s="62"/>
      <c r="AK1488" s="220" t="s">
        <v>1293</v>
      </c>
      <c r="AL1488" s="220"/>
      <c r="AM1488" s="220"/>
      <c r="AN1488" s="63"/>
    </row>
    <row r="1489" spans="2:40" ht="6.95" customHeight="1" x14ac:dyDescent="0.25">
      <c r="B1489" s="59"/>
      <c r="C1489" s="128"/>
      <c r="D1489" s="128"/>
      <c r="E1489" s="128"/>
      <c r="F1489" s="62"/>
      <c r="G1489" s="128"/>
      <c r="H1489" s="128"/>
      <c r="I1489" s="128"/>
      <c r="J1489" s="63"/>
      <c r="L1489" s="59"/>
      <c r="M1489" s="128"/>
      <c r="N1489" s="128"/>
      <c r="O1489" s="128"/>
      <c r="P1489" s="62"/>
      <c r="Q1489" s="128"/>
      <c r="R1489" s="128"/>
      <c r="S1489" s="128"/>
      <c r="T1489" s="63"/>
      <c r="V1489" s="59"/>
      <c r="W1489" s="128"/>
      <c r="X1489" s="128"/>
      <c r="Y1489" s="128"/>
      <c r="Z1489" s="62"/>
      <c r="AA1489" s="128"/>
      <c r="AB1489" s="128"/>
      <c r="AC1489" s="128"/>
      <c r="AD1489" s="63"/>
      <c r="AF1489" s="59"/>
      <c r="AG1489" s="128"/>
      <c r="AH1489" s="128"/>
      <c r="AI1489" s="128"/>
      <c r="AJ1489" s="62"/>
      <c r="AK1489" s="128"/>
      <c r="AL1489" s="128"/>
      <c r="AM1489" s="128"/>
      <c r="AN1489" s="63"/>
    </row>
    <row r="1490" spans="2:40" ht="18" customHeight="1" x14ac:dyDescent="0.25">
      <c r="B1490" s="59"/>
      <c r="C1490" s="220" t="s">
        <v>715</v>
      </c>
      <c r="D1490" s="220"/>
      <c r="E1490" s="220"/>
      <c r="F1490" s="62"/>
      <c r="G1490" s="220" t="s">
        <v>1270</v>
      </c>
      <c r="H1490" s="220"/>
      <c r="I1490" s="220"/>
      <c r="J1490" s="63"/>
      <c r="L1490" s="59"/>
      <c r="M1490" s="220" t="s">
        <v>715</v>
      </c>
      <c r="N1490" s="220"/>
      <c r="O1490" s="220"/>
      <c r="P1490" s="62"/>
      <c r="Q1490" s="220" t="s">
        <v>1270</v>
      </c>
      <c r="R1490" s="220"/>
      <c r="S1490" s="220"/>
      <c r="T1490" s="63"/>
      <c r="V1490" s="59"/>
      <c r="W1490" s="220" t="s">
        <v>715</v>
      </c>
      <c r="X1490" s="220"/>
      <c r="Y1490" s="220"/>
      <c r="Z1490" s="62"/>
      <c r="AA1490" s="220" t="s">
        <v>1270</v>
      </c>
      <c r="AB1490" s="220"/>
      <c r="AC1490" s="220"/>
      <c r="AD1490" s="63"/>
      <c r="AF1490" s="59"/>
      <c r="AG1490" s="220" t="s">
        <v>715</v>
      </c>
      <c r="AH1490" s="220"/>
      <c r="AI1490" s="220"/>
      <c r="AJ1490" s="62"/>
      <c r="AK1490" s="220" t="s">
        <v>1270</v>
      </c>
      <c r="AL1490" s="220"/>
      <c r="AM1490" s="220"/>
      <c r="AN1490" s="63"/>
    </row>
    <row r="1491" spans="2:40" ht="6.95" customHeight="1" thickBot="1" x14ac:dyDescent="0.3">
      <c r="B1491" s="64"/>
      <c r="C1491" s="65"/>
      <c r="D1491" s="65"/>
      <c r="E1491" s="65"/>
      <c r="F1491" s="65"/>
      <c r="G1491" s="65"/>
      <c r="H1491" s="65"/>
      <c r="I1491" s="65"/>
      <c r="J1491" s="66"/>
      <c r="L1491" s="64"/>
      <c r="M1491" s="65"/>
      <c r="N1491" s="65"/>
      <c r="O1491" s="65"/>
      <c r="P1491" s="65"/>
      <c r="Q1491" s="65"/>
      <c r="R1491" s="65"/>
      <c r="S1491" s="65"/>
      <c r="T1491" s="66"/>
      <c r="V1491" s="64"/>
      <c r="W1491" s="65"/>
      <c r="X1491" s="65"/>
      <c r="Y1491" s="65"/>
      <c r="Z1491" s="65"/>
      <c r="AA1491" s="65"/>
      <c r="AB1491" s="65"/>
      <c r="AC1491" s="65"/>
      <c r="AD1491" s="66"/>
      <c r="AF1491" s="64"/>
      <c r="AG1491" s="65"/>
      <c r="AH1491" s="65"/>
      <c r="AI1491" s="65"/>
      <c r="AJ1491" s="65"/>
      <c r="AK1491" s="65"/>
      <c r="AL1491" s="65"/>
      <c r="AM1491" s="65"/>
      <c r="AN1491" s="66"/>
    </row>
    <row r="1492" spans="2:40" ht="32.1" customHeight="1" thickTop="1" x14ac:dyDescent="0.25">
      <c r="B1492" s="57"/>
      <c r="C1492" s="58"/>
      <c r="D1492" s="217" t="s">
        <v>697</v>
      </c>
      <c r="E1492" s="218"/>
      <c r="F1492" s="218"/>
      <c r="G1492" s="218"/>
      <c r="H1492" s="218"/>
      <c r="I1492" s="218"/>
      <c r="J1492" s="219"/>
      <c r="L1492" s="57"/>
      <c r="M1492" s="58"/>
      <c r="N1492" s="217" t="s">
        <v>697</v>
      </c>
      <c r="O1492" s="218"/>
      <c r="P1492" s="218"/>
      <c r="Q1492" s="218"/>
      <c r="R1492" s="218"/>
      <c r="S1492" s="218"/>
      <c r="T1492" s="219"/>
      <c r="V1492" s="57"/>
      <c r="W1492" s="58"/>
      <c r="X1492" s="217" t="s">
        <v>697</v>
      </c>
      <c r="Y1492" s="218"/>
      <c r="Z1492" s="218"/>
      <c r="AA1492" s="218"/>
      <c r="AB1492" s="218"/>
      <c r="AC1492" s="218"/>
      <c r="AD1492" s="219"/>
      <c r="AF1492" s="57"/>
      <c r="AG1492" s="58"/>
      <c r="AH1492" s="217" t="s">
        <v>697</v>
      </c>
      <c r="AI1492" s="218"/>
      <c r="AJ1492" s="218"/>
      <c r="AK1492" s="218"/>
      <c r="AL1492" s="218"/>
      <c r="AM1492" s="218"/>
      <c r="AN1492" s="219"/>
    </row>
    <row r="1493" spans="2:40" x14ac:dyDescent="0.25">
      <c r="B1493" s="59"/>
      <c r="J1493" s="60"/>
      <c r="L1493" s="59"/>
      <c r="T1493" s="60"/>
      <c r="V1493" s="59"/>
      <c r="AD1493" s="60"/>
      <c r="AF1493" s="59"/>
      <c r="AN1493" s="60"/>
    </row>
    <row r="1494" spans="2:40" ht="18" customHeight="1" x14ac:dyDescent="0.25">
      <c r="B1494" s="61"/>
      <c r="C1494" s="214" t="s">
        <v>698</v>
      </c>
      <c r="D1494" s="215"/>
      <c r="E1494" s="216"/>
      <c r="F1494" s="62"/>
      <c r="G1494" s="214" t="s">
        <v>1615</v>
      </c>
      <c r="H1494" s="215"/>
      <c r="I1494" s="216"/>
      <c r="J1494" s="63"/>
      <c r="L1494" s="61"/>
      <c r="M1494" s="214" t="s">
        <v>698</v>
      </c>
      <c r="N1494" s="215"/>
      <c r="O1494" s="216"/>
      <c r="P1494" s="62"/>
      <c r="Q1494" s="214" t="s">
        <v>1616</v>
      </c>
      <c r="R1494" s="215"/>
      <c r="S1494" s="216"/>
      <c r="T1494" s="63"/>
      <c r="V1494" s="61"/>
      <c r="W1494" s="214" t="s">
        <v>698</v>
      </c>
      <c r="X1494" s="215"/>
      <c r="Y1494" s="216"/>
      <c r="Z1494" s="62"/>
      <c r="AA1494" s="214" t="s">
        <v>1617</v>
      </c>
      <c r="AB1494" s="215"/>
      <c r="AC1494" s="216"/>
      <c r="AD1494" s="63"/>
      <c r="AF1494" s="61"/>
      <c r="AG1494" s="214" t="s">
        <v>698</v>
      </c>
      <c r="AH1494" s="215"/>
      <c r="AI1494" s="216"/>
      <c r="AJ1494" s="62"/>
      <c r="AK1494" s="214" t="s">
        <v>1618</v>
      </c>
      <c r="AL1494" s="215"/>
      <c r="AM1494" s="216"/>
      <c r="AN1494" s="63"/>
    </row>
    <row r="1495" spans="2:40" ht="6.75" customHeight="1" x14ac:dyDescent="0.25">
      <c r="B1495" s="59"/>
      <c r="C1495" s="62"/>
      <c r="D1495" s="62"/>
      <c r="E1495" s="62"/>
      <c r="F1495" s="62"/>
      <c r="G1495" s="62"/>
      <c r="H1495" s="62"/>
      <c r="I1495" s="62"/>
      <c r="J1495" s="60"/>
      <c r="L1495" s="59"/>
      <c r="M1495" s="62"/>
      <c r="N1495" s="62"/>
      <c r="O1495" s="62"/>
      <c r="P1495" s="62"/>
      <c r="Q1495" s="62"/>
      <c r="R1495" s="62"/>
      <c r="S1495" s="62"/>
      <c r="T1495" s="60"/>
      <c r="V1495" s="59"/>
      <c r="W1495" s="62"/>
      <c r="X1495" s="62"/>
      <c r="Y1495" s="62"/>
      <c r="Z1495" s="62"/>
      <c r="AA1495" s="62"/>
      <c r="AB1495" s="62"/>
      <c r="AC1495" s="62"/>
      <c r="AD1495" s="60"/>
      <c r="AF1495" s="59"/>
      <c r="AG1495" s="62"/>
      <c r="AH1495" s="62"/>
      <c r="AI1495" s="62"/>
      <c r="AJ1495" s="62"/>
      <c r="AK1495" s="62"/>
      <c r="AL1495" s="62"/>
      <c r="AM1495" s="62"/>
      <c r="AN1495" s="60"/>
    </row>
    <row r="1496" spans="2:40" ht="18" customHeight="1" x14ac:dyDescent="0.25">
      <c r="B1496" s="61"/>
      <c r="C1496" s="214" t="s">
        <v>699</v>
      </c>
      <c r="D1496" s="215"/>
      <c r="E1496" s="216"/>
      <c r="F1496" s="62"/>
      <c r="G1496" s="214" t="s">
        <v>1639</v>
      </c>
      <c r="H1496" s="215"/>
      <c r="I1496" s="216"/>
      <c r="J1496" s="63"/>
      <c r="L1496" s="61"/>
      <c r="M1496" s="214" t="s">
        <v>699</v>
      </c>
      <c r="N1496" s="215"/>
      <c r="O1496" s="216"/>
      <c r="P1496" s="62"/>
      <c r="Q1496" s="214" t="s">
        <v>1639</v>
      </c>
      <c r="R1496" s="215"/>
      <c r="S1496" s="216"/>
      <c r="T1496" s="63"/>
      <c r="V1496" s="61"/>
      <c r="W1496" s="214" t="s">
        <v>699</v>
      </c>
      <c r="X1496" s="215"/>
      <c r="Y1496" s="216"/>
      <c r="Z1496" s="62"/>
      <c r="AA1496" s="214" t="s">
        <v>1639</v>
      </c>
      <c r="AB1496" s="215"/>
      <c r="AC1496" s="216"/>
      <c r="AD1496" s="63"/>
      <c r="AF1496" s="61"/>
      <c r="AG1496" s="214" t="s">
        <v>699</v>
      </c>
      <c r="AH1496" s="215"/>
      <c r="AI1496" s="216"/>
      <c r="AJ1496" s="62"/>
      <c r="AK1496" s="214" t="s">
        <v>1639</v>
      </c>
      <c r="AL1496" s="215"/>
      <c r="AM1496" s="216"/>
      <c r="AN1496" s="63"/>
    </row>
    <row r="1497" spans="2:40" ht="6.75" customHeight="1" x14ac:dyDescent="0.25">
      <c r="B1497" s="59"/>
      <c r="C1497" s="62"/>
      <c r="D1497" s="62"/>
      <c r="E1497" s="62"/>
      <c r="F1497" s="62"/>
      <c r="G1497" s="62"/>
      <c r="H1497" s="62"/>
      <c r="I1497" s="62"/>
      <c r="J1497" s="60"/>
      <c r="L1497" s="59"/>
      <c r="M1497" s="62"/>
      <c r="N1497" s="62"/>
      <c r="O1497" s="62"/>
      <c r="P1497" s="62"/>
      <c r="Q1497" s="62"/>
      <c r="R1497" s="62"/>
      <c r="S1497" s="62"/>
      <c r="T1497" s="60"/>
      <c r="V1497" s="59"/>
      <c r="W1497" s="62"/>
      <c r="X1497" s="62"/>
      <c r="Y1497" s="62"/>
      <c r="Z1497" s="62"/>
      <c r="AA1497" s="62"/>
      <c r="AB1497" s="62"/>
      <c r="AC1497" s="62"/>
      <c r="AD1497" s="60"/>
      <c r="AF1497" s="59"/>
      <c r="AG1497" s="62"/>
      <c r="AH1497" s="62"/>
      <c r="AI1497" s="62"/>
      <c r="AJ1497" s="62"/>
      <c r="AK1497" s="62"/>
      <c r="AL1497" s="62"/>
      <c r="AM1497" s="62"/>
      <c r="AN1497" s="60"/>
    </row>
    <row r="1498" spans="2:40" ht="18" customHeight="1" x14ac:dyDescent="0.25">
      <c r="B1498" s="61"/>
      <c r="C1498" s="214" t="s">
        <v>701</v>
      </c>
      <c r="D1498" s="215"/>
      <c r="E1498" s="216"/>
      <c r="F1498" s="62"/>
      <c r="G1498" s="214" t="s">
        <v>1619</v>
      </c>
      <c r="H1498" s="215"/>
      <c r="I1498" s="216"/>
      <c r="J1498" s="63"/>
      <c r="L1498" s="61"/>
      <c r="M1498" s="214" t="s">
        <v>701</v>
      </c>
      <c r="N1498" s="215"/>
      <c r="O1498" s="216"/>
      <c r="P1498" s="62"/>
      <c r="Q1498" s="214" t="s">
        <v>1619</v>
      </c>
      <c r="R1498" s="215"/>
      <c r="S1498" s="216"/>
      <c r="T1498" s="63"/>
      <c r="V1498" s="61"/>
      <c r="W1498" s="214" t="s">
        <v>701</v>
      </c>
      <c r="X1498" s="215"/>
      <c r="Y1498" s="216"/>
      <c r="Z1498" s="62"/>
      <c r="AA1498" s="214" t="s">
        <v>1620</v>
      </c>
      <c r="AB1498" s="215"/>
      <c r="AC1498" s="216"/>
      <c r="AD1498" s="63"/>
      <c r="AF1498" s="61"/>
      <c r="AG1498" s="214" t="s">
        <v>701</v>
      </c>
      <c r="AH1498" s="215"/>
      <c r="AI1498" s="216"/>
      <c r="AJ1498" s="62"/>
      <c r="AK1498" s="214" t="s">
        <v>1621</v>
      </c>
      <c r="AL1498" s="215"/>
      <c r="AM1498" s="216"/>
      <c r="AN1498" s="63"/>
    </row>
    <row r="1499" spans="2:40" ht="6.75" customHeight="1" x14ac:dyDescent="0.25">
      <c r="B1499" s="59"/>
      <c r="C1499" s="62"/>
      <c r="D1499" s="62"/>
      <c r="E1499" s="62"/>
      <c r="F1499" s="62"/>
      <c r="G1499" s="62"/>
      <c r="H1499" s="62"/>
      <c r="I1499" s="62"/>
      <c r="J1499" s="60"/>
      <c r="L1499" s="59"/>
      <c r="M1499" s="62"/>
      <c r="N1499" s="62"/>
      <c r="O1499" s="62"/>
      <c r="P1499" s="62"/>
      <c r="Q1499" s="62"/>
      <c r="R1499" s="62"/>
      <c r="S1499" s="62"/>
      <c r="T1499" s="60"/>
      <c r="V1499" s="59"/>
      <c r="W1499" s="62"/>
      <c r="X1499" s="62"/>
      <c r="Y1499" s="62"/>
      <c r="Z1499" s="62"/>
      <c r="AA1499" s="62"/>
      <c r="AB1499" s="62"/>
      <c r="AC1499" s="62"/>
      <c r="AD1499" s="60"/>
      <c r="AF1499" s="59"/>
      <c r="AG1499" s="62"/>
      <c r="AH1499" s="62"/>
      <c r="AI1499" s="62"/>
      <c r="AJ1499" s="62"/>
      <c r="AK1499" s="62"/>
      <c r="AL1499" s="62"/>
      <c r="AM1499" s="62"/>
      <c r="AN1499" s="60"/>
    </row>
    <row r="1500" spans="2:40" ht="18" customHeight="1" x14ac:dyDescent="0.25">
      <c r="B1500" s="61"/>
      <c r="C1500" s="214" t="s">
        <v>703</v>
      </c>
      <c r="D1500" s="215"/>
      <c r="E1500" s="216"/>
      <c r="F1500" s="62"/>
      <c r="G1500" s="214" t="s">
        <v>109</v>
      </c>
      <c r="H1500" s="215"/>
      <c r="I1500" s="216"/>
      <c r="J1500" s="63"/>
      <c r="L1500" s="61"/>
      <c r="M1500" s="214" t="s">
        <v>703</v>
      </c>
      <c r="N1500" s="215"/>
      <c r="O1500" s="216"/>
      <c r="P1500" s="62"/>
      <c r="Q1500" s="214" t="s">
        <v>109</v>
      </c>
      <c r="R1500" s="215"/>
      <c r="S1500" s="216"/>
      <c r="T1500" s="63"/>
      <c r="V1500" s="61"/>
      <c r="W1500" s="214" t="s">
        <v>703</v>
      </c>
      <c r="X1500" s="215"/>
      <c r="Y1500" s="216"/>
      <c r="Z1500" s="62"/>
      <c r="AA1500" s="214" t="s">
        <v>109</v>
      </c>
      <c r="AB1500" s="215"/>
      <c r="AC1500" s="216"/>
      <c r="AD1500" s="63"/>
      <c r="AF1500" s="61"/>
      <c r="AG1500" s="214" t="s">
        <v>703</v>
      </c>
      <c r="AH1500" s="215"/>
      <c r="AI1500" s="216"/>
      <c r="AJ1500" s="62"/>
      <c r="AK1500" s="214" t="s">
        <v>109</v>
      </c>
      <c r="AL1500" s="215"/>
      <c r="AM1500" s="216"/>
      <c r="AN1500" s="63"/>
    </row>
    <row r="1501" spans="2:40" ht="6.95" customHeight="1" x14ac:dyDescent="0.25">
      <c r="B1501" s="59"/>
      <c r="C1501" s="62"/>
      <c r="D1501" s="62"/>
      <c r="E1501" s="62"/>
      <c r="F1501" s="62"/>
      <c r="G1501" s="62"/>
      <c r="H1501" s="62"/>
      <c r="I1501" s="62"/>
      <c r="J1501" s="60"/>
      <c r="L1501" s="59"/>
      <c r="M1501" s="62"/>
      <c r="N1501" s="62"/>
      <c r="O1501" s="62"/>
      <c r="P1501" s="62"/>
      <c r="Q1501" s="62"/>
      <c r="R1501" s="62"/>
      <c r="S1501" s="62"/>
      <c r="T1501" s="60"/>
      <c r="V1501" s="59"/>
      <c r="W1501" s="62"/>
      <c r="X1501" s="62"/>
      <c r="Y1501" s="62"/>
      <c r="Z1501" s="62"/>
      <c r="AA1501" s="62"/>
      <c r="AB1501" s="62"/>
      <c r="AC1501" s="62"/>
      <c r="AD1501" s="60"/>
      <c r="AF1501" s="59"/>
      <c r="AG1501" s="62"/>
      <c r="AH1501" s="62"/>
      <c r="AI1501" s="62"/>
      <c r="AJ1501" s="62"/>
      <c r="AK1501" s="62"/>
      <c r="AL1501" s="62"/>
      <c r="AM1501" s="62"/>
      <c r="AN1501" s="60"/>
    </row>
    <row r="1502" spans="2:40" ht="18" customHeight="1" x14ac:dyDescent="0.25">
      <c r="B1502" s="61"/>
      <c r="C1502" s="214" t="s">
        <v>705</v>
      </c>
      <c r="D1502" s="215"/>
      <c r="E1502" s="216"/>
      <c r="F1502" s="62"/>
      <c r="G1502" s="214" t="s">
        <v>109</v>
      </c>
      <c r="H1502" s="215"/>
      <c r="I1502" s="216"/>
      <c r="J1502" s="63"/>
      <c r="L1502" s="61"/>
      <c r="M1502" s="214" t="s">
        <v>705</v>
      </c>
      <c r="N1502" s="215"/>
      <c r="O1502" s="216"/>
      <c r="P1502" s="62"/>
      <c r="Q1502" s="214" t="s">
        <v>109</v>
      </c>
      <c r="R1502" s="215"/>
      <c r="S1502" s="216"/>
      <c r="T1502" s="63"/>
      <c r="V1502" s="61"/>
      <c r="W1502" s="214" t="s">
        <v>705</v>
      </c>
      <c r="X1502" s="215"/>
      <c r="Y1502" s="216"/>
      <c r="Z1502" s="62"/>
      <c r="AA1502" s="214" t="s">
        <v>109</v>
      </c>
      <c r="AB1502" s="215"/>
      <c r="AC1502" s="216"/>
      <c r="AD1502" s="63"/>
      <c r="AF1502" s="61"/>
      <c r="AG1502" s="214" t="s">
        <v>705</v>
      </c>
      <c r="AH1502" s="215"/>
      <c r="AI1502" s="216"/>
      <c r="AJ1502" s="62"/>
      <c r="AK1502" s="214" t="s">
        <v>109</v>
      </c>
      <c r="AL1502" s="215"/>
      <c r="AM1502" s="216"/>
      <c r="AN1502" s="63"/>
    </row>
    <row r="1503" spans="2:40" ht="6.95" customHeight="1" x14ac:dyDescent="0.25">
      <c r="B1503" s="59"/>
      <c r="C1503" s="62"/>
      <c r="D1503" s="62"/>
      <c r="E1503" s="62"/>
      <c r="F1503" s="62"/>
      <c r="G1503" s="62"/>
      <c r="H1503" s="62"/>
      <c r="I1503" s="62"/>
      <c r="J1503" s="60"/>
      <c r="L1503" s="59"/>
      <c r="M1503" s="62"/>
      <c r="N1503" s="62"/>
      <c r="O1503" s="62"/>
      <c r="P1503" s="62"/>
      <c r="Q1503" s="62"/>
      <c r="R1503" s="62"/>
      <c r="S1503" s="62"/>
      <c r="T1503" s="60"/>
      <c r="V1503" s="59"/>
      <c r="W1503" s="62"/>
      <c r="X1503" s="62"/>
      <c r="Y1503" s="62"/>
      <c r="Z1503" s="62"/>
      <c r="AA1503" s="62"/>
      <c r="AB1503" s="62"/>
      <c r="AC1503" s="62"/>
      <c r="AD1503" s="60"/>
      <c r="AF1503" s="59"/>
      <c r="AG1503" s="62"/>
      <c r="AH1503" s="62"/>
      <c r="AI1503" s="62"/>
      <c r="AJ1503" s="62"/>
      <c r="AK1503" s="62"/>
      <c r="AL1503" s="62"/>
      <c r="AM1503" s="62"/>
      <c r="AN1503" s="60"/>
    </row>
    <row r="1504" spans="2:40" ht="18" customHeight="1" x14ac:dyDescent="0.25">
      <c r="B1504" s="61"/>
      <c r="C1504" s="214" t="s">
        <v>708</v>
      </c>
      <c r="D1504" s="215"/>
      <c r="E1504" s="216"/>
      <c r="F1504" s="62"/>
      <c r="G1504" s="214" t="s">
        <v>109</v>
      </c>
      <c r="H1504" s="215"/>
      <c r="I1504" s="216"/>
      <c r="J1504" s="63"/>
      <c r="L1504" s="61"/>
      <c r="M1504" s="214" t="s">
        <v>708</v>
      </c>
      <c r="N1504" s="215"/>
      <c r="O1504" s="216"/>
      <c r="P1504" s="62"/>
      <c r="Q1504" s="214" t="s">
        <v>109</v>
      </c>
      <c r="R1504" s="215"/>
      <c r="S1504" s="216"/>
      <c r="T1504" s="63"/>
      <c r="V1504" s="61"/>
      <c r="W1504" s="214" t="s">
        <v>708</v>
      </c>
      <c r="X1504" s="215"/>
      <c r="Y1504" s="216"/>
      <c r="Z1504" s="62"/>
      <c r="AA1504" s="214" t="s">
        <v>109</v>
      </c>
      <c r="AB1504" s="215"/>
      <c r="AC1504" s="216"/>
      <c r="AD1504" s="63"/>
      <c r="AF1504" s="61"/>
      <c r="AG1504" s="214" t="s">
        <v>708</v>
      </c>
      <c r="AH1504" s="215"/>
      <c r="AI1504" s="216"/>
      <c r="AJ1504" s="62"/>
      <c r="AK1504" s="214" t="s">
        <v>109</v>
      </c>
      <c r="AL1504" s="215"/>
      <c r="AM1504" s="216"/>
      <c r="AN1504" s="63"/>
    </row>
    <row r="1505" spans="2:40" ht="6.95" customHeight="1" x14ac:dyDescent="0.25">
      <c r="B1505" s="59"/>
      <c r="C1505" s="62"/>
      <c r="D1505" s="62"/>
      <c r="E1505" s="62"/>
      <c r="F1505" s="62"/>
      <c r="G1505" s="62"/>
      <c r="H1505" s="62"/>
      <c r="I1505" s="62"/>
      <c r="J1505" s="60"/>
      <c r="L1505" s="59"/>
      <c r="M1505" s="62"/>
      <c r="N1505" s="62"/>
      <c r="O1505" s="62"/>
      <c r="P1505" s="62"/>
      <c r="Q1505" s="62"/>
      <c r="R1505" s="62"/>
      <c r="S1505" s="62"/>
      <c r="T1505" s="60"/>
      <c r="V1505" s="59"/>
      <c r="W1505" s="62"/>
      <c r="X1505" s="62"/>
      <c r="Y1505" s="62"/>
      <c r="Z1505" s="62"/>
      <c r="AA1505" s="62"/>
      <c r="AB1505" s="62"/>
      <c r="AC1505" s="62"/>
      <c r="AD1505" s="60"/>
      <c r="AF1505" s="59"/>
      <c r="AG1505" s="62"/>
      <c r="AH1505" s="62"/>
      <c r="AI1505" s="62"/>
      <c r="AJ1505" s="62"/>
      <c r="AK1505" s="62"/>
      <c r="AL1505" s="62"/>
      <c r="AM1505" s="62"/>
      <c r="AN1505" s="60"/>
    </row>
    <row r="1506" spans="2:40" ht="18" customHeight="1" x14ac:dyDescent="0.25">
      <c r="B1506" s="61"/>
      <c r="C1506" s="214" t="s">
        <v>711</v>
      </c>
      <c r="D1506" s="215"/>
      <c r="E1506" s="216"/>
      <c r="F1506" s="62"/>
      <c r="G1506" s="214" t="s">
        <v>712</v>
      </c>
      <c r="H1506" s="215"/>
      <c r="I1506" s="216"/>
      <c r="J1506" s="63"/>
      <c r="L1506" s="61"/>
      <c r="M1506" s="214" t="s">
        <v>711</v>
      </c>
      <c r="N1506" s="215"/>
      <c r="O1506" s="216"/>
      <c r="P1506" s="62"/>
      <c r="Q1506" s="214" t="s">
        <v>712</v>
      </c>
      <c r="R1506" s="215"/>
      <c r="S1506" s="216"/>
      <c r="T1506" s="63"/>
      <c r="V1506" s="61"/>
      <c r="W1506" s="214" t="s">
        <v>711</v>
      </c>
      <c r="X1506" s="215"/>
      <c r="Y1506" s="216"/>
      <c r="Z1506" s="62"/>
      <c r="AA1506" s="214" t="s">
        <v>712</v>
      </c>
      <c r="AB1506" s="215"/>
      <c r="AC1506" s="216"/>
      <c r="AD1506" s="63"/>
      <c r="AF1506" s="61"/>
      <c r="AG1506" s="214" t="s">
        <v>711</v>
      </c>
      <c r="AH1506" s="215"/>
      <c r="AI1506" s="216"/>
      <c r="AJ1506" s="62"/>
      <c r="AK1506" s="214" t="s">
        <v>712</v>
      </c>
      <c r="AL1506" s="215"/>
      <c r="AM1506" s="216"/>
      <c r="AN1506" s="63"/>
    </row>
    <row r="1507" spans="2:40" ht="6.95" customHeight="1" x14ac:dyDescent="0.25">
      <c r="B1507" s="59"/>
      <c r="C1507" s="62"/>
      <c r="D1507" s="62"/>
      <c r="E1507" s="62"/>
      <c r="F1507" s="62"/>
      <c r="G1507" s="62"/>
      <c r="H1507" s="62"/>
      <c r="I1507" s="62"/>
      <c r="J1507" s="60"/>
      <c r="L1507" s="59"/>
      <c r="M1507" s="62"/>
      <c r="N1507" s="62"/>
      <c r="O1507" s="62"/>
      <c r="P1507" s="62"/>
      <c r="Q1507" s="62"/>
      <c r="R1507" s="62"/>
      <c r="S1507" s="62"/>
      <c r="T1507" s="60"/>
      <c r="V1507" s="59"/>
      <c r="W1507" s="62"/>
      <c r="X1507" s="62"/>
      <c r="Y1507" s="62"/>
      <c r="Z1507" s="62"/>
      <c r="AA1507" s="62"/>
      <c r="AB1507" s="62"/>
      <c r="AC1507" s="62"/>
      <c r="AD1507" s="60"/>
      <c r="AF1507" s="59"/>
      <c r="AG1507" s="62"/>
      <c r="AH1507" s="62"/>
      <c r="AI1507" s="62"/>
      <c r="AJ1507" s="62"/>
      <c r="AK1507" s="62"/>
      <c r="AL1507" s="62"/>
      <c r="AM1507" s="62"/>
      <c r="AN1507" s="60"/>
    </row>
    <row r="1508" spans="2:40" ht="18" customHeight="1" x14ac:dyDescent="0.25">
      <c r="B1508" s="61"/>
      <c r="C1508" s="214" t="s">
        <v>1273</v>
      </c>
      <c r="D1508" s="215"/>
      <c r="E1508" s="216"/>
      <c r="F1508" s="62"/>
      <c r="G1508" s="214" t="s">
        <v>1622</v>
      </c>
      <c r="H1508" s="215"/>
      <c r="I1508" s="216"/>
      <c r="J1508" s="63"/>
      <c r="L1508" s="61"/>
      <c r="M1508" s="214" t="s">
        <v>1273</v>
      </c>
      <c r="N1508" s="215"/>
      <c r="O1508" s="216"/>
      <c r="P1508" s="62"/>
      <c r="Q1508" s="214" t="s">
        <v>1623</v>
      </c>
      <c r="R1508" s="215"/>
      <c r="S1508" s="216"/>
      <c r="T1508" s="63"/>
      <c r="V1508" s="61"/>
      <c r="W1508" s="214" t="s">
        <v>1273</v>
      </c>
      <c r="X1508" s="215"/>
      <c r="Y1508" s="216"/>
      <c r="Z1508" s="62"/>
      <c r="AA1508" s="214" t="s">
        <v>1624</v>
      </c>
      <c r="AB1508" s="215"/>
      <c r="AC1508" s="216"/>
      <c r="AD1508" s="63"/>
      <c r="AF1508" s="61"/>
      <c r="AG1508" s="214" t="s">
        <v>1273</v>
      </c>
      <c r="AH1508" s="215"/>
      <c r="AI1508" s="216"/>
      <c r="AJ1508" s="62"/>
      <c r="AK1508" s="214" t="s">
        <v>1625</v>
      </c>
      <c r="AL1508" s="215"/>
      <c r="AM1508" s="216"/>
      <c r="AN1508" s="63"/>
    </row>
    <row r="1509" spans="2:40" ht="6.95" customHeight="1" x14ac:dyDescent="0.25">
      <c r="B1509" s="59"/>
      <c r="C1509" s="62"/>
      <c r="D1509" s="62"/>
      <c r="E1509" s="62"/>
      <c r="F1509" s="62"/>
      <c r="G1509" s="62"/>
      <c r="H1509" s="62"/>
      <c r="I1509" s="62"/>
      <c r="J1509" s="60"/>
      <c r="L1509" s="59"/>
      <c r="M1509" s="62"/>
      <c r="N1509" s="62"/>
      <c r="O1509" s="62"/>
      <c r="P1509" s="62"/>
      <c r="Q1509" s="62"/>
      <c r="R1509" s="62"/>
      <c r="S1509" s="62"/>
      <c r="T1509" s="60"/>
      <c r="V1509" s="59"/>
      <c r="W1509" s="62"/>
      <c r="X1509" s="62"/>
      <c r="Y1509" s="62"/>
      <c r="Z1509" s="62"/>
      <c r="AA1509" s="62"/>
      <c r="AB1509" s="62"/>
      <c r="AC1509" s="62"/>
      <c r="AD1509" s="60"/>
      <c r="AF1509" s="59"/>
      <c r="AG1509" s="62"/>
      <c r="AH1509" s="62"/>
      <c r="AI1509" s="62"/>
      <c r="AJ1509" s="62"/>
      <c r="AK1509" s="62"/>
      <c r="AL1509" s="62"/>
      <c r="AM1509" s="62"/>
      <c r="AN1509" s="60"/>
    </row>
    <row r="1510" spans="2:40" ht="18" customHeight="1" x14ac:dyDescent="0.25">
      <c r="B1510" s="61"/>
      <c r="C1510" s="214" t="s">
        <v>713</v>
      </c>
      <c r="D1510" s="215"/>
      <c r="E1510" s="216"/>
      <c r="F1510" s="62"/>
      <c r="G1510" s="220" t="s">
        <v>1293</v>
      </c>
      <c r="H1510" s="220"/>
      <c r="I1510" s="220"/>
      <c r="J1510" s="63"/>
      <c r="L1510" s="61"/>
      <c r="M1510" s="214" t="s">
        <v>713</v>
      </c>
      <c r="N1510" s="215"/>
      <c r="O1510" s="216"/>
      <c r="P1510" s="62"/>
      <c r="Q1510" s="220" t="s">
        <v>1293</v>
      </c>
      <c r="R1510" s="220"/>
      <c r="S1510" s="220"/>
      <c r="T1510" s="63"/>
      <c r="V1510" s="61"/>
      <c r="W1510" s="214" t="s">
        <v>713</v>
      </c>
      <c r="X1510" s="215"/>
      <c r="Y1510" s="216"/>
      <c r="Z1510" s="62"/>
      <c r="AA1510" s="220" t="s">
        <v>1293</v>
      </c>
      <c r="AB1510" s="220"/>
      <c r="AC1510" s="220"/>
      <c r="AD1510" s="63"/>
      <c r="AF1510" s="61"/>
      <c r="AG1510" s="214" t="s">
        <v>713</v>
      </c>
      <c r="AH1510" s="215"/>
      <c r="AI1510" s="216"/>
      <c r="AJ1510" s="62"/>
      <c r="AK1510" s="220" t="s">
        <v>1293</v>
      </c>
      <c r="AL1510" s="220"/>
      <c r="AM1510" s="220"/>
      <c r="AN1510" s="63"/>
    </row>
    <row r="1511" spans="2:40" ht="6.95" customHeight="1" x14ac:dyDescent="0.25">
      <c r="B1511" s="59"/>
      <c r="C1511" s="128"/>
      <c r="D1511" s="128"/>
      <c r="E1511" s="128"/>
      <c r="F1511" s="62"/>
      <c r="G1511" s="128"/>
      <c r="H1511" s="128"/>
      <c r="I1511" s="128"/>
      <c r="J1511" s="63"/>
      <c r="L1511" s="59"/>
      <c r="M1511" s="128"/>
      <c r="N1511" s="128"/>
      <c r="O1511" s="128"/>
      <c r="P1511" s="62"/>
      <c r="Q1511" s="128"/>
      <c r="R1511" s="128"/>
      <c r="S1511" s="128"/>
      <c r="T1511" s="63"/>
      <c r="V1511" s="59"/>
      <c r="W1511" s="128"/>
      <c r="X1511" s="128"/>
      <c r="Y1511" s="128"/>
      <c r="Z1511" s="62"/>
      <c r="AA1511" s="128"/>
      <c r="AB1511" s="128"/>
      <c r="AC1511" s="128"/>
      <c r="AD1511" s="63"/>
      <c r="AF1511" s="59"/>
      <c r="AG1511" s="128"/>
      <c r="AH1511" s="128"/>
      <c r="AI1511" s="128"/>
      <c r="AJ1511" s="62"/>
      <c r="AK1511" s="128"/>
      <c r="AL1511" s="128"/>
      <c r="AM1511" s="128"/>
      <c r="AN1511" s="63"/>
    </row>
    <row r="1512" spans="2:40" ht="18" customHeight="1" x14ac:dyDescent="0.25">
      <c r="B1512" s="59"/>
      <c r="C1512" s="220" t="s">
        <v>715</v>
      </c>
      <c r="D1512" s="220"/>
      <c r="E1512" s="220"/>
      <c r="F1512" s="62"/>
      <c r="G1512" s="220" t="s">
        <v>1270</v>
      </c>
      <c r="H1512" s="220"/>
      <c r="I1512" s="220"/>
      <c r="J1512" s="63"/>
      <c r="L1512" s="59"/>
      <c r="M1512" s="220" t="s">
        <v>715</v>
      </c>
      <c r="N1512" s="220"/>
      <c r="O1512" s="220"/>
      <c r="P1512" s="62"/>
      <c r="Q1512" s="220" t="s">
        <v>1270</v>
      </c>
      <c r="R1512" s="220"/>
      <c r="S1512" s="220"/>
      <c r="T1512" s="63"/>
      <c r="V1512" s="59"/>
      <c r="W1512" s="220" t="s">
        <v>715</v>
      </c>
      <c r="X1512" s="220"/>
      <c r="Y1512" s="220"/>
      <c r="Z1512" s="62"/>
      <c r="AA1512" s="220" t="s">
        <v>1270</v>
      </c>
      <c r="AB1512" s="220"/>
      <c r="AC1512" s="220"/>
      <c r="AD1512" s="63"/>
      <c r="AF1512" s="59"/>
      <c r="AG1512" s="220" t="s">
        <v>715</v>
      </c>
      <c r="AH1512" s="220"/>
      <c r="AI1512" s="220"/>
      <c r="AJ1512" s="62"/>
      <c r="AK1512" s="220" t="s">
        <v>1270</v>
      </c>
      <c r="AL1512" s="220"/>
      <c r="AM1512" s="220"/>
      <c r="AN1512" s="63"/>
    </row>
    <row r="1513" spans="2:40" ht="6.95" customHeight="1" thickBot="1" x14ac:dyDescent="0.3">
      <c r="B1513" s="64"/>
      <c r="C1513" s="65"/>
      <c r="D1513" s="65"/>
      <c r="E1513" s="65"/>
      <c r="F1513" s="65"/>
      <c r="G1513" s="65"/>
      <c r="H1513" s="65"/>
      <c r="I1513" s="65"/>
      <c r="J1513" s="66"/>
      <c r="L1513" s="64"/>
      <c r="M1513" s="65"/>
      <c r="N1513" s="65"/>
      <c r="O1513" s="65"/>
      <c r="P1513" s="65"/>
      <c r="Q1513" s="65"/>
      <c r="R1513" s="65"/>
      <c r="S1513" s="65"/>
      <c r="T1513" s="66"/>
      <c r="V1513" s="64"/>
      <c r="W1513" s="65"/>
      <c r="X1513" s="65"/>
      <c r="Y1513" s="65"/>
      <c r="Z1513" s="65"/>
      <c r="AA1513" s="65"/>
      <c r="AB1513" s="65"/>
      <c r="AC1513" s="65"/>
      <c r="AD1513" s="66"/>
      <c r="AF1513" s="64"/>
      <c r="AG1513" s="65"/>
      <c r="AH1513" s="65"/>
      <c r="AI1513" s="65"/>
      <c r="AJ1513" s="65"/>
      <c r="AK1513" s="65"/>
      <c r="AL1513" s="65"/>
      <c r="AM1513" s="65"/>
      <c r="AN1513" s="66"/>
    </row>
    <row r="1514" spans="2:40" ht="32.1" customHeight="1" thickTop="1" x14ac:dyDescent="0.25">
      <c r="B1514" s="57"/>
      <c r="C1514" s="58"/>
      <c r="D1514" s="217" t="s">
        <v>697</v>
      </c>
      <c r="E1514" s="218"/>
      <c r="F1514" s="218"/>
      <c r="G1514" s="218"/>
      <c r="H1514" s="218"/>
      <c r="I1514" s="218"/>
      <c r="J1514" s="219"/>
      <c r="L1514" s="57"/>
      <c r="M1514" s="58"/>
      <c r="N1514" s="217" t="s">
        <v>697</v>
      </c>
      <c r="O1514" s="218"/>
      <c r="P1514" s="218"/>
      <c r="Q1514" s="218"/>
      <c r="R1514" s="218"/>
      <c r="S1514" s="218"/>
      <c r="T1514" s="219"/>
      <c r="V1514" s="57"/>
      <c r="W1514" s="58"/>
      <c r="X1514" s="217" t="s">
        <v>697</v>
      </c>
      <c r="Y1514" s="218"/>
      <c r="Z1514" s="218"/>
      <c r="AA1514" s="218"/>
      <c r="AB1514" s="218"/>
      <c r="AC1514" s="218"/>
      <c r="AD1514" s="219"/>
      <c r="AF1514" s="57"/>
      <c r="AG1514" s="58"/>
      <c r="AH1514" s="217" t="s">
        <v>697</v>
      </c>
      <c r="AI1514" s="218"/>
      <c r="AJ1514" s="218"/>
      <c r="AK1514" s="218"/>
      <c r="AL1514" s="218"/>
      <c r="AM1514" s="218"/>
      <c r="AN1514" s="219"/>
    </row>
    <row r="1515" spans="2:40" ht="6.95" customHeight="1" x14ac:dyDescent="0.25">
      <c r="B1515" s="59"/>
      <c r="J1515" s="60"/>
      <c r="L1515" s="59"/>
      <c r="T1515" s="60"/>
      <c r="V1515" s="59"/>
      <c r="AD1515" s="60"/>
      <c r="AF1515" s="59"/>
      <c r="AN1515" s="60"/>
    </row>
    <row r="1516" spans="2:40" ht="18" customHeight="1" x14ac:dyDescent="0.25">
      <c r="B1516" s="61"/>
      <c r="C1516" s="214" t="s">
        <v>698</v>
      </c>
      <c r="D1516" s="215"/>
      <c r="E1516" s="216"/>
      <c r="F1516" s="62"/>
      <c r="G1516" s="214" t="s">
        <v>1626</v>
      </c>
      <c r="H1516" s="215"/>
      <c r="I1516" s="216"/>
      <c r="J1516" s="63"/>
      <c r="L1516" s="61"/>
      <c r="M1516" s="214" t="s">
        <v>698</v>
      </c>
      <c r="N1516" s="215"/>
      <c r="O1516" s="216"/>
      <c r="P1516" s="62"/>
      <c r="Q1516" s="214" t="s">
        <v>1616</v>
      </c>
      <c r="R1516" s="215"/>
      <c r="S1516" s="216"/>
      <c r="T1516" s="63"/>
      <c r="V1516" s="61"/>
      <c r="W1516" s="214" t="s">
        <v>698</v>
      </c>
      <c r="X1516" s="215"/>
      <c r="Y1516" s="216"/>
      <c r="Z1516" s="62"/>
      <c r="AA1516" s="214" t="s">
        <v>859</v>
      </c>
      <c r="AB1516" s="215"/>
      <c r="AC1516" s="216"/>
      <c r="AD1516" s="63"/>
      <c r="AF1516" s="61"/>
      <c r="AG1516" s="214" t="s">
        <v>698</v>
      </c>
      <c r="AH1516" s="215"/>
      <c r="AI1516" s="216"/>
      <c r="AJ1516" s="62"/>
      <c r="AK1516" s="214" t="s">
        <v>860</v>
      </c>
      <c r="AL1516" s="215"/>
      <c r="AM1516" s="216"/>
      <c r="AN1516" s="63"/>
    </row>
    <row r="1517" spans="2:40" ht="6.95" customHeight="1" x14ac:dyDescent="0.25">
      <c r="B1517" s="59"/>
      <c r="C1517" s="62"/>
      <c r="D1517" s="62"/>
      <c r="E1517" s="62"/>
      <c r="F1517" s="62"/>
      <c r="G1517" s="62"/>
      <c r="H1517" s="62"/>
      <c r="I1517" s="62"/>
      <c r="J1517" s="60"/>
      <c r="L1517" s="59"/>
      <c r="M1517" s="62"/>
      <c r="N1517" s="62"/>
      <c r="O1517" s="62"/>
      <c r="P1517" s="62"/>
      <c r="Q1517" s="62"/>
      <c r="R1517" s="62"/>
      <c r="S1517" s="62"/>
      <c r="T1517" s="60"/>
      <c r="V1517" s="59"/>
      <c r="W1517" s="62"/>
      <c r="X1517" s="62"/>
      <c r="Y1517" s="62"/>
      <c r="Z1517" s="62"/>
      <c r="AA1517" s="62"/>
      <c r="AB1517" s="62"/>
      <c r="AC1517" s="62"/>
      <c r="AD1517" s="60"/>
      <c r="AF1517" s="59"/>
      <c r="AG1517" s="62"/>
      <c r="AH1517" s="62"/>
      <c r="AI1517" s="62"/>
      <c r="AJ1517" s="62"/>
      <c r="AK1517" s="62"/>
      <c r="AL1517" s="62"/>
      <c r="AM1517" s="62"/>
      <c r="AN1517" s="60"/>
    </row>
    <row r="1518" spans="2:40" ht="18" customHeight="1" x14ac:dyDescent="0.25">
      <c r="B1518" s="61"/>
      <c r="C1518" s="214" t="s">
        <v>699</v>
      </c>
      <c r="D1518" s="215"/>
      <c r="E1518" s="216"/>
      <c r="F1518" s="62"/>
      <c r="G1518" s="214" t="s">
        <v>1639</v>
      </c>
      <c r="H1518" s="215"/>
      <c r="I1518" s="216"/>
      <c r="J1518" s="63"/>
      <c r="L1518" s="61"/>
      <c r="M1518" s="214" t="s">
        <v>699</v>
      </c>
      <c r="N1518" s="215"/>
      <c r="O1518" s="216"/>
      <c r="P1518" s="62"/>
      <c r="Q1518" s="214" t="s">
        <v>1639</v>
      </c>
      <c r="R1518" s="215"/>
      <c r="S1518" s="216"/>
      <c r="T1518" s="63"/>
      <c r="V1518" s="61"/>
      <c r="W1518" s="214" t="s">
        <v>699</v>
      </c>
      <c r="X1518" s="215"/>
      <c r="Y1518" s="216"/>
      <c r="Z1518" s="62"/>
      <c r="AA1518" s="214" t="s">
        <v>1639</v>
      </c>
      <c r="AB1518" s="215"/>
      <c r="AC1518" s="216"/>
      <c r="AD1518" s="63"/>
      <c r="AF1518" s="61"/>
      <c r="AG1518" s="214" t="s">
        <v>699</v>
      </c>
      <c r="AH1518" s="215"/>
      <c r="AI1518" s="216"/>
      <c r="AJ1518" s="62"/>
      <c r="AK1518" s="214" t="s">
        <v>1639</v>
      </c>
      <c r="AL1518" s="215"/>
      <c r="AM1518" s="216"/>
      <c r="AN1518" s="63"/>
    </row>
    <row r="1519" spans="2:40" ht="6.95" customHeight="1" x14ac:dyDescent="0.25">
      <c r="B1519" s="59"/>
      <c r="C1519" s="62"/>
      <c r="D1519" s="62"/>
      <c r="E1519" s="62"/>
      <c r="F1519" s="62"/>
      <c r="G1519" s="62"/>
      <c r="H1519" s="62"/>
      <c r="I1519" s="62"/>
      <c r="J1519" s="60"/>
      <c r="L1519" s="59"/>
      <c r="M1519" s="62"/>
      <c r="N1519" s="62"/>
      <c r="O1519" s="62"/>
      <c r="P1519" s="62"/>
      <c r="Q1519" s="62"/>
      <c r="R1519" s="62"/>
      <c r="S1519" s="62"/>
      <c r="T1519" s="60"/>
      <c r="V1519" s="59"/>
      <c r="W1519" s="62"/>
      <c r="X1519" s="62"/>
      <c r="Y1519" s="62"/>
      <c r="Z1519" s="62"/>
      <c r="AA1519" s="62"/>
      <c r="AB1519" s="62"/>
      <c r="AC1519" s="62"/>
      <c r="AD1519" s="60"/>
      <c r="AF1519" s="59"/>
      <c r="AG1519" s="62"/>
      <c r="AH1519" s="62"/>
      <c r="AI1519" s="62"/>
      <c r="AJ1519" s="62"/>
      <c r="AK1519" s="62"/>
      <c r="AL1519" s="62"/>
      <c r="AM1519" s="62"/>
      <c r="AN1519" s="60"/>
    </row>
    <row r="1520" spans="2:40" ht="18" customHeight="1" x14ac:dyDescent="0.25">
      <c r="B1520" s="61"/>
      <c r="C1520" s="214" t="s">
        <v>701</v>
      </c>
      <c r="D1520" s="215"/>
      <c r="E1520" s="216"/>
      <c r="F1520" s="62"/>
      <c r="G1520" s="214" t="s">
        <v>1627</v>
      </c>
      <c r="H1520" s="215"/>
      <c r="I1520" s="216"/>
      <c r="J1520" s="63"/>
      <c r="L1520" s="61"/>
      <c r="M1520" s="214" t="s">
        <v>701</v>
      </c>
      <c r="N1520" s="215"/>
      <c r="O1520" s="216"/>
      <c r="P1520" s="62"/>
      <c r="Q1520" s="214" t="s">
        <v>1619</v>
      </c>
      <c r="R1520" s="215"/>
      <c r="S1520" s="216"/>
      <c r="T1520" s="63"/>
      <c r="V1520" s="61"/>
      <c r="W1520" s="214" t="s">
        <v>701</v>
      </c>
      <c r="X1520" s="215"/>
      <c r="Y1520" s="216"/>
      <c r="Z1520" s="62"/>
      <c r="AA1520" s="214" t="s">
        <v>1628</v>
      </c>
      <c r="AB1520" s="215"/>
      <c r="AC1520" s="216"/>
      <c r="AD1520" s="63"/>
      <c r="AF1520" s="61"/>
      <c r="AG1520" s="214" t="s">
        <v>701</v>
      </c>
      <c r="AH1520" s="215"/>
      <c r="AI1520" s="216"/>
      <c r="AJ1520" s="62"/>
      <c r="AK1520" s="214" t="s">
        <v>1628</v>
      </c>
      <c r="AL1520" s="215"/>
      <c r="AM1520" s="216"/>
      <c r="AN1520" s="63"/>
    </row>
    <row r="1521" spans="2:40" ht="6.95" customHeight="1" x14ac:dyDescent="0.25">
      <c r="B1521" s="59"/>
      <c r="C1521" s="62"/>
      <c r="D1521" s="62"/>
      <c r="E1521" s="62"/>
      <c r="F1521" s="62"/>
      <c r="G1521" s="62"/>
      <c r="H1521" s="62"/>
      <c r="I1521" s="62"/>
      <c r="J1521" s="60"/>
      <c r="L1521" s="59"/>
      <c r="M1521" s="62"/>
      <c r="N1521" s="62"/>
      <c r="O1521" s="62"/>
      <c r="P1521" s="62"/>
      <c r="Q1521" s="62"/>
      <c r="R1521" s="62"/>
      <c r="S1521" s="62"/>
      <c r="T1521" s="60"/>
      <c r="V1521" s="59"/>
      <c r="W1521" s="62"/>
      <c r="X1521" s="62"/>
      <c r="Y1521" s="62"/>
      <c r="Z1521" s="62"/>
      <c r="AA1521" s="62"/>
      <c r="AB1521" s="62"/>
      <c r="AC1521" s="62"/>
      <c r="AD1521" s="60"/>
      <c r="AF1521" s="59"/>
      <c r="AG1521" s="62"/>
      <c r="AH1521" s="62"/>
      <c r="AI1521" s="62"/>
      <c r="AJ1521" s="62"/>
      <c r="AK1521" s="62"/>
      <c r="AL1521" s="62"/>
      <c r="AM1521" s="62"/>
      <c r="AN1521" s="60"/>
    </row>
    <row r="1522" spans="2:40" ht="18" customHeight="1" x14ac:dyDescent="0.25">
      <c r="B1522" s="61"/>
      <c r="C1522" s="214" t="s">
        <v>703</v>
      </c>
      <c r="D1522" s="215"/>
      <c r="E1522" s="216"/>
      <c r="F1522" s="62"/>
      <c r="G1522" s="214" t="s">
        <v>109</v>
      </c>
      <c r="H1522" s="215"/>
      <c r="I1522" s="216"/>
      <c r="J1522" s="63"/>
      <c r="L1522" s="61"/>
      <c r="M1522" s="214" t="s">
        <v>703</v>
      </c>
      <c r="N1522" s="215"/>
      <c r="O1522" s="216"/>
      <c r="P1522" s="62"/>
      <c r="Q1522" s="214" t="s">
        <v>109</v>
      </c>
      <c r="R1522" s="215"/>
      <c r="S1522" s="216"/>
      <c r="T1522" s="63"/>
      <c r="V1522" s="61"/>
      <c r="W1522" s="214" t="s">
        <v>703</v>
      </c>
      <c r="X1522" s="215"/>
      <c r="Y1522" s="216"/>
      <c r="Z1522" s="62"/>
      <c r="AA1522" s="214" t="s">
        <v>109</v>
      </c>
      <c r="AB1522" s="215"/>
      <c r="AC1522" s="216"/>
      <c r="AD1522" s="63"/>
      <c r="AF1522" s="61"/>
      <c r="AG1522" s="214" t="s">
        <v>703</v>
      </c>
      <c r="AH1522" s="215"/>
      <c r="AI1522" s="216"/>
      <c r="AJ1522" s="62"/>
      <c r="AK1522" s="214" t="s">
        <v>109</v>
      </c>
      <c r="AL1522" s="215"/>
      <c r="AM1522" s="216"/>
      <c r="AN1522" s="63"/>
    </row>
    <row r="1523" spans="2:40" ht="6.95" customHeight="1" x14ac:dyDescent="0.25">
      <c r="B1523" s="59"/>
      <c r="C1523" s="62"/>
      <c r="D1523" s="62"/>
      <c r="E1523" s="62"/>
      <c r="F1523" s="62"/>
      <c r="G1523" s="62"/>
      <c r="H1523" s="62"/>
      <c r="I1523" s="62"/>
      <c r="J1523" s="60"/>
      <c r="L1523" s="59"/>
      <c r="M1523" s="62"/>
      <c r="N1523" s="62"/>
      <c r="O1523" s="62"/>
      <c r="P1523" s="62"/>
      <c r="Q1523" s="62"/>
      <c r="R1523" s="62"/>
      <c r="S1523" s="62"/>
      <c r="T1523" s="60"/>
      <c r="V1523" s="59"/>
      <c r="W1523" s="62"/>
      <c r="X1523" s="62"/>
      <c r="Y1523" s="62"/>
      <c r="Z1523" s="62"/>
      <c r="AA1523" s="62"/>
      <c r="AB1523" s="62"/>
      <c r="AC1523" s="62"/>
      <c r="AD1523" s="60"/>
      <c r="AF1523" s="59"/>
      <c r="AG1523" s="62"/>
      <c r="AH1523" s="62"/>
      <c r="AI1523" s="62"/>
      <c r="AJ1523" s="62"/>
      <c r="AK1523" s="62"/>
      <c r="AL1523" s="62"/>
      <c r="AM1523" s="62"/>
      <c r="AN1523" s="60"/>
    </row>
    <row r="1524" spans="2:40" ht="18" customHeight="1" x14ac:dyDescent="0.25">
      <c r="B1524" s="61"/>
      <c r="C1524" s="214" t="s">
        <v>705</v>
      </c>
      <c r="D1524" s="215"/>
      <c r="E1524" s="216"/>
      <c r="F1524" s="62"/>
      <c r="G1524" s="214" t="s">
        <v>109</v>
      </c>
      <c r="H1524" s="215"/>
      <c r="I1524" s="216"/>
      <c r="J1524" s="63"/>
      <c r="L1524" s="61"/>
      <c r="M1524" s="214" t="s">
        <v>705</v>
      </c>
      <c r="N1524" s="215"/>
      <c r="O1524" s="216"/>
      <c r="P1524" s="62"/>
      <c r="Q1524" s="214" t="s">
        <v>109</v>
      </c>
      <c r="R1524" s="215"/>
      <c r="S1524" s="216"/>
      <c r="T1524" s="63"/>
      <c r="V1524" s="61"/>
      <c r="W1524" s="214" t="s">
        <v>705</v>
      </c>
      <c r="X1524" s="215"/>
      <c r="Y1524" s="216"/>
      <c r="Z1524" s="62"/>
      <c r="AA1524" s="214" t="s">
        <v>109</v>
      </c>
      <c r="AB1524" s="215"/>
      <c r="AC1524" s="216"/>
      <c r="AD1524" s="63"/>
      <c r="AF1524" s="61"/>
      <c r="AG1524" s="214" t="s">
        <v>705</v>
      </c>
      <c r="AH1524" s="215"/>
      <c r="AI1524" s="216"/>
      <c r="AJ1524" s="62"/>
      <c r="AK1524" s="214" t="s">
        <v>109</v>
      </c>
      <c r="AL1524" s="215"/>
      <c r="AM1524" s="216"/>
      <c r="AN1524" s="63"/>
    </row>
    <row r="1525" spans="2:40" ht="6.95" customHeight="1" x14ac:dyDescent="0.25">
      <c r="B1525" s="59"/>
      <c r="C1525" s="62"/>
      <c r="D1525" s="62"/>
      <c r="E1525" s="62"/>
      <c r="F1525" s="62"/>
      <c r="G1525" s="62"/>
      <c r="H1525" s="62"/>
      <c r="I1525" s="62"/>
      <c r="J1525" s="60"/>
      <c r="L1525" s="59"/>
      <c r="M1525" s="62"/>
      <c r="N1525" s="62"/>
      <c r="O1525" s="62"/>
      <c r="P1525" s="62"/>
      <c r="Q1525" s="62"/>
      <c r="R1525" s="62"/>
      <c r="S1525" s="62"/>
      <c r="T1525" s="60"/>
      <c r="V1525" s="59"/>
      <c r="W1525" s="62"/>
      <c r="X1525" s="62"/>
      <c r="Y1525" s="62"/>
      <c r="Z1525" s="62"/>
      <c r="AA1525" s="62"/>
      <c r="AB1525" s="62"/>
      <c r="AC1525" s="62"/>
      <c r="AD1525" s="60"/>
      <c r="AF1525" s="59"/>
      <c r="AG1525" s="62"/>
      <c r="AH1525" s="62"/>
      <c r="AI1525" s="62"/>
      <c r="AJ1525" s="62"/>
      <c r="AK1525" s="62"/>
      <c r="AL1525" s="62"/>
      <c r="AM1525" s="62"/>
      <c r="AN1525" s="60"/>
    </row>
    <row r="1526" spans="2:40" ht="18" customHeight="1" x14ac:dyDescent="0.25">
      <c r="B1526" s="61"/>
      <c r="C1526" s="214" t="s">
        <v>708</v>
      </c>
      <c r="D1526" s="215"/>
      <c r="E1526" s="216"/>
      <c r="F1526" s="62"/>
      <c r="G1526" s="214" t="s">
        <v>109</v>
      </c>
      <c r="H1526" s="215"/>
      <c r="I1526" s="216"/>
      <c r="J1526" s="63"/>
      <c r="L1526" s="61"/>
      <c r="M1526" s="214" t="s">
        <v>708</v>
      </c>
      <c r="N1526" s="215"/>
      <c r="O1526" s="216"/>
      <c r="P1526" s="62"/>
      <c r="Q1526" s="214" t="s">
        <v>109</v>
      </c>
      <c r="R1526" s="215"/>
      <c r="S1526" s="216"/>
      <c r="T1526" s="63"/>
      <c r="V1526" s="61"/>
      <c r="W1526" s="214" t="s">
        <v>708</v>
      </c>
      <c r="X1526" s="215"/>
      <c r="Y1526" s="216"/>
      <c r="Z1526" s="62"/>
      <c r="AA1526" s="214" t="s">
        <v>109</v>
      </c>
      <c r="AB1526" s="215"/>
      <c r="AC1526" s="216"/>
      <c r="AD1526" s="63"/>
      <c r="AF1526" s="61"/>
      <c r="AG1526" s="214" t="s">
        <v>708</v>
      </c>
      <c r="AH1526" s="215"/>
      <c r="AI1526" s="216"/>
      <c r="AJ1526" s="62"/>
      <c r="AK1526" s="214" t="s">
        <v>109</v>
      </c>
      <c r="AL1526" s="215"/>
      <c r="AM1526" s="216"/>
      <c r="AN1526" s="63"/>
    </row>
    <row r="1527" spans="2:40" ht="6.95" customHeight="1" x14ac:dyDescent="0.25">
      <c r="B1527" s="59"/>
      <c r="C1527" s="62"/>
      <c r="D1527" s="62"/>
      <c r="E1527" s="62"/>
      <c r="F1527" s="62"/>
      <c r="G1527" s="62"/>
      <c r="H1527" s="62"/>
      <c r="I1527" s="62"/>
      <c r="J1527" s="60"/>
      <c r="L1527" s="59"/>
      <c r="M1527" s="62"/>
      <c r="N1527" s="62"/>
      <c r="O1527" s="62"/>
      <c r="P1527" s="62"/>
      <c r="Q1527" s="62"/>
      <c r="R1527" s="62"/>
      <c r="S1527" s="62"/>
      <c r="T1527" s="60"/>
      <c r="V1527" s="59"/>
      <c r="W1527" s="62"/>
      <c r="X1527" s="62"/>
      <c r="Y1527" s="62"/>
      <c r="Z1527" s="62"/>
      <c r="AA1527" s="62"/>
      <c r="AB1527" s="62"/>
      <c r="AC1527" s="62"/>
      <c r="AD1527" s="60"/>
      <c r="AF1527" s="59"/>
      <c r="AG1527" s="62"/>
      <c r="AH1527" s="62"/>
      <c r="AI1527" s="62"/>
      <c r="AJ1527" s="62"/>
      <c r="AK1527" s="62"/>
      <c r="AL1527" s="62"/>
      <c r="AM1527" s="62"/>
      <c r="AN1527" s="60"/>
    </row>
    <row r="1528" spans="2:40" ht="18" customHeight="1" x14ac:dyDescent="0.25">
      <c r="B1528" s="61"/>
      <c r="C1528" s="214" t="s">
        <v>711</v>
      </c>
      <c r="D1528" s="215"/>
      <c r="E1528" s="216"/>
      <c r="F1528" s="62"/>
      <c r="G1528" s="214" t="s">
        <v>712</v>
      </c>
      <c r="H1528" s="215"/>
      <c r="I1528" s="216"/>
      <c r="J1528" s="63"/>
      <c r="L1528" s="61"/>
      <c r="M1528" s="214" t="s">
        <v>711</v>
      </c>
      <c r="N1528" s="215"/>
      <c r="O1528" s="216"/>
      <c r="P1528" s="62"/>
      <c r="Q1528" s="214" t="s">
        <v>712</v>
      </c>
      <c r="R1528" s="215"/>
      <c r="S1528" s="216"/>
      <c r="T1528" s="63"/>
      <c r="V1528" s="61"/>
      <c r="W1528" s="214" t="s">
        <v>711</v>
      </c>
      <c r="X1528" s="215"/>
      <c r="Y1528" s="216"/>
      <c r="Z1528" s="62"/>
      <c r="AA1528" s="214" t="s">
        <v>712</v>
      </c>
      <c r="AB1528" s="215"/>
      <c r="AC1528" s="216"/>
      <c r="AD1528" s="63"/>
      <c r="AF1528" s="61"/>
      <c r="AG1528" s="214" t="s">
        <v>711</v>
      </c>
      <c r="AH1528" s="215"/>
      <c r="AI1528" s="216"/>
      <c r="AJ1528" s="62"/>
      <c r="AK1528" s="214" t="s">
        <v>712</v>
      </c>
      <c r="AL1528" s="215"/>
      <c r="AM1528" s="216"/>
      <c r="AN1528" s="63"/>
    </row>
    <row r="1529" spans="2:40" ht="6.95" customHeight="1" x14ac:dyDescent="0.25">
      <c r="B1529" s="59"/>
      <c r="C1529" s="62"/>
      <c r="D1529" s="62"/>
      <c r="E1529" s="62"/>
      <c r="F1529" s="62"/>
      <c r="G1529" s="62"/>
      <c r="H1529" s="62"/>
      <c r="I1529" s="62"/>
      <c r="J1529" s="60"/>
      <c r="L1529" s="59"/>
      <c r="M1529" s="62"/>
      <c r="N1529" s="62"/>
      <c r="O1529" s="62"/>
      <c r="P1529" s="62"/>
      <c r="Q1529" s="62"/>
      <c r="R1529" s="62"/>
      <c r="S1529" s="62"/>
      <c r="T1529" s="60"/>
      <c r="V1529" s="59"/>
      <c r="W1529" s="62"/>
      <c r="X1529" s="62"/>
      <c r="Y1529" s="62"/>
      <c r="Z1529" s="62"/>
      <c r="AA1529" s="62"/>
      <c r="AB1529" s="62"/>
      <c r="AC1529" s="62"/>
      <c r="AD1529" s="60"/>
      <c r="AF1529" s="59"/>
      <c r="AG1529" s="62"/>
      <c r="AH1529" s="62"/>
      <c r="AI1529" s="62"/>
      <c r="AJ1529" s="62"/>
      <c r="AK1529" s="62"/>
      <c r="AL1529" s="62"/>
      <c r="AM1529" s="62"/>
      <c r="AN1529" s="60"/>
    </row>
    <row r="1530" spans="2:40" ht="18" customHeight="1" x14ac:dyDescent="0.25">
      <c r="B1530" s="61"/>
      <c r="C1530" s="214" t="s">
        <v>1273</v>
      </c>
      <c r="D1530" s="215"/>
      <c r="E1530" s="216"/>
      <c r="F1530" s="62"/>
      <c r="G1530" s="214" t="s">
        <v>1629</v>
      </c>
      <c r="H1530" s="215"/>
      <c r="I1530" s="216"/>
      <c r="J1530" s="63"/>
      <c r="L1530" s="61"/>
      <c r="M1530" s="214" t="s">
        <v>1273</v>
      </c>
      <c r="N1530" s="215"/>
      <c r="O1530" s="216"/>
      <c r="P1530" s="62"/>
      <c r="Q1530" s="214" t="s">
        <v>1630</v>
      </c>
      <c r="R1530" s="215"/>
      <c r="S1530" s="216"/>
      <c r="T1530" s="63"/>
      <c r="V1530" s="61"/>
      <c r="W1530" s="214" t="s">
        <v>1273</v>
      </c>
      <c r="X1530" s="215"/>
      <c r="Y1530" s="216"/>
      <c r="Z1530" s="62"/>
      <c r="AA1530" s="214" t="s">
        <v>1631</v>
      </c>
      <c r="AB1530" s="215"/>
      <c r="AC1530" s="216"/>
      <c r="AD1530" s="63"/>
      <c r="AF1530" s="61"/>
      <c r="AG1530" s="214" t="s">
        <v>1273</v>
      </c>
      <c r="AH1530" s="215"/>
      <c r="AI1530" s="216"/>
      <c r="AJ1530" s="62"/>
      <c r="AK1530" s="214" t="s">
        <v>1632</v>
      </c>
      <c r="AL1530" s="215"/>
      <c r="AM1530" s="216"/>
      <c r="AN1530" s="63"/>
    </row>
    <row r="1531" spans="2:40" ht="6.95" customHeight="1" x14ac:dyDescent="0.25">
      <c r="B1531" s="59"/>
      <c r="C1531" s="62"/>
      <c r="D1531" s="62"/>
      <c r="E1531" s="62"/>
      <c r="F1531" s="62"/>
      <c r="G1531" s="62"/>
      <c r="H1531" s="62"/>
      <c r="I1531" s="62"/>
      <c r="J1531" s="60"/>
      <c r="L1531" s="59"/>
      <c r="M1531" s="62"/>
      <c r="N1531" s="62"/>
      <c r="O1531" s="62"/>
      <c r="P1531" s="62"/>
      <c r="Q1531" s="62"/>
      <c r="R1531" s="62"/>
      <c r="S1531" s="62"/>
      <c r="T1531" s="60"/>
      <c r="V1531" s="59"/>
      <c r="W1531" s="62"/>
      <c r="X1531" s="62"/>
      <c r="Y1531" s="62"/>
      <c r="Z1531" s="62"/>
      <c r="AA1531" s="62"/>
      <c r="AB1531" s="62"/>
      <c r="AC1531" s="62"/>
      <c r="AD1531" s="60"/>
      <c r="AF1531" s="59"/>
      <c r="AG1531" s="62"/>
      <c r="AH1531" s="62"/>
      <c r="AI1531" s="62"/>
      <c r="AJ1531" s="62"/>
      <c r="AK1531" s="62"/>
      <c r="AL1531" s="62"/>
      <c r="AM1531" s="62"/>
      <c r="AN1531" s="60"/>
    </row>
    <row r="1532" spans="2:40" ht="18" customHeight="1" x14ac:dyDescent="0.25">
      <c r="B1532" s="61"/>
      <c r="C1532" s="214" t="s">
        <v>713</v>
      </c>
      <c r="D1532" s="215"/>
      <c r="E1532" s="216"/>
      <c r="F1532" s="62"/>
      <c r="G1532" s="220" t="s">
        <v>1293</v>
      </c>
      <c r="H1532" s="220"/>
      <c r="I1532" s="220"/>
      <c r="J1532" s="63"/>
      <c r="L1532" s="61"/>
      <c r="M1532" s="214" t="s">
        <v>713</v>
      </c>
      <c r="N1532" s="215"/>
      <c r="O1532" s="216"/>
      <c r="P1532" s="62"/>
      <c r="Q1532" s="220" t="s">
        <v>1293</v>
      </c>
      <c r="R1532" s="220"/>
      <c r="S1532" s="220"/>
      <c r="T1532" s="63"/>
      <c r="V1532" s="61"/>
      <c r="W1532" s="214" t="s">
        <v>713</v>
      </c>
      <c r="X1532" s="215"/>
      <c r="Y1532" s="216"/>
      <c r="Z1532" s="62"/>
      <c r="AA1532" s="220" t="s">
        <v>714</v>
      </c>
      <c r="AB1532" s="220"/>
      <c r="AC1532" s="220"/>
      <c r="AD1532" s="63"/>
      <c r="AF1532" s="61"/>
      <c r="AG1532" s="214" t="s">
        <v>713</v>
      </c>
      <c r="AH1532" s="215"/>
      <c r="AI1532" s="216"/>
      <c r="AJ1532" s="62"/>
      <c r="AK1532" s="214" t="s">
        <v>714</v>
      </c>
      <c r="AL1532" s="215"/>
      <c r="AM1532" s="216"/>
      <c r="AN1532" s="63"/>
    </row>
    <row r="1533" spans="2:40" ht="6.95" customHeight="1" x14ac:dyDescent="0.25">
      <c r="B1533" s="59"/>
      <c r="C1533" s="128"/>
      <c r="D1533" s="128"/>
      <c r="E1533" s="128"/>
      <c r="F1533" s="62"/>
      <c r="G1533" s="128"/>
      <c r="H1533" s="128"/>
      <c r="I1533" s="128"/>
      <c r="J1533" s="63"/>
      <c r="L1533" s="59"/>
      <c r="M1533" s="128"/>
      <c r="N1533" s="128"/>
      <c r="O1533" s="128"/>
      <c r="P1533" s="62"/>
      <c r="Q1533" s="128"/>
      <c r="R1533" s="128"/>
      <c r="S1533" s="128"/>
      <c r="T1533" s="63"/>
      <c r="V1533" s="59"/>
      <c r="W1533" s="128"/>
      <c r="X1533" s="128"/>
      <c r="Y1533" s="128"/>
      <c r="Z1533" s="62"/>
      <c r="AA1533" s="128"/>
      <c r="AB1533" s="128"/>
      <c r="AC1533" s="128"/>
      <c r="AD1533" s="63"/>
      <c r="AF1533" s="59"/>
      <c r="AG1533" s="128"/>
      <c r="AH1533" s="128"/>
      <c r="AI1533" s="128"/>
      <c r="AJ1533" s="62"/>
      <c r="AK1533" s="128"/>
      <c r="AL1533" s="128"/>
      <c r="AM1533" s="128"/>
      <c r="AN1533" s="63"/>
    </row>
    <row r="1534" spans="2:40" ht="18" customHeight="1" x14ac:dyDescent="0.25">
      <c r="B1534" s="59"/>
      <c r="C1534" s="220" t="s">
        <v>715</v>
      </c>
      <c r="D1534" s="220"/>
      <c r="E1534" s="220"/>
      <c r="F1534" s="62"/>
      <c r="G1534" s="220" t="s">
        <v>1270</v>
      </c>
      <c r="H1534" s="220"/>
      <c r="I1534" s="220"/>
      <c r="J1534" s="63"/>
      <c r="L1534" s="59"/>
      <c r="M1534" s="220" t="s">
        <v>715</v>
      </c>
      <c r="N1534" s="220"/>
      <c r="O1534" s="220"/>
      <c r="P1534" s="62"/>
      <c r="Q1534" s="220" t="s">
        <v>1270</v>
      </c>
      <c r="R1534" s="220"/>
      <c r="S1534" s="220"/>
      <c r="T1534" s="63"/>
      <c r="V1534" s="59"/>
      <c r="W1534" s="220" t="s">
        <v>715</v>
      </c>
      <c r="X1534" s="220"/>
      <c r="Y1534" s="220"/>
      <c r="Z1534" s="62"/>
      <c r="AA1534" s="220" t="s">
        <v>1633</v>
      </c>
      <c r="AB1534" s="220"/>
      <c r="AC1534" s="220"/>
      <c r="AD1534" s="63"/>
      <c r="AF1534" s="59"/>
      <c r="AG1534" s="214" t="s">
        <v>715</v>
      </c>
      <c r="AH1534" s="215"/>
      <c r="AI1534" s="216"/>
      <c r="AJ1534" s="62"/>
      <c r="AK1534" s="214" t="s">
        <v>1633</v>
      </c>
      <c r="AL1534" s="215"/>
      <c r="AM1534" s="216"/>
      <c r="AN1534" s="63"/>
    </row>
    <row r="1535" spans="2:40" ht="6.95" customHeight="1" thickBot="1" x14ac:dyDescent="0.3">
      <c r="B1535" s="64"/>
      <c r="C1535" s="65"/>
      <c r="D1535" s="65"/>
      <c r="E1535" s="65"/>
      <c r="F1535" s="65"/>
      <c r="G1535" s="65"/>
      <c r="H1535" s="65"/>
      <c r="I1535" s="65"/>
      <c r="J1535" s="66"/>
      <c r="L1535" s="64"/>
      <c r="M1535" s="65"/>
      <c r="N1535" s="65"/>
      <c r="O1535" s="65"/>
      <c r="P1535" s="65"/>
      <c r="Q1535" s="65"/>
      <c r="R1535" s="65"/>
      <c r="S1535" s="65"/>
      <c r="T1535" s="66"/>
      <c r="V1535" s="64"/>
      <c r="W1535" s="65"/>
      <c r="X1535" s="65"/>
      <c r="Y1535" s="65"/>
      <c r="Z1535" s="65"/>
      <c r="AA1535" s="65"/>
      <c r="AB1535" s="65"/>
      <c r="AC1535" s="65"/>
      <c r="AD1535" s="66"/>
      <c r="AF1535" s="64"/>
      <c r="AG1535" s="65"/>
      <c r="AH1535" s="65"/>
      <c r="AI1535" s="65"/>
      <c r="AJ1535" s="65"/>
      <c r="AK1535" s="65"/>
      <c r="AL1535" s="65"/>
      <c r="AM1535" s="65"/>
      <c r="AN1535" s="66"/>
    </row>
    <row r="1536" spans="2:40" ht="32.1" customHeight="1" thickTop="1" x14ac:dyDescent="0.25">
      <c r="B1536" s="57"/>
      <c r="C1536" s="58"/>
      <c r="D1536" s="217" t="s">
        <v>697</v>
      </c>
      <c r="E1536" s="218"/>
      <c r="F1536" s="218"/>
      <c r="G1536" s="218"/>
      <c r="H1536" s="218"/>
      <c r="I1536" s="218"/>
      <c r="J1536" s="219"/>
      <c r="L1536" s="57"/>
      <c r="M1536" s="58"/>
      <c r="N1536" s="217" t="s">
        <v>697</v>
      </c>
      <c r="O1536" s="218"/>
      <c r="P1536" s="218"/>
      <c r="Q1536" s="218"/>
      <c r="R1536" s="218"/>
      <c r="S1536" s="218"/>
      <c r="T1536" s="219"/>
      <c r="V1536" s="57"/>
      <c r="W1536" s="58"/>
      <c r="X1536" s="217" t="s">
        <v>697</v>
      </c>
      <c r="Y1536" s="218"/>
      <c r="Z1536" s="218"/>
      <c r="AA1536" s="218"/>
      <c r="AB1536" s="218"/>
      <c r="AC1536" s="218"/>
      <c r="AD1536" s="219"/>
      <c r="AF1536" s="57"/>
      <c r="AG1536" s="58"/>
      <c r="AH1536" s="217" t="s">
        <v>697</v>
      </c>
      <c r="AI1536" s="218"/>
      <c r="AJ1536" s="218"/>
      <c r="AK1536" s="218"/>
      <c r="AL1536" s="218"/>
      <c r="AM1536" s="218"/>
      <c r="AN1536" s="219"/>
    </row>
    <row r="1537" spans="2:40" ht="6.95" customHeight="1" x14ac:dyDescent="0.25">
      <c r="B1537" s="59"/>
      <c r="J1537" s="60"/>
      <c r="L1537" s="59"/>
      <c r="T1537" s="60"/>
      <c r="V1537" s="59"/>
      <c r="AD1537" s="60"/>
      <c r="AF1537" s="59"/>
      <c r="AN1537" s="60"/>
    </row>
    <row r="1538" spans="2:40" ht="18" customHeight="1" x14ac:dyDescent="0.25">
      <c r="B1538" s="61"/>
      <c r="C1538" s="214" t="s">
        <v>698</v>
      </c>
      <c r="D1538" s="215"/>
      <c r="E1538" s="216"/>
      <c r="F1538" s="62"/>
      <c r="G1538" s="214" t="s">
        <v>862</v>
      </c>
      <c r="H1538" s="215"/>
      <c r="I1538" s="216"/>
      <c r="J1538" s="63"/>
      <c r="L1538" s="61"/>
      <c r="M1538" s="214" t="s">
        <v>698</v>
      </c>
      <c r="N1538" s="215"/>
      <c r="O1538" s="216"/>
      <c r="P1538" s="62"/>
      <c r="Q1538" s="214" t="s">
        <v>871</v>
      </c>
      <c r="R1538" s="215"/>
      <c r="S1538" s="216"/>
      <c r="T1538" s="63"/>
      <c r="V1538" s="61"/>
      <c r="W1538" s="214" t="s">
        <v>698</v>
      </c>
      <c r="X1538" s="215"/>
      <c r="Y1538" s="216"/>
      <c r="Z1538" s="62"/>
      <c r="AA1538" s="214" t="s">
        <v>873</v>
      </c>
      <c r="AB1538" s="215"/>
      <c r="AC1538" s="216"/>
      <c r="AD1538" s="63"/>
      <c r="AF1538" s="61"/>
      <c r="AG1538" s="214" t="s">
        <v>698</v>
      </c>
      <c r="AH1538" s="215"/>
      <c r="AI1538" s="216"/>
      <c r="AJ1538" s="62"/>
      <c r="AK1538" s="214" t="s">
        <v>879</v>
      </c>
      <c r="AL1538" s="215"/>
      <c r="AM1538" s="216"/>
      <c r="AN1538" s="63"/>
    </row>
    <row r="1539" spans="2:40" ht="6.95" customHeight="1" x14ac:dyDescent="0.25">
      <c r="B1539" s="59"/>
      <c r="C1539" s="62"/>
      <c r="D1539" s="62"/>
      <c r="E1539" s="62"/>
      <c r="F1539" s="62"/>
      <c r="G1539" s="62"/>
      <c r="H1539" s="62"/>
      <c r="I1539" s="62"/>
      <c r="J1539" s="60"/>
      <c r="L1539" s="59"/>
      <c r="M1539" s="62"/>
      <c r="N1539" s="62"/>
      <c r="O1539" s="62"/>
      <c r="P1539" s="62"/>
      <c r="Q1539" s="62"/>
      <c r="R1539" s="62"/>
      <c r="S1539" s="62"/>
      <c r="T1539" s="60"/>
      <c r="V1539" s="59"/>
      <c r="W1539" s="62"/>
      <c r="X1539" s="62"/>
      <c r="Y1539" s="62"/>
      <c r="Z1539" s="62"/>
      <c r="AA1539" s="62"/>
      <c r="AB1539" s="62"/>
      <c r="AC1539" s="62"/>
      <c r="AD1539" s="60"/>
      <c r="AF1539" s="59"/>
      <c r="AG1539" s="62"/>
      <c r="AH1539" s="62"/>
      <c r="AI1539" s="62"/>
      <c r="AJ1539" s="62"/>
      <c r="AK1539" s="62"/>
      <c r="AL1539" s="62"/>
      <c r="AM1539" s="62"/>
      <c r="AN1539" s="60"/>
    </row>
    <row r="1540" spans="2:40" ht="18" customHeight="1" x14ac:dyDescent="0.25">
      <c r="B1540" s="61"/>
      <c r="C1540" s="214" t="s">
        <v>699</v>
      </c>
      <c r="D1540" s="215"/>
      <c r="E1540" s="216"/>
      <c r="F1540" s="62"/>
      <c r="G1540" s="214" t="s">
        <v>1639</v>
      </c>
      <c r="H1540" s="215"/>
      <c r="I1540" s="216"/>
      <c r="J1540" s="63"/>
      <c r="L1540" s="61"/>
      <c r="M1540" s="214" t="s">
        <v>699</v>
      </c>
      <c r="N1540" s="215"/>
      <c r="O1540" s="216"/>
      <c r="P1540" s="62"/>
      <c r="Q1540" s="214" t="s">
        <v>1639</v>
      </c>
      <c r="R1540" s="215"/>
      <c r="S1540" s="216"/>
      <c r="T1540" s="63"/>
      <c r="V1540" s="61"/>
      <c r="W1540" s="214" t="s">
        <v>699</v>
      </c>
      <c r="X1540" s="215"/>
      <c r="Y1540" s="216"/>
      <c r="Z1540" s="62"/>
      <c r="AA1540" s="214" t="s">
        <v>1639</v>
      </c>
      <c r="AB1540" s="215"/>
      <c r="AC1540" s="216"/>
      <c r="AD1540" s="63"/>
      <c r="AF1540" s="61"/>
      <c r="AG1540" s="214" t="s">
        <v>699</v>
      </c>
      <c r="AH1540" s="215"/>
      <c r="AI1540" s="216"/>
      <c r="AJ1540" s="62"/>
      <c r="AK1540" s="214" t="s">
        <v>1639</v>
      </c>
      <c r="AL1540" s="215"/>
      <c r="AM1540" s="216"/>
      <c r="AN1540" s="63"/>
    </row>
    <row r="1541" spans="2:40" ht="6.95" customHeight="1" x14ac:dyDescent="0.25">
      <c r="B1541" s="59"/>
      <c r="C1541" s="62"/>
      <c r="D1541" s="62"/>
      <c r="E1541" s="62"/>
      <c r="F1541" s="62"/>
      <c r="G1541" s="62"/>
      <c r="H1541" s="62"/>
      <c r="I1541" s="62"/>
      <c r="J1541" s="60"/>
      <c r="L1541" s="59"/>
      <c r="M1541" s="62"/>
      <c r="N1541" s="62"/>
      <c r="O1541" s="62"/>
      <c r="P1541" s="62"/>
      <c r="Q1541" s="62"/>
      <c r="R1541" s="62"/>
      <c r="S1541" s="62"/>
      <c r="T1541" s="60"/>
      <c r="V1541" s="59"/>
      <c r="W1541" s="62"/>
      <c r="X1541" s="62"/>
      <c r="Y1541" s="62"/>
      <c r="Z1541" s="62"/>
      <c r="AA1541" s="62"/>
      <c r="AB1541" s="62"/>
      <c r="AC1541" s="62"/>
      <c r="AD1541" s="60"/>
      <c r="AF1541" s="59"/>
      <c r="AG1541" s="62"/>
      <c r="AH1541" s="62"/>
      <c r="AI1541" s="62"/>
      <c r="AJ1541" s="62"/>
      <c r="AK1541" s="62"/>
      <c r="AL1541" s="62"/>
      <c r="AM1541" s="62"/>
      <c r="AN1541" s="60"/>
    </row>
    <row r="1542" spans="2:40" ht="18" customHeight="1" x14ac:dyDescent="0.25">
      <c r="B1542" s="61"/>
      <c r="C1542" s="214" t="s">
        <v>701</v>
      </c>
      <c r="D1542" s="215"/>
      <c r="E1542" s="216"/>
      <c r="F1542" s="62"/>
      <c r="G1542" s="214" t="s">
        <v>1628</v>
      </c>
      <c r="H1542" s="215"/>
      <c r="I1542" s="216"/>
      <c r="J1542" s="63"/>
      <c r="L1542" s="61"/>
      <c r="M1542" s="214" t="s">
        <v>701</v>
      </c>
      <c r="N1542" s="215"/>
      <c r="O1542" s="216"/>
      <c r="P1542" s="62"/>
      <c r="Q1542" s="214" t="s">
        <v>729</v>
      </c>
      <c r="R1542" s="215"/>
      <c r="S1542" s="216"/>
      <c r="T1542" s="63"/>
      <c r="V1542" s="61"/>
      <c r="W1542" s="214" t="s">
        <v>701</v>
      </c>
      <c r="X1542" s="215"/>
      <c r="Y1542" s="216"/>
      <c r="Z1542" s="62"/>
      <c r="AA1542" s="214" t="s">
        <v>729</v>
      </c>
      <c r="AB1542" s="215"/>
      <c r="AC1542" s="216"/>
      <c r="AD1542" s="63"/>
      <c r="AF1542" s="61"/>
      <c r="AG1542" s="214" t="s">
        <v>701</v>
      </c>
      <c r="AH1542" s="215"/>
      <c r="AI1542" s="216"/>
      <c r="AJ1542" s="62"/>
      <c r="AK1542" s="214" t="s">
        <v>981</v>
      </c>
      <c r="AL1542" s="215"/>
      <c r="AM1542" s="216"/>
      <c r="AN1542" s="63"/>
    </row>
    <row r="1543" spans="2:40" ht="6.95" customHeight="1" x14ac:dyDescent="0.25">
      <c r="B1543" s="59"/>
      <c r="C1543" s="62"/>
      <c r="D1543" s="62"/>
      <c r="E1543" s="62"/>
      <c r="F1543" s="62"/>
      <c r="G1543" s="62"/>
      <c r="H1543" s="62"/>
      <c r="I1543" s="62"/>
      <c r="J1543" s="60"/>
      <c r="L1543" s="59"/>
      <c r="M1543" s="62"/>
      <c r="N1543" s="62"/>
      <c r="O1543" s="62"/>
      <c r="P1543" s="62"/>
      <c r="Q1543" s="62"/>
      <c r="R1543" s="62"/>
      <c r="S1543" s="62"/>
      <c r="T1543" s="60"/>
      <c r="V1543" s="59"/>
      <c r="W1543" s="62"/>
      <c r="X1543" s="62"/>
      <c r="Y1543" s="62"/>
      <c r="Z1543" s="62"/>
      <c r="AA1543" s="62"/>
      <c r="AB1543" s="62"/>
      <c r="AC1543" s="62"/>
      <c r="AD1543" s="60"/>
      <c r="AF1543" s="59"/>
      <c r="AG1543" s="62"/>
      <c r="AH1543" s="62"/>
      <c r="AI1543" s="62"/>
      <c r="AJ1543" s="62"/>
      <c r="AK1543" s="62"/>
      <c r="AL1543" s="62"/>
      <c r="AM1543" s="62"/>
      <c r="AN1543" s="60"/>
    </row>
    <row r="1544" spans="2:40" ht="18" customHeight="1" x14ac:dyDescent="0.25">
      <c r="B1544" s="61"/>
      <c r="C1544" s="214" t="s">
        <v>703</v>
      </c>
      <c r="D1544" s="215"/>
      <c r="E1544" s="216"/>
      <c r="F1544" s="62"/>
      <c r="G1544" s="214" t="s">
        <v>109</v>
      </c>
      <c r="H1544" s="215"/>
      <c r="I1544" s="216"/>
      <c r="J1544" s="63"/>
      <c r="L1544" s="61"/>
      <c r="M1544" s="214" t="s">
        <v>703</v>
      </c>
      <c r="N1544" s="215"/>
      <c r="O1544" s="216"/>
      <c r="P1544" s="62"/>
      <c r="Q1544" s="214" t="s">
        <v>109</v>
      </c>
      <c r="R1544" s="215"/>
      <c r="S1544" s="216"/>
      <c r="T1544" s="63"/>
      <c r="V1544" s="61"/>
      <c r="W1544" s="214" t="s">
        <v>703</v>
      </c>
      <c r="X1544" s="215"/>
      <c r="Y1544" s="216"/>
      <c r="Z1544" s="62"/>
      <c r="AA1544" s="214" t="s">
        <v>109</v>
      </c>
      <c r="AB1544" s="215"/>
      <c r="AC1544" s="216"/>
      <c r="AD1544" s="63"/>
      <c r="AF1544" s="61"/>
      <c r="AG1544" s="214" t="s">
        <v>703</v>
      </c>
      <c r="AH1544" s="215"/>
      <c r="AI1544" s="216"/>
      <c r="AJ1544" s="62"/>
      <c r="AK1544" s="214" t="s">
        <v>109</v>
      </c>
      <c r="AL1544" s="215"/>
      <c r="AM1544" s="216"/>
      <c r="AN1544" s="63"/>
    </row>
    <row r="1545" spans="2:40" ht="6.95" customHeight="1" x14ac:dyDescent="0.25">
      <c r="B1545" s="59"/>
      <c r="C1545" s="62"/>
      <c r="D1545" s="62"/>
      <c r="E1545" s="62"/>
      <c r="F1545" s="62"/>
      <c r="G1545" s="62"/>
      <c r="H1545" s="62"/>
      <c r="I1545" s="62"/>
      <c r="J1545" s="60"/>
      <c r="L1545" s="59"/>
      <c r="M1545" s="62"/>
      <c r="N1545" s="62"/>
      <c r="O1545" s="62"/>
      <c r="P1545" s="62"/>
      <c r="Q1545" s="62"/>
      <c r="R1545" s="62"/>
      <c r="S1545" s="62"/>
      <c r="T1545" s="60"/>
      <c r="V1545" s="59"/>
      <c r="W1545" s="62"/>
      <c r="X1545" s="62"/>
      <c r="Y1545" s="62"/>
      <c r="Z1545" s="62"/>
      <c r="AA1545" s="62"/>
      <c r="AB1545" s="62"/>
      <c r="AC1545" s="62"/>
      <c r="AD1545" s="60"/>
      <c r="AF1545" s="59"/>
      <c r="AG1545" s="62"/>
      <c r="AH1545" s="62"/>
      <c r="AI1545" s="62"/>
      <c r="AJ1545" s="62"/>
      <c r="AK1545" s="62"/>
      <c r="AL1545" s="62"/>
      <c r="AM1545" s="62"/>
      <c r="AN1545" s="60"/>
    </row>
    <row r="1546" spans="2:40" ht="18" customHeight="1" x14ac:dyDescent="0.25">
      <c r="B1546" s="61"/>
      <c r="C1546" s="214" t="s">
        <v>705</v>
      </c>
      <c r="D1546" s="215"/>
      <c r="E1546" s="216"/>
      <c r="F1546" s="62"/>
      <c r="G1546" s="214" t="s">
        <v>109</v>
      </c>
      <c r="H1546" s="215"/>
      <c r="I1546" s="216"/>
      <c r="J1546" s="63"/>
      <c r="L1546" s="61"/>
      <c r="M1546" s="214" t="s">
        <v>705</v>
      </c>
      <c r="N1546" s="215"/>
      <c r="O1546" s="216"/>
      <c r="P1546" s="62"/>
      <c r="Q1546" s="214" t="s">
        <v>109</v>
      </c>
      <c r="R1546" s="215"/>
      <c r="S1546" s="216"/>
      <c r="T1546" s="63"/>
      <c r="V1546" s="61"/>
      <c r="W1546" s="214" t="s">
        <v>705</v>
      </c>
      <c r="X1546" s="215"/>
      <c r="Y1546" s="216"/>
      <c r="Z1546" s="62"/>
      <c r="AA1546" s="214" t="s">
        <v>109</v>
      </c>
      <c r="AB1546" s="215"/>
      <c r="AC1546" s="216"/>
      <c r="AD1546" s="63"/>
      <c r="AF1546" s="61"/>
      <c r="AG1546" s="214" t="s">
        <v>705</v>
      </c>
      <c r="AH1546" s="215"/>
      <c r="AI1546" s="216"/>
      <c r="AJ1546" s="62"/>
      <c r="AK1546" s="214" t="s">
        <v>109</v>
      </c>
      <c r="AL1546" s="215"/>
      <c r="AM1546" s="216"/>
      <c r="AN1546" s="63"/>
    </row>
    <row r="1547" spans="2:40" ht="6.95" customHeight="1" x14ac:dyDescent="0.25">
      <c r="B1547" s="59"/>
      <c r="C1547" s="62"/>
      <c r="D1547" s="62"/>
      <c r="E1547" s="62"/>
      <c r="F1547" s="62"/>
      <c r="G1547" s="62"/>
      <c r="H1547" s="62"/>
      <c r="I1547" s="62"/>
      <c r="J1547" s="60"/>
      <c r="L1547" s="59"/>
      <c r="M1547" s="62"/>
      <c r="N1547" s="62"/>
      <c r="O1547" s="62"/>
      <c r="P1547" s="62"/>
      <c r="Q1547" s="62"/>
      <c r="R1547" s="62"/>
      <c r="S1547" s="62"/>
      <c r="T1547" s="60"/>
      <c r="V1547" s="59"/>
      <c r="W1547" s="62"/>
      <c r="X1547" s="62"/>
      <c r="Y1547" s="62"/>
      <c r="Z1547" s="62"/>
      <c r="AA1547" s="62"/>
      <c r="AB1547" s="62"/>
      <c r="AC1547" s="62"/>
      <c r="AD1547" s="60"/>
      <c r="AF1547" s="59"/>
      <c r="AG1547" s="62"/>
      <c r="AH1547" s="62"/>
      <c r="AI1547" s="62"/>
      <c r="AJ1547" s="62"/>
      <c r="AK1547" s="62"/>
      <c r="AL1547" s="62"/>
      <c r="AM1547" s="62"/>
      <c r="AN1547" s="60"/>
    </row>
    <row r="1548" spans="2:40" ht="18" customHeight="1" x14ac:dyDescent="0.25">
      <c r="B1548" s="61"/>
      <c r="C1548" s="214" t="s">
        <v>708</v>
      </c>
      <c r="D1548" s="215"/>
      <c r="E1548" s="216"/>
      <c r="F1548" s="62"/>
      <c r="G1548" s="214" t="s">
        <v>109</v>
      </c>
      <c r="H1548" s="215"/>
      <c r="I1548" s="216"/>
      <c r="J1548" s="63"/>
      <c r="L1548" s="61"/>
      <c r="M1548" s="214" t="s">
        <v>708</v>
      </c>
      <c r="N1548" s="215"/>
      <c r="O1548" s="216"/>
      <c r="P1548" s="62"/>
      <c r="Q1548" s="214" t="s">
        <v>109</v>
      </c>
      <c r="R1548" s="215"/>
      <c r="S1548" s="216"/>
      <c r="T1548" s="63"/>
      <c r="V1548" s="61"/>
      <c r="W1548" s="214" t="s">
        <v>708</v>
      </c>
      <c r="X1548" s="215"/>
      <c r="Y1548" s="216"/>
      <c r="Z1548" s="62"/>
      <c r="AA1548" s="214" t="s">
        <v>109</v>
      </c>
      <c r="AB1548" s="215"/>
      <c r="AC1548" s="216"/>
      <c r="AD1548" s="63"/>
      <c r="AF1548" s="61"/>
      <c r="AG1548" s="214" t="s">
        <v>708</v>
      </c>
      <c r="AH1548" s="215"/>
      <c r="AI1548" s="216"/>
      <c r="AJ1548" s="62"/>
      <c r="AK1548" s="214" t="s">
        <v>109</v>
      </c>
      <c r="AL1548" s="215"/>
      <c r="AM1548" s="216"/>
      <c r="AN1548" s="63"/>
    </row>
    <row r="1549" spans="2:40" ht="6.95" customHeight="1" x14ac:dyDescent="0.25">
      <c r="B1549" s="59"/>
      <c r="C1549" s="62"/>
      <c r="D1549" s="62"/>
      <c r="E1549" s="62"/>
      <c r="F1549" s="62"/>
      <c r="G1549" s="62"/>
      <c r="H1549" s="62"/>
      <c r="I1549" s="62"/>
      <c r="J1549" s="60"/>
      <c r="L1549" s="59"/>
      <c r="M1549" s="62"/>
      <c r="N1549" s="62"/>
      <c r="O1549" s="62"/>
      <c r="P1549" s="62"/>
      <c r="Q1549" s="62"/>
      <c r="R1549" s="62"/>
      <c r="S1549" s="62"/>
      <c r="T1549" s="60"/>
      <c r="V1549" s="59"/>
      <c r="W1549" s="62"/>
      <c r="X1549" s="62"/>
      <c r="Y1549" s="62"/>
      <c r="Z1549" s="62"/>
      <c r="AA1549" s="62"/>
      <c r="AB1549" s="62"/>
      <c r="AC1549" s="62"/>
      <c r="AD1549" s="60"/>
      <c r="AF1549" s="59"/>
      <c r="AG1549" s="62"/>
      <c r="AH1549" s="62"/>
      <c r="AI1549" s="62"/>
      <c r="AJ1549" s="62"/>
      <c r="AK1549" s="62"/>
      <c r="AL1549" s="62"/>
      <c r="AM1549" s="62"/>
      <c r="AN1549" s="60"/>
    </row>
    <row r="1550" spans="2:40" ht="18" customHeight="1" x14ac:dyDescent="0.25">
      <c r="B1550" s="61"/>
      <c r="C1550" s="214" t="s">
        <v>711</v>
      </c>
      <c r="D1550" s="215"/>
      <c r="E1550" s="216"/>
      <c r="F1550" s="62"/>
      <c r="G1550" s="214" t="s">
        <v>712</v>
      </c>
      <c r="H1550" s="215"/>
      <c r="I1550" s="216"/>
      <c r="J1550" s="63"/>
      <c r="L1550" s="61"/>
      <c r="M1550" s="214" t="s">
        <v>711</v>
      </c>
      <c r="N1550" s="215"/>
      <c r="O1550" s="216"/>
      <c r="P1550" s="62"/>
      <c r="Q1550" s="214" t="s">
        <v>712</v>
      </c>
      <c r="R1550" s="215"/>
      <c r="S1550" s="216"/>
      <c r="T1550" s="63"/>
      <c r="V1550" s="61"/>
      <c r="W1550" s="214" t="s">
        <v>711</v>
      </c>
      <c r="X1550" s="215"/>
      <c r="Y1550" s="216"/>
      <c r="Z1550" s="62"/>
      <c r="AA1550" s="214" t="s">
        <v>712</v>
      </c>
      <c r="AB1550" s="215"/>
      <c r="AC1550" s="216"/>
      <c r="AD1550" s="63"/>
      <c r="AF1550" s="61"/>
      <c r="AG1550" s="214" t="s">
        <v>711</v>
      </c>
      <c r="AH1550" s="215"/>
      <c r="AI1550" s="216"/>
      <c r="AJ1550" s="62"/>
      <c r="AK1550" s="214" t="s">
        <v>712</v>
      </c>
      <c r="AL1550" s="215"/>
      <c r="AM1550" s="216"/>
      <c r="AN1550" s="63"/>
    </row>
    <row r="1551" spans="2:40" ht="6.95" customHeight="1" x14ac:dyDescent="0.25">
      <c r="B1551" s="59"/>
      <c r="C1551" s="62"/>
      <c r="D1551" s="62"/>
      <c r="E1551" s="62"/>
      <c r="F1551" s="62"/>
      <c r="G1551" s="62"/>
      <c r="H1551" s="62"/>
      <c r="I1551" s="62"/>
      <c r="J1551" s="60"/>
      <c r="L1551" s="59"/>
      <c r="M1551" s="62"/>
      <c r="N1551" s="62"/>
      <c r="O1551" s="62"/>
      <c r="P1551" s="62"/>
      <c r="Q1551" s="62"/>
      <c r="R1551" s="62"/>
      <c r="S1551" s="62"/>
      <c r="T1551" s="60"/>
      <c r="V1551" s="59"/>
      <c r="W1551" s="62"/>
      <c r="X1551" s="62"/>
      <c r="Y1551" s="62"/>
      <c r="Z1551" s="62"/>
      <c r="AA1551" s="62"/>
      <c r="AB1551" s="62"/>
      <c r="AC1551" s="62"/>
      <c r="AD1551" s="60"/>
      <c r="AF1551" s="59"/>
      <c r="AG1551" s="62"/>
      <c r="AH1551" s="62"/>
      <c r="AI1551" s="62"/>
      <c r="AJ1551" s="62"/>
      <c r="AK1551" s="62"/>
      <c r="AL1551" s="62"/>
      <c r="AM1551" s="62"/>
      <c r="AN1551" s="60"/>
    </row>
    <row r="1552" spans="2:40" ht="18" customHeight="1" x14ac:dyDescent="0.25">
      <c r="B1552" s="61"/>
      <c r="C1552" s="214" t="s">
        <v>1273</v>
      </c>
      <c r="D1552" s="215"/>
      <c r="E1552" s="216"/>
      <c r="F1552" s="62"/>
      <c r="G1552" s="214" t="s">
        <v>1634</v>
      </c>
      <c r="H1552" s="215"/>
      <c r="I1552" s="216"/>
      <c r="J1552" s="63"/>
      <c r="L1552" s="61"/>
      <c r="M1552" s="214" t="s">
        <v>1273</v>
      </c>
      <c r="N1552" s="215"/>
      <c r="O1552" s="216"/>
      <c r="P1552" s="62"/>
      <c r="Q1552" s="214" t="s">
        <v>1635</v>
      </c>
      <c r="R1552" s="215"/>
      <c r="S1552" s="216"/>
      <c r="T1552" s="63"/>
      <c r="V1552" s="61"/>
      <c r="W1552" s="214" t="s">
        <v>1273</v>
      </c>
      <c r="X1552" s="215"/>
      <c r="Y1552" s="216"/>
      <c r="Z1552" s="62"/>
      <c r="AA1552" s="214" t="s">
        <v>1636</v>
      </c>
      <c r="AB1552" s="215"/>
      <c r="AC1552" s="216"/>
      <c r="AD1552" s="63"/>
      <c r="AF1552" s="61"/>
      <c r="AG1552" s="214" t="s">
        <v>1273</v>
      </c>
      <c r="AH1552" s="215"/>
      <c r="AI1552" s="216"/>
      <c r="AJ1552" s="62"/>
      <c r="AK1552" s="214" t="s">
        <v>1637</v>
      </c>
      <c r="AL1552" s="215"/>
      <c r="AM1552" s="216"/>
      <c r="AN1552" s="63"/>
    </row>
    <row r="1553" spans="2:40" ht="6.95" customHeight="1" x14ac:dyDescent="0.25">
      <c r="B1553" s="59"/>
      <c r="C1553" s="62"/>
      <c r="D1553" s="62"/>
      <c r="E1553" s="62"/>
      <c r="F1553" s="62"/>
      <c r="G1553" s="62"/>
      <c r="H1553" s="62"/>
      <c r="I1553" s="62"/>
      <c r="J1553" s="60"/>
      <c r="L1553" s="59"/>
      <c r="M1553" s="62"/>
      <c r="N1553" s="62"/>
      <c r="O1553" s="62"/>
      <c r="P1553" s="62"/>
      <c r="Q1553" s="62"/>
      <c r="R1553" s="62"/>
      <c r="S1553" s="62"/>
      <c r="T1553" s="60"/>
      <c r="V1553" s="59"/>
      <c r="W1553" s="62"/>
      <c r="X1553" s="62"/>
      <c r="Y1553" s="62"/>
      <c r="Z1553" s="62"/>
      <c r="AA1553" s="62"/>
      <c r="AB1553" s="62"/>
      <c r="AC1553" s="62"/>
      <c r="AD1553" s="60"/>
      <c r="AF1553" s="59"/>
      <c r="AG1553" s="62"/>
      <c r="AH1553" s="62"/>
      <c r="AI1553" s="62"/>
      <c r="AJ1553" s="62"/>
      <c r="AK1553" s="62"/>
      <c r="AL1553" s="62"/>
      <c r="AM1553" s="62"/>
      <c r="AN1553" s="60"/>
    </row>
    <row r="1554" spans="2:40" ht="18" customHeight="1" x14ac:dyDescent="0.25">
      <c r="B1554" s="61"/>
      <c r="C1554" s="214" t="s">
        <v>713</v>
      </c>
      <c r="D1554" s="215"/>
      <c r="E1554" s="216"/>
      <c r="F1554" s="62"/>
      <c r="G1554" s="214" t="s">
        <v>714</v>
      </c>
      <c r="H1554" s="215"/>
      <c r="I1554" s="216"/>
      <c r="J1554" s="63"/>
      <c r="L1554" s="61"/>
      <c r="M1554" s="214" t="s">
        <v>713</v>
      </c>
      <c r="N1554" s="215"/>
      <c r="O1554" s="216"/>
      <c r="P1554" s="62"/>
      <c r="Q1554" s="214" t="s">
        <v>714</v>
      </c>
      <c r="R1554" s="215"/>
      <c r="S1554" s="216"/>
      <c r="T1554" s="63"/>
      <c r="V1554" s="61"/>
      <c r="W1554" s="214" t="s">
        <v>713</v>
      </c>
      <c r="X1554" s="215"/>
      <c r="Y1554" s="216"/>
      <c r="Z1554" s="62"/>
      <c r="AA1554" s="214" t="s">
        <v>714</v>
      </c>
      <c r="AB1554" s="215"/>
      <c r="AC1554" s="216"/>
      <c r="AD1554" s="63"/>
      <c r="AF1554" s="61"/>
      <c r="AG1554" s="214" t="s">
        <v>713</v>
      </c>
      <c r="AH1554" s="215"/>
      <c r="AI1554" s="216"/>
      <c r="AJ1554" s="62"/>
      <c r="AK1554" s="214" t="s">
        <v>714</v>
      </c>
      <c r="AL1554" s="215"/>
      <c r="AM1554" s="216"/>
      <c r="AN1554" s="63"/>
    </row>
    <row r="1555" spans="2:40" ht="6.95" customHeight="1" x14ac:dyDescent="0.25">
      <c r="B1555" s="59"/>
      <c r="C1555" s="128"/>
      <c r="D1555" s="128"/>
      <c r="E1555" s="128"/>
      <c r="F1555" s="62"/>
      <c r="G1555" s="128"/>
      <c r="H1555" s="128"/>
      <c r="I1555" s="128"/>
      <c r="J1555" s="63"/>
      <c r="L1555" s="59"/>
      <c r="M1555" s="128"/>
      <c r="N1555" s="128"/>
      <c r="O1555" s="128"/>
      <c r="P1555" s="62"/>
      <c r="Q1555" s="128"/>
      <c r="R1555" s="128"/>
      <c r="S1555" s="128"/>
      <c r="T1555" s="63"/>
      <c r="V1555" s="59"/>
      <c r="W1555" s="128"/>
      <c r="X1555" s="128"/>
      <c r="Y1555" s="128"/>
      <c r="Z1555" s="62"/>
      <c r="AA1555" s="128"/>
      <c r="AB1555" s="128"/>
      <c r="AC1555" s="128"/>
      <c r="AD1555" s="63"/>
      <c r="AF1555" s="59"/>
      <c r="AG1555" s="128"/>
      <c r="AH1555" s="128"/>
      <c r="AI1555" s="128"/>
      <c r="AJ1555" s="62"/>
      <c r="AK1555" s="128"/>
      <c r="AL1555" s="128"/>
      <c r="AM1555" s="128"/>
      <c r="AN1555" s="63"/>
    </row>
    <row r="1556" spans="2:40" ht="18" customHeight="1" x14ac:dyDescent="0.25">
      <c r="B1556" s="59"/>
      <c r="C1556" s="214" t="s">
        <v>715</v>
      </c>
      <c r="D1556" s="215"/>
      <c r="E1556" s="216"/>
      <c r="F1556" s="62"/>
      <c r="G1556" s="214" t="s">
        <v>1633</v>
      </c>
      <c r="H1556" s="215"/>
      <c r="I1556" s="216"/>
      <c r="J1556" s="63"/>
      <c r="L1556" s="59"/>
      <c r="M1556" s="214" t="s">
        <v>715</v>
      </c>
      <c r="N1556" s="215"/>
      <c r="O1556" s="216"/>
      <c r="P1556" s="62"/>
      <c r="Q1556" s="214" t="s">
        <v>1633</v>
      </c>
      <c r="R1556" s="215"/>
      <c r="S1556" s="216"/>
      <c r="T1556" s="63"/>
      <c r="V1556" s="59"/>
      <c r="W1556" s="214" t="s">
        <v>715</v>
      </c>
      <c r="X1556" s="215"/>
      <c r="Y1556" s="216"/>
      <c r="Z1556" s="62"/>
      <c r="AA1556" s="214" t="s">
        <v>1633</v>
      </c>
      <c r="AB1556" s="215"/>
      <c r="AC1556" s="216"/>
      <c r="AD1556" s="63"/>
      <c r="AF1556" s="59"/>
      <c r="AG1556" s="214" t="s">
        <v>715</v>
      </c>
      <c r="AH1556" s="215"/>
      <c r="AI1556" s="216"/>
      <c r="AJ1556" s="62"/>
      <c r="AK1556" s="214" t="s">
        <v>1633</v>
      </c>
      <c r="AL1556" s="215"/>
      <c r="AM1556" s="216"/>
      <c r="AN1556" s="63"/>
    </row>
    <row r="1557" spans="2:40" ht="6.95" customHeight="1" thickBot="1" x14ac:dyDescent="0.3">
      <c r="B1557" s="64"/>
      <c r="C1557" s="65"/>
      <c r="D1557" s="65"/>
      <c r="E1557" s="65"/>
      <c r="F1557" s="65"/>
      <c r="G1557" s="65"/>
      <c r="H1557" s="65"/>
      <c r="I1557" s="65"/>
      <c r="J1557" s="66"/>
      <c r="L1557" s="64"/>
      <c r="M1557" s="65"/>
      <c r="N1557" s="65"/>
      <c r="O1557" s="65"/>
      <c r="P1557" s="65"/>
      <c r="Q1557" s="65"/>
      <c r="R1557" s="65"/>
      <c r="S1557" s="65"/>
      <c r="T1557" s="66"/>
      <c r="V1557" s="64"/>
      <c r="W1557" s="65"/>
      <c r="X1557" s="65"/>
      <c r="Y1557" s="65"/>
      <c r="Z1557" s="65"/>
      <c r="AA1557" s="65"/>
      <c r="AB1557" s="65"/>
      <c r="AC1557" s="65"/>
      <c r="AD1557" s="66"/>
      <c r="AF1557" s="64"/>
      <c r="AG1557" s="65"/>
      <c r="AH1557" s="65"/>
      <c r="AI1557" s="65"/>
      <c r="AJ1557" s="65"/>
      <c r="AK1557" s="65"/>
      <c r="AL1557" s="65"/>
      <c r="AM1557" s="65"/>
      <c r="AN1557" s="66"/>
    </row>
    <row r="1558" spans="2:40" ht="15.75" thickTop="1" x14ac:dyDescent="0.25"/>
  </sheetData>
  <mergeCells count="3871">
    <mergeCell ref="AG1554:AI1554"/>
    <mergeCell ref="AK1554:AM1554"/>
    <mergeCell ref="C1556:E1556"/>
    <mergeCell ref="G1556:I1556"/>
    <mergeCell ref="M1556:O1556"/>
    <mergeCell ref="Q1556:S1556"/>
    <mergeCell ref="W1556:Y1556"/>
    <mergeCell ref="AA1556:AC1556"/>
    <mergeCell ref="AG1556:AI1556"/>
    <mergeCell ref="AK1556:AM1556"/>
    <mergeCell ref="C1554:E1554"/>
    <mergeCell ref="G1554:I1554"/>
    <mergeCell ref="M1554:O1554"/>
    <mergeCell ref="Q1554:S1554"/>
    <mergeCell ref="W1554:Y1554"/>
    <mergeCell ref="AA1554:AC1554"/>
    <mergeCell ref="AG1550:AI1550"/>
    <mergeCell ref="AK1550:AM1550"/>
    <mergeCell ref="C1552:E1552"/>
    <mergeCell ref="G1552:I1552"/>
    <mergeCell ref="M1552:O1552"/>
    <mergeCell ref="Q1552:S1552"/>
    <mergeCell ref="W1552:Y1552"/>
    <mergeCell ref="AA1552:AC1552"/>
    <mergeCell ref="AG1552:AI1552"/>
    <mergeCell ref="AK1552:AM1552"/>
    <mergeCell ref="C1550:E1550"/>
    <mergeCell ref="G1550:I1550"/>
    <mergeCell ref="M1550:O1550"/>
    <mergeCell ref="Q1550:S1550"/>
    <mergeCell ref="W1550:Y1550"/>
    <mergeCell ref="AA1550:AC1550"/>
    <mergeCell ref="AG1546:AI1546"/>
    <mergeCell ref="AK1546:AM1546"/>
    <mergeCell ref="C1548:E1548"/>
    <mergeCell ref="G1548:I1548"/>
    <mergeCell ref="M1548:O1548"/>
    <mergeCell ref="Q1548:S1548"/>
    <mergeCell ref="W1548:Y1548"/>
    <mergeCell ref="AA1548:AC1548"/>
    <mergeCell ref="AG1548:AI1548"/>
    <mergeCell ref="AK1548:AM1548"/>
    <mergeCell ref="C1546:E1546"/>
    <mergeCell ref="G1546:I1546"/>
    <mergeCell ref="M1546:O1546"/>
    <mergeCell ref="Q1546:S1546"/>
    <mergeCell ref="W1546:Y1546"/>
    <mergeCell ref="AA1546:AC1546"/>
    <mergeCell ref="AG1542:AI1542"/>
    <mergeCell ref="AK1542:AM1542"/>
    <mergeCell ref="C1544:E1544"/>
    <mergeCell ref="G1544:I1544"/>
    <mergeCell ref="M1544:O1544"/>
    <mergeCell ref="Q1544:S1544"/>
    <mergeCell ref="W1544:Y1544"/>
    <mergeCell ref="AA1544:AC1544"/>
    <mergeCell ref="AG1544:AI1544"/>
    <mergeCell ref="AK1544:AM1544"/>
    <mergeCell ref="C1542:E1542"/>
    <mergeCell ref="G1542:I1542"/>
    <mergeCell ref="M1542:O1542"/>
    <mergeCell ref="Q1542:S1542"/>
    <mergeCell ref="W1542:Y1542"/>
    <mergeCell ref="AA1542:AC1542"/>
    <mergeCell ref="AG1538:AI1538"/>
    <mergeCell ref="AK1538:AM1538"/>
    <mergeCell ref="C1540:E1540"/>
    <mergeCell ref="G1540:I1540"/>
    <mergeCell ref="M1540:O1540"/>
    <mergeCell ref="Q1540:S1540"/>
    <mergeCell ref="W1540:Y1540"/>
    <mergeCell ref="AA1540:AC1540"/>
    <mergeCell ref="AG1540:AI1540"/>
    <mergeCell ref="AK1540:AM1540"/>
    <mergeCell ref="D1536:J1536"/>
    <mergeCell ref="N1536:T1536"/>
    <mergeCell ref="X1536:AD1536"/>
    <mergeCell ref="AH1536:AN1536"/>
    <mergeCell ref="C1538:E1538"/>
    <mergeCell ref="G1538:I1538"/>
    <mergeCell ref="M1538:O1538"/>
    <mergeCell ref="Q1538:S1538"/>
    <mergeCell ref="W1538:Y1538"/>
    <mergeCell ref="AA1538:AC1538"/>
    <mergeCell ref="AG1532:AI1532"/>
    <mergeCell ref="AK1532:AM1532"/>
    <mergeCell ref="C1534:E1534"/>
    <mergeCell ref="G1534:I1534"/>
    <mergeCell ref="M1534:O1534"/>
    <mergeCell ref="Q1534:S1534"/>
    <mergeCell ref="W1534:Y1534"/>
    <mergeCell ref="AA1534:AC1534"/>
    <mergeCell ref="AG1534:AI1534"/>
    <mergeCell ref="AK1534:AM1534"/>
    <mergeCell ref="C1532:E1532"/>
    <mergeCell ref="G1532:I1532"/>
    <mergeCell ref="M1532:O1532"/>
    <mergeCell ref="Q1532:S1532"/>
    <mergeCell ref="W1532:Y1532"/>
    <mergeCell ref="AA1532:AC1532"/>
    <mergeCell ref="AG1528:AI1528"/>
    <mergeCell ref="AK1528:AM1528"/>
    <mergeCell ref="C1530:E1530"/>
    <mergeCell ref="G1530:I1530"/>
    <mergeCell ref="M1530:O1530"/>
    <mergeCell ref="Q1530:S1530"/>
    <mergeCell ref="W1530:Y1530"/>
    <mergeCell ref="AA1530:AC1530"/>
    <mergeCell ref="AG1530:AI1530"/>
    <mergeCell ref="AK1530:AM1530"/>
    <mergeCell ref="C1528:E1528"/>
    <mergeCell ref="G1528:I1528"/>
    <mergeCell ref="M1528:O1528"/>
    <mergeCell ref="Q1528:S1528"/>
    <mergeCell ref="W1528:Y1528"/>
    <mergeCell ref="AA1528:AC1528"/>
    <mergeCell ref="AG1524:AI1524"/>
    <mergeCell ref="AK1524:AM1524"/>
    <mergeCell ref="C1526:E1526"/>
    <mergeCell ref="G1526:I1526"/>
    <mergeCell ref="M1526:O1526"/>
    <mergeCell ref="Q1526:S1526"/>
    <mergeCell ref="W1526:Y1526"/>
    <mergeCell ref="AA1526:AC1526"/>
    <mergeCell ref="AG1526:AI1526"/>
    <mergeCell ref="AK1526:AM1526"/>
    <mergeCell ref="C1524:E1524"/>
    <mergeCell ref="G1524:I1524"/>
    <mergeCell ref="M1524:O1524"/>
    <mergeCell ref="Q1524:S1524"/>
    <mergeCell ref="W1524:Y1524"/>
    <mergeCell ref="AA1524:AC1524"/>
    <mergeCell ref="AG1520:AI1520"/>
    <mergeCell ref="AK1520:AM1520"/>
    <mergeCell ref="C1522:E1522"/>
    <mergeCell ref="G1522:I1522"/>
    <mergeCell ref="M1522:O1522"/>
    <mergeCell ref="Q1522:S1522"/>
    <mergeCell ref="W1522:Y1522"/>
    <mergeCell ref="AA1522:AC1522"/>
    <mergeCell ref="AG1522:AI1522"/>
    <mergeCell ref="AK1522:AM1522"/>
    <mergeCell ref="C1520:E1520"/>
    <mergeCell ref="G1520:I1520"/>
    <mergeCell ref="M1520:O1520"/>
    <mergeCell ref="Q1520:S1520"/>
    <mergeCell ref="W1520:Y1520"/>
    <mergeCell ref="AA1520:AC1520"/>
    <mergeCell ref="AG1516:AI1516"/>
    <mergeCell ref="AK1516:AM1516"/>
    <mergeCell ref="C1518:E1518"/>
    <mergeCell ref="G1518:I1518"/>
    <mergeCell ref="M1518:O1518"/>
    <mergeCell ref="Q1518:S1518"/>
    <mergeCell ref="W1518:Y1518"/>
    <mergeCell ref="AA1518:AC1518"/>
    <mergeCell ref="AG1518:AI1518"/>
    <mergeCell ref="AK1518:AM1518"/>
    <mergeCell ref="D1514:J1514"/>
    <mergeCell ref="N1514:T1514"/>
    <mergeCell ref="X1514:AD1514"/>
    <mergeCell ref="AH1514:AN1514"/>
    <mergeCell ref="C1516:E1516"/>
    <mergeCell ref="G1516:I1516"/>
    <mergeCell ref="M1516:O1516"/>
    <mergeCell ref="Q1516:S1516"/>
    <mergeCell ref="W1516:Y1516"/>
    <mergeCell ref="AA1516:AC1516"/>
    <mergeCell ref="AG1510:AI1510"/>
    <mergeCell ref="AK1510:AM1510"/>
    <mergeCell ref="C1512:E1512"/>
    <mergeCell ref="G1512:I1512"/>
    <mergeCell ref="M1512:O1512"/>
    <mergeCell ref="Q1512:S1512"/>
    <mergeCell ref="W1512:Y1512"/>
    <mergeCell ref="AA1512:AC1512"/>
    <mergeCell ref="AG1512:AI1512"/>
    <mergeCell ref="AK1512:AM1512"/>
    <mergeCell ref="C1510:E1510"/>
    <mergeCell ref="G1510:I1510"/>
    <mergeCell ref="M1510:O1510"/>
    <mergeCell ref="Q1510:S1510"/>
    <mergeCell ref="W1510:Y1510"/>
    <mergeCell ref="AA1510:AC1510"/>
    <mergeCell ref="AG1506:AI1506"/>
    <mergeCell ref="AK1506:AM1506"/>
    <mergeCell ref="C1508:E1508"/>
    <mergeCell ref="G1508:I1508"/>
    <mergeCell ref="M1508:O1508"/>
    <mergeCell ref="Q1508:S1508"/>
    <mergeCell ref="W1508:Y1508"/>
    <mergeCell ref="AA1508:AC1508"/>
    <mergeCell ref="AG1508:AI1508"/>
    <mergeCell ref="AK1508:AM1508"/>
    <mergeCell ref="C1506:E1506"/>
    <mergeCell ref="G1506:I1506"/>
    <mergeCell ref="M1506:O1506"/>
    <mergeCell ref="Q1506:S1506"/>
    <mergeCell ref="W1506:Y1506"/>
    <mergeCell ref="AA1506:AC1506"/>
    <mergeCell ref="AG1502:AI1502"/>
    <mergeCell ref="AK1502:AM1502"/>
    <mergeCell ref="C1504:E1504"/>
    <mergeCell ref="G1504:I1504"/>
    <mergeCell ref="M1504:O1504"/>
    <mergeCell ref="Q1504:S1504"/>
    <mergeCell ref="W1504:Y1504"/>
    <mergeCell ref="AA1504:AC1504"/>
    <mergeCell ref="AG1504:AI1504"/>
    <mergeCell ref="AK1504:AM1504"/>
    <mergeCell ref="C1502:E1502"/>
    <mergeCell ref="G1502:I1502"/>
    <mergeCell ref="M1502:O1502"/>
    <mergeCell ref="Q1502:S1502"/>
    <mergeCell ref="W1502:Y1502"/>
    <mergeCell ref="AA1502:AC1502"/>
    <mergeCell ref="AG1498:AI1498"/>
    <mergeCell ref="AK1498:AM1498"/>
    <mergeCell ref="C1500:E1500"/>
    <mergeCell ref="G1500:I1500"/>
    <mergeCell ref="M1500:O1500"/>
    <mergeCell ref="Q1500:S1500"/>
    <mergeCell ref="W1500:Y1500"/>
    <mergeCell ref="AA1500:AC1500"/>
    <mergeCell ref="AG1500:AI1500"/>
    <mergeCell ref="AK1500:AM1500"/>
    <mergeCell ref="C1498:E1498"/>
    <mergeCell ref="G1498:I1498"/>
    <mergeCell ref="M1498:O1498"/>
    <mergeCell ref="Q1498:S1498"/>
    <mergeCell ref="W1498:Y1498"/>
    <mergeCell ref="AA1498:AC1498"/>
    <mergeCell ref="AG1494:AI1494"/>
    <mergeCell ref="AK1494:AM1494"/>
    <mergeCell ref="C1496:E1496"/>
    <mergeCell ref="G1496:I1496"/>
    <mergeCell ref="M1496:O1496"/>
    <mergeCell ref="Q1496:S1496"/>
    <mergeCell ref="W1496:Y1496"/>
    <mergeCell ref="AA1496:AC1496"/>
    <mergeCell ref="AG1496:AI1496"/>
    <mergeCell ref="AK1496:AM1496"/>
    <mergeCell ref="D1492:J1492"/>
    <mergeCell ref="N1492:T1492"/>
    <mergeCell ref="X1492:AD1492"/>
    <mergeCell ref="AH1492:AN1492"/>
    <mergeCell ref="C1494:E1494"/>
    <mergeCell ref="G1494:I1494"/>
    <mergeCell ref="M1494:O1494"/>
    <mergeCell ref="Q1494:S1494"/>
    <mergeCell ref="W1494:Y1494"/>
    <mergeCell ref="AA1494:AC1494"/>
    <mergeCell ref="AG1488:AI1488"/>
    <mergeCell ref="AK1488:AM1488"/>
    <mergeCell ref="C1490:E1490"/>
    <mergeCell ref="G1490:I1490"/>
    <mergeCell ref="M1490:O1490"/>
    <mergeCell ref="Q1490:S1490"/>
    <mergeCell ref="W1490:Y1490"/>
    <mergeCell ref="AA1490:AC1490"/>
    <mergeCell ref="AG1490:AI1490"/>
    <mergeCell ref="AK1490:AM1490"/>
    <mergeCell ref="C1488:E1488"/>
    <mergeCell ref="G1488:I1488"/>
    <mergeCell ref="M1488:O1488"/>
    <mergeCell ref="Q1488:S1488"/>
    <mergeCell ref="W1488:Y1488"/>
    <mergeCell ref="AA1488:AC1488"/>
    <mergeCell ref="AG1484:AI1484"/>
    <mergeCell ref="AK1484:AM1484"/>
    <mergeCell ref="C1486:E1486"/>
    <mergeCell ref="G1486:I1486"/>
    <mergeCell ref="M1486:O1486"/>
    <mergeCell ref="Q1486:S1486"/>
    <mergeCell ref="W1486:Y1486"/>
    <mergeCell ref="AA1486:AC1486"/>
    <mergeCell ref="AG1486:AI1486"/>
    <mergeCell ref="AK1486:AM1486"/>
    <mergeCell ref="C1484:E1484"/>
    <mergeCell ref="G1484:I1484"/>
    <mergeCell ref="M1484:O1484"/>
    <mergeCell ref="Q1484:S1484"/>
    <mergeCell ref="W1484:Y1484"/>
    <mergeCell ref="AA1484:AC1484"/>
    <mergeCell ref="AG1480:AI1480"/>
    <mergeCell ref="AK1480:AM1480"/>
    <mergeCell ref="C1482:E1482"/>
    <mergeCell ref="G1482:I1482"/>
    <mergeCell ref="M1482:O1482"/>
    <mergeCell ref="Q1482:S1482"/>
    <mergeCell ref="W1482:Y1482"/>
    <mergeCell ref="AA1482:AC1482"/>
    <mergeCell ref="AG1482:AI1482"/>
    <mergeCell ref="AK1482:AM1482"/>
    <mergeCell ref="C1480:E1480"/>
    <mergeCell ref="G1480:I1480"/>
    <mergeCell ref="M1480:O1480"/>
    <mergeCell ref="Q1480:S1480"/>
    <mergeCell ref="W1480:Y1480"/>
    <mergeCell ref="AA1480:AC1480"/>
    <mergeCell ref="AG1476:AI1476"/>
    <mergeCell ref="AK1476:AM1476"/>
    <mergeCell ref="C1478:E1478"/>
    <mergeCell ref="G1478:I1478"/>
    <mergeCell ref="M1478:O1478"/>
    <mergeCell ref="Q1478:S1478"/>
    <mergeCell ref="W1478:Y1478"/>
    <mergeCell ref="AA1478:AC1478"/>
    <mergeCell ref="AG1478:AI1478"/>
    <mergeCell ref="AK1478:AM1478"/>
    <mergeCell ref="C1476:E1476"/>
    <mergeCell ref="G1476:I1476"/>
    <mergeCell ref="M1476:O1476"/>
    <mergeCell ref="Q1476:S1476"/>
    <mergeCell ref="W1476:Y1476"/>
    <mergeCell ref="AA1476:AC1476"/>
    <mergeCell ref="AG1472:AI1472"/>
    <mergeCell ref="AK1472:AM1472"/>
    <mergeCell ref="C1474:E1474"/>
    <mergeCell ref="G1474:I1474"/>
    <mergeCell ref="M1474:O1474"/>
    <mergeCell ref="Q1474:S1474"/>
    <mergeCell ref="W1474:Y1474"/>
    <mergeCell ref="AA1474:AC1474"/>
    <mergeCell ref="AG1474:AI1474"/>
    <mergeCell ref="AK1474:AM1474"/>
    <mergeCell ref="D1470:J1470"/>
    <mergeCell ref="N1470:T1470"/>
    <mergeCell ref="X1470:AD1470"/>
    <mergeCell ref="AH1470:AN1470"/>
    <mergeCell ref="C1472:E1472"/>
    <mergeCell ref="G1472:I1472"/>
    <mergeCell ref="M1472:O1472"/>
    <mergeCell ref="Q1472:S1472"/>
    <mergeCell ref="W1472:Y1472"/>
    <mergeCell ref="AA1472:AC1472"/>
    <mergeCell ref="C1464:E1464"/>
    <mergeCell ref="G1464:I1464"/>
    <mergeCell ref="C1466:E1466"/>
    <mergeCell ref="G1466:I1466"/>
    <mergeCell ref="C1468:E1468"/>
    <mergeCell ref="G1468:I1468"/>
    <mergeCell ref="C1458:E1458"/>
    <mergeCell ref="G1458:I1458"/>
    <mergeCell ref="C1460:E1460"/>
    <mergeCell ref="G1460:I1460"/>
    <mergeCell ref="C1462:E1462"/>
    <mergeCell ref="G1462:I1462"/>
    <mergeCell ref="C1452:E1452"/>
    <mergeCell ref="G1452:I1452"/>
    <mergeCell ref="C1454:E1454"/>
    <mergeCell ref="G1454:I1454"/>
    <mergeCell ref="C1456:E1456"/>
    <mergeCell ref="G1456:I1456"/>
    <mergeCell ref="C1446:E1446"/>
    <mergeCell ref="G1446:I1446"/>
    <mergeCell ref="M1446:O1446"/>
    <mergeCell ref="Q1446:S1446"/>
    <mergeCell ref="D1448:J1448"/>
    <mergeCell ref="C1450:E1450"/>
    <mergeCell ref="G1450:I1450"/>
    <mergeCell ref="C1442:E1442"/>
    <mergeCell ref="G1442:I1442"/>
    <mergeCell ref="M1442:O1442"/>
    <mergeCell ref="Q1442:S1442"/>
    <mergeCell ref="C1444:E1444"/>
    <mergeCell ref="G1444:I1444"/>
    <mergeCell ref="M1444:O1444"/>
    <mergeCell ref="Q1444:S1444"/>
    <mergeCell ref="C1438:E1438"/>
    <mergeCell ref="G1438:I1438"/>
    <mergeCell ref="M1438:O1438"/>
    <mergeCell ref="Q1438:S1438"/>
    <mergeCell ref="C1440:E1440"/>
    <mergeCell ref="G1440:I1440"/>
    <mergeCell ref="M1440:O1440"/>
    <mergeCell ref="Q1440:S1440"/>
    <mergeCell ref="C1434:E1434"/>
    <mergeCell ref="G1434:I1434"/>
    <mergeCell ref="M1434:O1434"/>
    <mergeCell ref="Q1434:S1434"/>
    <mergeCell ref="C1436:E1436"/>
    <mergeCell ref="G1436:I1436"/>
    <mergeCell ref="M1436:O1436"/>
    <mergeCell ref="Q1436:S1436"/>
    <mergeCell ref="C1430:E1430"/>
    <mergeCell ref="G1430:I1430"/>
    <mergeCell ref="M1430:O1430"/>
    <mergeCell ref="Q1430:S1430"/>
    <mergeCell ref="C1432:E1432"/>
    <mergeCell ref="G1432:I1432"/>
    <mergeCell ref="M1432:O1432"/>
    <mergeCell ref="Q1432:S1432"/>
    <mergeCell ref="D1426:J1426"/>
    <mergeCell ref="N1426:T1426"/>
    <mergeCell ref="C1428:E1428"/>
    <mergeCell ref="G1428:I1428"/>
    <mergeCell ref="M1428:O1428"/>
    <mergeCell ref="Q1428:S1428"/>
    <mergeCell ref="AG1422:AI1422"/>
    <mergeCell ref="AK1422:AM1422"/>
    <mergeCell ref="C1424:E1424"/>
    <mergeCell ref="G1424:I1424"/>
    <mergeCell ref="M1424:O1424"/>
    <mergeCell ref="Q1424:S1424"/>
    <mergeCell ref="W1424:Y1424"/>
    <mergeCell ref="AA1424:AC1424"/>
    <mergeCell ref="AG1424:AI1424"/>
    <mergeCell ref="AK1424:AM1424"/>
    <mergeCell ref="C1422:E1422"/>
    <mergeCell ref="G1422:I1422"/>
    <mergeCell ref="M1422:O1422"/>
    <mergeCell ref="Q1422:S1422"/>
    <mergeCell ref="W1422:Y1422"/>
    <mergeCell ref="AA1422:AC1422"/>
    <mergeCell ref="AG1418:AI1418"/>
    <mergeCell ref="AK1418:AM1418"/>
    <mergeCell ref="C1420:E1420"/>
    <mergeCell ref="G1420:I1420"/>
    <mergeCell ref="M1420:O1420"/>
    <mergeCell ref="Q1420:S1420"/>
    <mergeCell ref="W1420:Y1420"/>
    <mergeCell ref="AA1420:AC1420"/>
    <mergeCell ref="AG1420:AI1420"/>
    <mergeCell ref="AK1420:AM1420"/>
    <mergeCell ref="C1418:E1418"/>
    <mergeCell ref="G1418:I1418"/>
    <mergeCell ref="M1418:O1418"/>
    <mergeCell ref="Q1418:S1418"/>
    <mergeCell ref="W1418:Y1418"/>
    <mergeCell ref="AA1418:AC1418"/>
    <mergeCell ref="AG1414:AI1414"/>
    <mergeCell ref="AK1414:AM1414"/>
    <mergeCell ref="C1416:E1416"/>
    <mergeCell ref="G1416:I1416"/>
    <mergeCell ref="M1416:O1416"/>
    <mergeCell ref="Q1416:S1416"/>
    <mergeCell ref="W1416:Y1416"/>
    <mergeCell ref="AA1416:AC1416"/>
    <mergeCell ref="AG1416:AI1416"/>
    <mergeCell ref="AK1416:AM1416"/>
    <mergeCell ref="C1414:E1414"/>
    <mergeCell ref="G1414:I1414"/>
    <mergeCell ref="M1414:O1414"/>
    <mergeCell ref="Q1414:S1414"/>
    <mergeCell ref="W1414:Y1414"/>
    <mergeCell ref="AA1414:AC1414"/>
    <mergeCell ref="AG1410:AI1410"/>
    <mergeCell ref="AK1410:AM1410"/>
    <mergeCell ref="C1412:E1412"/>
    <mergeCell ref="G1412:I1412"/>
    <mergeCell ref="M1412:O1412"/>
    <mergeCell ref="Q1412:S1412"/>
    <mergeCell ref="W1412:Y1412"/>
    <mergeCell ref="AA1412:AC1412"/>
    <mergeCell ref="AG1412:AI1412"/>
    <mergeCell ref="AK1412:AM1412"/>
    <mergeCell ref="C1410:E1410"/>
    <mergeCell ref="G1410:I1410"/>
    <mergeCell ref="M1410:O1410"/>
    <mergeCell ref="Q1410:S1410"/>
    <mergeCell ref="W1410:Y1410"/>
    <mergeCell ref="AA1410:AC1410"/>
    <mergeCell ref="AG1406:AI1406"/>
    <mergeCell ref="AK1406:AM1406"/>
    <mergeCell ref="C1408:E1408"/>
    <mergeCell ref="G1408:I1408"/>
    <mergeCell ref="M1408:O1408"/>
    <mergeCell ref="Q1408:S1408"/>
    <mergeCell ref="W1408:Y1408"/>
    <mergeCell ref="AA1408:AC1408"/>
    <mergeCell ref="AG1408:AI1408"/>
    <mergeCell ref="AK1408:AM1408"/>
    <mergeCell ref="D1404:J1404"/>
    <mergeCell ref="N1404:T1404"/>
    <mergeCell ref="X1404:AD1404"/>
    <mergeCell ref="AH1404:AN1404"/>
    <mergeCell ref="C1406:E1406"/>
    <mergeCell ref="G1406:I1406"/>
    <mergeCell ref="M1406:O1406"/>
    <mergeCell ref="Q1406:S1406"/>
    <mergeCell ref="W1406:Y1406"/>
    <mergeCell ref="AA1406:AC1406"/>
    <mergeCell ref="AG1400:AI1400"/>
    <mergeCell ref="AK1400:AM1400"/>
    <mergeCell ref="C1402:E1402"/>
    <mergeCell ref="G1402:I1402"/>
    <mergeCell ref="M1402:O1402"/>
    <mergeCell ref="Q1402:S1402"/>
    <mergeCell ref="W1402:Y1402"/>
    <mergeCell ref="AA1402:AC1402"/>
    <mergeCell ref="AG1402:AI1402"/>
    <mergeCell ref="AK1402:AM1402"/>
    <mergeCell ref="C1400:E1400"/>
    <mergeCell ref="G1400:I1400"/>
    <mergeCell ref="M1400:O1400"/>
    <mergeCell ref="Q1400:S1400"/>
    <mergeCell ref="W1400:Y1400"/>
    <mergeCell ref="AA1400:AC1400"/>
    <mergeCell ref="AG1396:AI1396"/>
    <mergeCell ref="AK1396:AM1396"/>
    <mergeCell ref="C1398:E1398"/>
    <mergeCell ref="G1398:I1398"/>
    <mergeCell ref="M1398:O1398"/>
    <mergeCell ref="Q1398:S1398"/>
    <mergeCell ref="W1398:Y1398"/>
    <mergeCell ref="AA1398:AC1398"/>
    <mergeCell ref="AG1398:AI1398"/>
    <mergeCell ref="AK1398:AM1398"/>
    <mergeCell ref="C1396:E1396"/>
    <mergeCell ref="G1396:I1396"/>
    <mergeCell ref="M1396:O1396"/>
    <mergeCell ref="Q1396:S1396"/>
    <mergeCell ref="W1396:Y1396"/>
    <mergeCell ref="AA1396:AC1396"/>
    <mergeCell ref="AG1392:AI1392"/>
    <mergeCell ref="AK1392:AM1392"/>
    <mergeCell ref="C1394:E1394"/>
    <mergeCell ref="G1394:I1394"/>
    <mergeCell ref="M1394:O1394"/>
    <mergeCell ref="Q1394:S1394"/>
    <mergeCell ref="W1394:Y1394"/>
    <mergeCell ref="AA1394:AC1394"/>
    <mergeCell ref="AG1394:AI1394"/>
    <mergeCell ref="AK1394:AM1394"/>
    <mergeCell ref="C1392:E1392"/>
    <mergeCell ref="G1392:I1392"/>
    <mergeCell ref="M1392:O1392"/>
    <mergeCell ref="Q1392:S1392"/>
    <mergeCell ref="W1392:Y1392"/>
    <mergeCell ref="AA1392:AC1392"/>
    <mergeCell ref="AG1388:AI1388"/>
    <mergeCell ref="AK1388:AM1388"/>
    <mergeCell ref="C1390:E1390"/>
    <mergeCell ref="G1390:I1390"/>
    <mergeCell ref="M1390:O1390"/>
    <mergeCell ref="Q1390:S1390"/>
    <mergeCell ref="W1390:Y1390"/>
    <mergeCell ref="AA1390:AC1390"/>
    <mergeCell ref="AG1390:AI1390"/>
    <mergeCell ref="AK1390:AM1390"/>
    <mergeCell ref="C1388:E1388"/>
    <mergeCell ref="G1388:I1388"/>
    <mergeCell ref="M1388:O1388"/>
    <mergeCell ref="Q1388:S1388"/>
    <mergeCell ref="W1388:Y1388"/>
    <mergeCell ref="AA1388:AC1388"/>
    <mergeCell ref="AG1384:AI1384"/>
    <mergeCell ref="AK1384:AM1384"/>
    <mergeCell ref="C1386:E1386"/>
    <mergeCell ref="G1386:I1386"/>
    <mergeCell ref="M1386:O1386"/>
    <mergeCell ref="Q1386:S1386"/>
    <mergeCell ref="W1386:Y1386"/>
    <mergeCell ref="AA1386:AC1386"/>
    <mergeCell ref="AG1386:AI1386"/>
    <mergeCell ref="AK1386:AM1386"/>
    <mergeCell ref="D1382:J1382"/>
    <mergeCell ref="N1382:T1382"/>
    <mergeCell ref="X1382:AD1382"/>
    <mergeCell ref="AH1382:AN1382"/>
    <mergeCell ref="C1384:E1384"/>
    <mergeCell ref="G1384:I1384"/>
    <mergeCell ref="M1384:O1384"/>
    <mergeCell ref="Q1384:S1384"/>
    <mergeCell ref="W1384:Y1384"/>
    <mergeCell ref="AA1384:AC1384"/>
    <mergeCell ref="AG1378:AI1378"/>
    <mergeCell ref="AK1378:AM1378"/>
    <mergeCell ref="C1380:E1380"/>
    <mergeCell ref="G1380:I1380"/>
    <mergeCell ref="M1380:O1380"/>
    <mergeCell ref="Q1380:S1380"/>
    <mergeCell ref="W1380:Y1380"/>
    <mergeCell ref="AA1380:AC1380"/>
    <mergeCell ref="AG1380:AI1380"/>
    <mergeCell ref="AK1380:AM1380"/>
    <mergeCell ref="C1378:E1378"/>
    <mergeCell ref="G1378:I1378"/>
    <mergeCell ref="M1378:O1378"/>
    <mergeCell ref="Q1378:S1378"/>
    <mergeCell ref="W1378:Y1378"/>
    <mergeCell ref="AA1378:AC1378"/>
    <mergeCell ref="AG1374:AI1374"/>
    <mergeCell ref="AK1374:AM1374"/>
    <mergeCell ref="C1376:E1376"/>
    <mergeCell ref="G1376:I1376"/>
    <mergeCell ref="M1376:O1376"/>
    <mergeCell ref="Q1376:S1376"/>
    <mergeCell ref="W1376:Y1376"/>
    <mergeCell ref="AA1376:AC1376"/>
    <mergeCell ref="AG1376:AI1376"/>
    <mergeCell ref="AK1376:AM1376"/>
    <mergeCell ref="C1374:E1374"/>
    <mergeCell ref="G1374:I1374"/>
    <mergeCell ref="M1374:O1374"/>
    <mergeCell ref="Q1374:S1374"/>
    <mergeCell ref="W1374:Y1374"/>
    <mergeCell ref="AA1374:AC1374"/>
    <mergeCell ref="AG1370:AI1370"/>
    <mergeCell ref="AK1370:AM1370"/>
    <mergeCell ref="C1372:E1372"/>
    <mergeCell ref="G1372:I1372"/>
    <mergeCell ref="M1372:O1372"/>
    <mergeCell ref="Q1372:S1372"/>
    <mergeCell ref="W1372:Y1372"/>
    <mergeCell ref="AA1372:AC1372"/>
    <mergeCell ref="AG1372:AI1372"/>
    <mergeCell ref="AK1372:AM1372"/>
    <mergeCell ref="C1370:E1370"/>
    <mergeCell ref="G1370:I1370"/>
    <mergeCell ref="M1370:O1370"/>
    <mergeCell ref="Q1370:S1370"/>
    <mergeCell ref="W1370:Y1370"/>
    <mergeCell ref="AA1370:AC1370"/>
    <mergeCell ref="AG1366:AI1366"/>
    <mergeCell ref="AK1366:AM1366"/>
    <mergeCell ref="C1368:E1368"/>
    <mergeCell ref="G1368:I1368"/>
    <mergeCell ref="M1368:O1368"/>
    <mergeCell ref="Q1368:S1368"/>
    <mergeCell ref="W1368:Y1368"/>
    <mergeCell ref="AA1368:AC1368"/>
    <mergeCell ref="AG1368:AI1368"/>
    <mergeCell ref="AK1368:AM1368"/>
    <mergeCell ref="C1366:E1366"/>
    <mergeCell ref="G1366:I1366"/>
    <mergeCell ref="M1366:O1366"/>
    <mergeCell ref="Q1366:S1366"/>
    <mergeCell ref="W1366:Y1366"/>
    <mergeCell ref="AA1366:AC1366"/>
    <mergeCell ref="AG1362:AI1362"/>
    <mergeCell ref="AK1362:AM1362"/>
    <mergeCell ref="C1364:E1364"/>
    <mergeCell ref="G1364:I1364"/>
    <mergeCell ref="M1364:O1364"/>
    <mergeCell ref="Q1364:S1364"/>
    <mergeCell ref="W1364:Y1364"/>
    <mergeCell ref="AA1364:AC1364"/>
    <mergeCell ref="AG1364:AI1364"/>
    <mergeCell ref="AK1364:AM1364"/>
    <mergeCell ref="D1360:J1360"/>
    <mergeCell ref="N1360:T1360"/>
    <mergeCell ref="X1360:AD1360"/>
    <mergeCell ref="AH1360:AN1360"/>
    <mergeCell ref="C1362:E1362"/>
    <mergeCell ref="G1362:I1362"/>
    <mergeCell ref="M1362:O1362"/>
    <mergeCell ref="Q1362:S1362"/>
    <mergeCell ref="W1362:Y1362"/>
    <mergeCell ref="AA1362:AC1362"/>
    <mergeCell ref="AG1356:AI1356"/>
    <mergeCell ref="AK1356:AM1356"/>
    <mergeCell ref="C1358:E1358"/>
    <mergeCell ref="G1358:I1358"/>
    <mergeCell ref="M1358:O1358"/>
    <mergeCell ref="Q1358:S1358"/>
    <mergeCell ref="W1358:Y1358"/>
    <mergeCell ref="AA1358:AC1358"/>
    <mergeCell ref="AG1358:AI1358"/>
    <mergeCell ref="AK1358:AM1358"/>
    <mergeCell ref="C1356:E1356"/>
    <mergeCell ref="G1356:I1356"/>
    <mergeCell ref="M1356:O1356"/>
    <mergeCell ref="Q1356:S1356"/>
    <mergeCell ref="W1356:Y1356"/>
    <mergeCell ref="AA1356:AC1356"/>
    <mergeCell ref="AG1352:AI1352"/>
    <mergeCell ref="AK1352:AM1352"/>
    <mergeCell ref="C1354:E1354"/>
    <mergeCell ref="G1354:I1354"/>
    <mergeCell ref="M1354:O1354"/>
    <mergeCell ref="Q1354:S1354"/>
    <mergeCell ref="W1354:Y1354"/>
    <mergeCell ref="AA1354:AC1354"/>
    <mergeCell ref="AG1354:AI1354"/>
    <mergeCell ref="AK1354:AM1354"/>
    <mergeCell ref="C1352:E1352"/>
    <mergeCell ref="G1352:I1352"/>
    <mergeCell ref="M1352:O1352"/>
    <mergeCell ref="Q1352:S1352"/>
    <mergeCell ref="W1352:Y1352"/>
    <mergeCell ref="AA1352:AC1352"/>
    <mergeCell ref="AG1348:AI1348"/>
    <mergeCell ref="AK1348:AM1348"/>
    <mergeCell ref="C1350:E1350"/>
    <mergeCell ref="G1350:I1350"/>
    <mergeCell ref="M1350:O1350"/>
    <mergeCell ref="Q1350:S1350"/>
    <mergeCell ref="W1350:Y1350"/>
    <mergeCell ref="AA1350:AC1350"/>
    <mergeCell ref="AG1350:AI1350"/>
    <mergeCell ref="AK1350:AM1350"/>
    <mergeCell ref="C1348:E1348"/>
    <mergeCell ref="G1348:I1348"/>
    <mergeCell ref="M1348:O1348"/>
    <mergeCell ref="Q1348:S1348"/>
    <mergeCell ref="W1348:Y1348"/>
    <mergeCell ref="AA1348:AC1348"/>
    <mergeCell ref="AG1344:AI1344"/>
    <mergeCell ref="AK1344:AM1344"/>
    <mergeCell ref="C1346:E1346"/>
    <mergeCell ref="G1346:I1346"/>
    <mergeCell ref="M1346:O1346"/>
    <mergeCell ref="Q1346:S1346"/>
    <mergeCell ref="W1346:Y1346"/>
    <mergeCell ref="AA1346:AC1346"/>
    <mergeCell ref="AG1346:AI1346"/>
    <mergeCell ref="AK1346:AM1346"/>
    <mergeCell ref="C1344:E1344"/>
    <mergeCell ref="G1344:I1344"/>
    <mergeCell ref="M1344:O1344"/>
    <mergeCell ref="Q1344:S1344"/>
    <mergeCell ref="W1344:Y1344"/>
    <mergeCell ref="AA1344:AC1344"/>
    <mergeCell ref="AG1340:AI1340"/>
    <mergeCell ref="AK1340:AM1340"/>
    <mergeCell ref="C1342:E1342"/>
    <mergeCell ref="G1342:I1342"/>
    <mergeCell ref="M1342:O1342"/>
    <mergeCell ref="Q1342:S1342"/>
    <mergeCell ref="W1342:Y1342"/>
    <mergeCell ref="AA1342:AC1342"/>
    <mergeCell ref="AG1342:AI1342"/>
    <mergeCell ref="AK1342:AM1342"/>
    <mergeCell ref="D1338:J1338"/>
    <mergeCell ref="N1338:T1338"/>
    <mergeCell ref="X1338:AD1338"/>
    <mergeCell ref="AH1338:AN1338"/>
    <mergeCell ref="C1340:E1340"/>
    <mergeCell ref="G1340:I1340"/>
    <mergeCell ref="M1340:O1340"/>
    <mergeCell ref="Q1340:S1340"/>
    <mergeCell ref="W1340:Y1340"/>
    <mergeCell ref="AA1340:AC1340"/>
    <mergeCell ref="AG1334:AI1334"/>
    <mergeCell ref="AK1334:AM1334"/>
    <mergeCell ref="C1336:E1336"/>
    <mergeCell ref="G1336:I1336"/>
    <mergeCell ref="M1336:O1336"/>
    <mergeCell ref="Q1336:S1336"/>
    <mergeCell ref="W1336:Y1336"/>
    <mergeCell ref="AA1336:AC1336"/>
    <mergeCell ref="AG1336:AI1336"/>
    <mergeCell ref="AK1336:AM1336"/>
    <mergeCell ref="C1334:E1334"/>
    <mergeCell ref="G1334:I1334"/>
    <mergeCell ref="M1334:O1334"/>
    <mergeCell ref="Q1334:S1334"/>
    <mergeCell ref="W1334:Y1334"/>
    <mergeCell ref="AA1334:AC1334"/>
    <mergeCell ref="AG1330:AI1330"/>
    <mergeCell ref="AK1330:AM1330"/>
    <mergeCell ref="C1332:E1332"/>
    <mergeCell ref="G1332:I1332"/>
    <mergeCell ref="M1332:O1332"/>
    <mergeCell ref="Q1332:S1332"/>
    <mergeCell ref="W1332:Y1332"/>
    <mergeCell ref="AA1332:AC1332"/>
    <mergeCell ref="AG1332:AI1332"/>
    <mergeCell ref="AK1332:AM1332"/>
    <mergeCell ref="C1330:E1330"/>
    <mergeCell ref="G1330:I1330"/>
    <mergeCell ref="M1330:O1330"/>
    <mergeCell ref="Q1330:S1330"/>
    <mergeCell ref="W1330:Y1330"/>
    <mergeCell ref="AA1330:AC1330"/>
    <mergeCell ref="AG1326:AI1326"/>
    <mergeCell ref="AK1326:AM1326"/>
    <mergeCell ref="C1328:E1328"/>
    <mergeCell ref="G1328:I1328"/>
    <mergeCell ref="M1328:O1328"/>
    <mergeCell ref="Q1328:S1328"/>
    <mergeCell ref="W1328:Y1328"/>
    <mergeCell ref="AA1328:AC1328"/>
    <mergeCell ref="AG1328:AI1328"/>
    <mergeCell ref="AK1328:AM1328"/>
    <mergeCell ref="C1326:E1326"/>
    <mergeCell ref="G1326:I1326"/>
    <mergeCell ref="M1326:O1326"/>
    <mergeCell ref="Q1326:S1326"/>
    <mergeCell ref="W1326:Y1326"/>
    <mergeCell ref="AA1326:AC1326"/>
    <mergeCell ref="AG1322:AI1322"/>
    <mergeCell ref="AK1322:AM1322"/>
    <mergeCell ref="C1324:E1324"/>
    <mergeCell ref="G1324:I1324"/>
    <mergeCell ref="M1324:O1324"/>
    <mergeCell ref="Q1324:S1324"/>
    <mergeCell ref="W1324:Y1324"/>
    <mergeCell ref="AA1324:AC1324"/>
    <mergeCell ref="AG1324:AI1324"/>
    <mergeCell ref="AK1324:AM1324"/>
    <mergeCell ref="C1322:E1322"/>
    <mergeCell ref="G1322:I1322"/>
    <mergeCell ref="M1322:O1322"/>
    <mergeCell ref="Q1322:S1322"/>
    <mergeCell ref="W1322:Y1322"/>
    <mergeCell ref="AA1322:AC1322"/>
    <mergeCell ref="AG1318:AI1318"/>
    <mergeCell ref="AK1318:AM1318"/>
    <mergeCell ref="C1320:E1320"/>
    <mergeCell ref="G1320:I1320"/>
    <mergeCell ref="M1320:O1320"/>
    <mergeCell ref="Q1320:S1320"/>
    <mergeCell ref="W1320:Y1320"/>
    <mergeCell ref="AA1320:AC1320"/>
    <mergeCell ref="AG1320:AI1320"/>
    <mergeCell ref="AK1320:AM1320"/>
    <mergeCell ref="D1316:J1316"/>
    <mergeCell ref="N1316:T1316"/>
    <mergeCell ref="X1316:AD1316"/>
    <mergeCell ref="AH1316:AN1316"/>
    <mergeCell ref="C1318:E1318"/>
    <mergeCell ref="G1318:I1318"/>
    <mergeCell ref="M1318:O1318"/>
    <mergeCell ref="Q1318:S1318"/>
    <mergeCell ref="W1318:Y1318"/>
    <mergeCell ref="AA1318:AC1318"/>
    <mergeCell ref="AG1312:AI1312"/>
    <mergeCell ref="AK1312:AM1312"/>
    <mergeCell ref="C1314:E1314"/>
    <mergeCell ref="G1314:I1314"/>
    <mergeCell ref="M1314:O1314"/>
    <mergeCell ref="Q1314:S1314"/>
    <mergeCell ref="W1314:Y1314"/>
    <mergeCell ref="AA1314:AC1314"/>
    <mergeCell ref="AG1314:AI1314"/>
    <mergeCell ref="AK1314:AM1314"/>
    <mergeCell ref="C1312:E1312"/>
    <mergeCell ref="G1312:I1312"/>
    <mergeCell ref="M1312:O1312"/>
    <mergeCell ref="Q1312:S1312"/>
    <mergeCell ref="W1312:Y1312"/>
    <mergeCell ref="AA1312:AC1312"/>
    <mergeCell ref="AG1308:AI1308"/>
    <mergeCell ref="AK1308:AM1308"/>
    <mergeCell ref="C1310:E1310"/>
    <mergeCell ref="G1310:I1310"/>
    <mergeCell ref="M1310:O1310"/>
    <mergeCell ref="Q1310:S1310"/>
    <mergeCell ref="W1310:Y1310"/>
    <mergeCell ref="AA1310:AC1310"/>
    <mergeCell ref="AG1310:AI1310"/>
    <mergeCell ref="AK1310:AM1310"/>
    <mergeCell ref="C1308:E1308"/>
    <mergeCell ref="G1308:I1308"/>
    <mergeCell ref="M1308:O1308"/>
    <mergeCell ref="Q1308:S1308"/>
    <mergeCell ref="W1308:Y1308"/>
    <mergeCell ref="AA1308:AC1308"/>
    <mergeCell ref="AG1304:AI1304"/>
    <mergeCell ref="AK1304:AM1304"/>
    <mergeCell ref="C1306:E1306"/>
    <mergeCell ref="G1306:I1306"/>
    <mergeCell ref="M1306:O1306"/>
    <mergeCell ref="Q1306:S1306"/>
    <mergeCell ref="W1306:Y1306"/>
    <mergeCell ref="AA1306:AC1306"/>
    <mergeCell ref="AG1306:AI1306"/>
    <mergeCell ref="AK1306:AM1306"/>
    <mergeCell ref="C1304:E1304"/>
    <mergeCell ref="G1304:I1304"/>
    <mergeCell ref="M1304:O1304"/>
    <mergeCell ref="Q1304:S1304"/>
    <mergeCell ref="W1304:Y1304"/>
    <mergeCell ref="AA1304:AC1304"/>
    <mergeCell ref="AG1300:AI1300"/>
    <mergeCell ref="AK1300:AM1300"/>
    <mergeCell ref="C1302:E1302"/>
    <mergeCell ref="G1302:I1302"/>
    <mergeCell ref="M1302:O1302"/>
    <mergeCell ref="Q1302:S1302"/>
    <mergeCell ref="W1302:Y1302"/>
    <mergeCell ref="AA1302:AC1302"/>
    <mergeCell ref="AG1302:AI1302"/>
    <mergeCell ref="AK1302:AM1302"/>
    <mergeCell ref="C1300:E1300"/>
    <mergeCell ref="G1300:I1300"/>
    <mergeCell ref="M1300:O1300"/>
    <mergeCell ref="Q1300:S1300"/>
    <mergeCell ref="W1300:Y1300"/>
    <mergeCell ref="AA1300:AC1300"/>
    <mergeCell ref="AG1296:AI1296"/>
    <mergeCell ref="AK1296:AM1296"/>
    <mergeCell ref="C1298:E1298"/>
    <mergeCell ref="G1298:I1298"/>
    <mergeCell ref="M1298:O1298"/>
    <mergeCell ref="Q1298:S1298"/>
    <mergeCell ref="W1298:Y1298"/>
    <mergeCell ref="AA1298:AC1298"/>
    <mergeCell ref="AG1298:AI1298"/>
    <mergeCell ref="AK1298:AM1298"/>
    <mergeCell ref="D1294:J1294"/>
    <mergeCell ref="N1294:T1294"/>
    <mergeCell ref="X1294:AD1294"/>
    <mergeCell ref="AH1294:AN1294"/>
    <mergeCell ref="C1296:E1296"/>
    <mergeCell ref="G1296:I1296"/>
    <mergeCell ref="M1296:O1296"/>
    <mergeCell ref="Q1296:S1296"/>
    <mergeCell ref="W1296:Y1296"/>
    <mergeCell ref="AA1296:AC1296"/>
    <mergeCell ref="AG1290:AI1290"/>
    <mergeCell ref="AK1290:AM1290"/>
    <mergeCell ref="C1292:E1292"/>
    <mergeCell ref="G1292:I1292"/>
    <mergeCell ref="M1292:O1292"/>
    <mergeCell ref="Q1292:S1292"/>
    <mergeCell ref="W1292:Y1292"/>
    <mergeCell ref="AA1292:AC1292"/>
    <mergeCell ref="AG1292:AI1292"/>
    <mergeCell ref="AK1292:AM1292"/>
    <mergeCell ref="C1290:E1290"/>
    <mergeCell ref="G1290:I1290"/>
    <mergeCell ref="M1290:O1290"/>
    <mergeCell ref="Q1290:S1290"/>
    <mergeCell ref="W1290:Y1290"/>
    <mergeCell ref="AA1290:AC1290"/>
    <mergeCell ref="AG1286:AI1286"/>
    <mergeCell ref="AK1286:AM1286"/>
    <mergeCell ref="C1288:E1288"/>
    <mergeCell ref="G1288:I1288"/>
    <mergeCell ref="M1288:O1288"/>
    <mergeCell ref="Q1288:S1288"/>
    <mergeCell ref="W1288:Y1288"/>
    <mergeCell ref="AA1288:AC1288"/>
    <mergeCell ref="AG1288:AI1288"/>
    <mergeCell ref="AK1288:AM1288"/>
    <mergeCell ref="C1286:E1286"/>
    <mergeCell ref="G1286:I1286"/>
    <mergeCell ref="M1286:O1286"/>
    <mergeCell ref="Q1286:S1286"/>
    <mergeCell ref="W1286:Y1286"/>
    <mergeCell ref="AA1286:AC1286"/>
    <mergeCell ref="AG1282:AI1282"/>
    <mergeCell ref="AK1282:AM1282"/>
    <mergeCell ref="C1284:E1284"/>
    <mergeCell ref="G1284:I1284"/>
    <mergeCell ref="M1284:O1284"/>
    <mergeCell ref="Q1284:S1284"/>
    <mergeCell ref="W1284:Y1284"/>
    <mergeCell ref="AA1284:AC1284"/>
    <mergeCell ref="AG1284:AI1284"/>
    <mergeCell ref="AK1284:AM1284"/>
    <mergeCell ref="C1282:E1282"/>
    <mergeCell ref="G1282:I1282"/>
    <mergeCell ref="M1282:O1282"/>
    <mergeCell ref="Q1282:S1282"/>
    <mergeCell ref="W1282:Y1282"/>
    <mergeCell ref="AA1282:AC1282"/>
    <mergeCell ref="AG1278:AI1278"/>
    <mergeCell ref="AK1278:AM1278"/>
    <mergeCell ref="C1280:E1280"/>
    <mergeCell ref="G1280:I1280"/>
    <mergeCell ref="M1280:O1280"/>
    <mergeCell ref="Q1280:S1280"/>
    <mergeCell ref="W1280:Y1280"/>
    <mergeCell ref="AA1280:AC1280"/>
    <mergeCell ref="AG1280:AI1280"/>
    <mergeCell ref="AK1280:AM1280"/>
    <mergeCell ref="C1278:E1278"/>
    <mergeCell ref="G1278:I1278"/>
    <mergeCell ref="M1278:O1278"/>
    <mergeCell ref="Q1278:S1278"/>
    <mergeCell ref="W1278:Y1278"/>
    <mergeCell ref="AA1278:AC1278"/>
    <mergeCell ref="AG1274:AI1274"/>
    <mergeCell ref="AK1274:AM1274"/>
    <mergeCell ref="C1276:E1276"/>
    <mergeCell ref="G1276:I1276"/>
    <mergeCell ref="M1276:O1276"/>
    <mergeCell ref="Q1276:S1276"/>
    <mergeCell ref="W1276:Y1276"/>
    <mergeCell ref="AA1276:AC1276"/>
    <mergeCell ref="AG1276:AI1276"/>
    <mergeCell ref="AK1276:AM1276"/>
    <mergeCell ref="D1272:J1272"/>
    <mergeCell ref="N1272:T1272"/>
    <mergeCell ref="X1272:AD1272"/>
    <mergeCell ref="AH1272:AN1272"/>
    <mergeCell ref="C1274:E1274"/>
    <mergeCell ref="G1274:I1274"/>
    <mergeCell ref="M1274:O1274"/>
    <mergeCell ref="Q1274:S1274"/>
    <mergeCell ref="W1274:Y1274"/>
    <mergeCell ref="AA1274:AC1274"/>
    <mergeCell ref="AG1268:AI1268"/>
    <mergeCell ref="AK1268:AM1268"/>
    <mergeCell ref="C1270:E1270"/>
    <mergeCell ref="G1270:I1270"/>
    <mergeCell ref="M1270:O1270"/>
    <mergeCell ref="Q1270:S1270"/>
    <mergeCell ref="W1270:Y1270"/>
    <mergeCell ref="AA1270:AC1270"/>
    <mergeCell ref="AG1270:AI1270"/>
    <mergeCell ref="AK1270:AM1270"/>
    <mergeCell ref="C1268:E1268"/>
    <mergeCell ref="G1268:I1268"/>
    <mergeCell ref="M1268:O1268"/>
    <mergeCell ref="Q1268:S1268"/>
    <mergeCell ref="W1268:Y1268"/>
    <mergeCell ref="AA1268:AC1268"/>
    <mergeCell ref="AG1264:AI1264"/>
    <mergeCell ref="AK1264:AM1264"/>
    <mergeCell ref="C1266:E1266"/>
    <mergeCell ref="G1266:I1266"/>
    <mergeCell ref="M1266:O1266"/>
    <mergeCell ref="Q1266:S1266"/>
    <mergeCell ref="W1266:Y1266"/>
    <mergeCell ref="AA1266:AC1266"/>
    <mergeCell ref="AG1266:AI1266"/>
    <mergeCell ref="AK1266:AM1266"/>
    <mergeCell ref="C1264:E1264"/>
    <mergeCell ref="G1264:I1264"/>
    <mergeCell ref="M1264:O1264"/>
    <mergeCell ref="Q1264:S1264"/>
    <mergeCell ref="W1264:Y1264"/>
    <mergeCell ref="AA1264:AC1264"/>
    <mergeCell ref="AG1260:AI1260"/>
    <mergeCell ref="AK1260:AM1260"/>
    <mergeCell ref="C1262:E1262"/>
    <mergeCell ref="G1262:I1262"/>
    <mergeCell ref="M1262:O1262"/>
    <mergeCell ref="Q1262:S1262"/>
    <mergeCell ref="W1262:Y1262"/>
    <mergeCell ref="AA1262:AC1262"/>
    <mergeCell ref="AG1262:AI1262"/>
    <mergeCell ref="AK1262:AM1262"/>
    <mergeCell ref="C1260:E1260"/>
    <mergeCell ref="G1260:I1260"/>
    <mergeCell ref="M1260:O1260"/>
    <mergeCell ref="Q1260:S1260"/>
    <mergeCell ref="W1260:Y1260"/>
    <mergeCell ref="AA1260:AC1260"/>
    <mergeCell ref="AG1256:AI1256"/>
    <mergeCell ref="AK1256:AM1256"/>
    <mergeCell ref="C1258:E1258"/>
    <mergeCell ref="G1258:I1258"/>
    <mergeCell ref="M1258:O1258"/>
    <mergeCell ref="Q1258:S1258"/>
    <mergeCell ref="W1258:Y1258"/>
    <mergeCell ref="AA1258:AC1258"/>
    <mergeCell ref="AG1258:AI1258"/>
    <mergeCell ref="AK1258:AM1258"/>
    <mergeCell ref="C1256:E1256"/>
    <mergeCell ref="G1256:I1256"/>
    <mergeCell ref="M1256:O1256"/>
    <mergeCell ref="Q1256:S1256"/>
    <mergeCell ref="W1256:Y1256"/>
    <mergeCell ref="AA1256:AC1256"/>
    <mergeCell ref="AG1252:AI1252"/>
    <mergeCell ref="AK1252:AM1252"/>
    <mergeCell ref="C1254:E1254"/>
    <mergeCell ref="G1254:I1254"/>
    <mergeCell ref="M1254:O1254"/>
    <mergeCell ref="Q1254:S1254"/>
    <mergeCell ref="W1254:Y1254"/>
    <mergeCell ref="AA1254:AC1254"/>
    <mergeCell ref="AG1254:AI1254"/>
    <mergeCell ref="AK1254:AM1254"/>
    <mergeCell ref="D1250:J1250"/>
    <mergeCell ref="N1250:T1250"/>
    <mergeCell ref="X1250:AD1250"/>
    <mergeCell ref="AH1250:AN1250"/>
    <mergeCell ref="C1252:E1252"/>
    <mergeCell ref="G1252:I1252"/>
    <mergeCell ref="M1252:O1252"/>
    <mergeCell ref="Q1252:S1252"/>
    <mergeCell ref="W1252:Y1252"/>
    <mergeCell ref="AA1252:AC1252"/>
    <mergeCell ref="AG1246:AI1246"/>
    <mergeCell ref="AK1246:AM1246"/>
    <mergeCell ref="C1248:E1248"/>
    <mergeCell ref="G1248:I1248"/>
    <mergeCell ref="M1248:O1248"/>
    <mergeCell ref="Q1248:S1248"/>
    <mergeCell ref="W1248:Y1248"/>
    <mergeCell ref="AA1248:AC1248"/>
    <mergeCell ref="AG1248:AI1248"/>
    <mergeCell ref="AK1248:AM1248"/>
    <mergeCell ref="C1246:E1246"/>
    <mergeCell ref="G1246:I1246"/>
    <mergeCell ref="M1246:O1246"/>
    <mergeCell ref="Q1246:S1246"/>
    <mergeCell ref="W1246:Y1246"/>
    <mergeCell ref="AA1246:AC1246"/>
    <mergeCell ref="AG1242:AI1242"/>
    <mergeCell ref="AK1242:AM1242"/>
    <mergeCell ref="C1244:E1244"/>
    <mergeCell ref="G1244:I1244"/>
    <mergeCell ref="M1244:O1244"/>
    <mergeCell ref="Q1244:S1244"/>
    <mergeCell ref="W1244:Y1244"/>
    <mergeCell ref="AA1244:AC1244"/>
    <mergeCell ref="AG1244:AI1244"/>
    <mergeCell ref="AK1244:AM1244"/>
    <mergeCell ref="C1242:E1242"/>
    <mergeCell ref="G1242:I1242"/>
    <mergeCell ref="M1242:O1242"/>
    <mergeCell ref="Q1242:S1242"/>
    <mergeCell ref="W1242:Y1242"/>
    <mergeCell ref="AA1242:AC1242"/>
    <mergeCell ref="AG1238:AI1238"/>
    <mergeCell ref="AK1238:AM1238"/>
    <mergeCell ref="C1240:E1240"/>
    <mergeCell ref="G1240:I1240"/>
    <mergeCell ref="M1240:O1240"/>
    <mergeCell ref="Q1240:S1240"/>
    <mergeCell ref="W1240:Y1240"/>
    <mergeCell ref="AA1240:AC1240"/>
    <mergeCell ref="AG1240:AI1240"/>
    <mergeCell ref="AK1240:AM1240"/>
    <mergeCell ref="C1238:E1238"/>
    <mergeCell ref="G1238:I1238"/>
    <mergeCell ref="M1238:O1238"/>
    <mergeCell ref="Q1238:S1238"/>
    <mergeCell ref="W1238:Y1238"/>
    <mergeCell ref="AA1238:AC1238"/>
    <mergeCell ref="AG1234:AI1234"/>
    <mergeCell ref="AK1234:AM1234"/>
    <mergeCell ref="C1236:E1236"/>
    <mergeCell ref="G1236:I1236"/>
    <mergeCell ref="M1236:O1236"/>
    <mergeCell ref="Q1236:S1236"/>
    <mergeCell ref="W1236:Y1236"/>
    <mergeCell ref="AA1236:AC1236"/>
    <mergeCell ref="AG1236:AI1236"/>
    <mergeCell ref="AK1236:AM1236"/>
    <mergeCell ref="C1234:E1234"/>
    <mergeCell ref="G1234:I1234"/>
    <mergeCell ref="M1234:O1234"/>
    <mergeCell ref="Q1234:S1234"/>
    <mergeCell ref="W1234:Y1234"/>
    <mergeCell ref="AA1234:AC1234"/>
    <mergeCell ref="AG1230:AI1230"/>
    <mergeCell ref="AK1230:AM1230"/>
    <mergeCell ref="C1232:E1232"/>
    <mergeCell ref="G1232:I1232"/>
    <mergeCell ref="M1232:O1232"/>
    <mergeCell ref="Q1232:S1232"/>
    <mergeCell ref="W1232:Y1232"/>
    <mergeCell ref="AA1232:AC1232"/>
    <mergeCell ref="AG1232:AI1232"/>
    <mergeCell ref="AK1232:AM1232"/>
    <mergeCell ref="D1228:J1228"/>
    <mergeCell ref="N1228:T1228"/>
    <mergeCell ref="X1228:AD1228"/>
    <mergeCell ref="AH1228:AN1228"/>
    <mergeCell ref="C1230:E1230"/>
    <mergeCell ref="G1230:I1230"/>
    <mergeCell ref="M1230:O1230"/>
    <mergeCell ref="Q1230:S1230"/>
    <mergeCell ref="W1230:Y1230"/>
    <mergeCell ref="AA1230:AC1230"/>
    <mergeCell ref="AG1224:AI1224"/>
    <mergeCell ref="AK1224:AM1224"/>
    <mergeCell ref="C1226:E1226"/>
    <mergeCell ref="G1226:I1226"/>
    <mergeCell ref="M1226:O1226"/>
    <mergeCell ref="Q1226:S1226"/>
    <mergeCell ref="W1226:Y1226"/>
    <mergeCell ref="AA1226:AC1226"/>
    <mergeCell ref="AG1226:AI1226"/>
    <mergeCell ref="AK1226:AM1226"/>
    <mergeCell ref="C1224:E1224"/>
    <mergeCell ref="G1224:I1224"/>
    <mergeCell ref="M1224:O1224"/>
    <mergeCell ref="Q1224:S1224"/>
    <mergeCell ref="W1224:Y1224"/>
    <mergeCell ref="AA1224:AC1224"/>
    <mergeCell ref="AG1220:AI1220"/>
    <mergeCell ref="AK1220:AM1220"/>
    <mergeCell ref="C1222:E1222"/>
    <mergeCell ref="G1222:I1222"/>
    <mergeCell ref="M1222:O1222"/>
    <mergeCell ref="Q1222:S1222"/>
    <mergeCell ref="W1222:Y1222"/>
    <mergeCell ref="AA1222:AC1222"/>
    <mergeCell ref="AG1222:AI1222"/>
    <mergeCell ref="AK1222:AM1222"/>
    <mergeCell ref="C1220:E1220"/>
    <mergeCell ref="G1220:I1220"/>
    <mergeCell ref="M1220:O1220"/>
    <mergeCell ref="Q1220:S1220"/>
    <mergeCell ref="W1220:Y1220"/>
    <mergeCell ref="AA1220:AC1220"/>
    <mergeCell ref="AG1216:AI1216"/>
    <mergeCell ref="AK1216:AM1216"/>
    <mergeCell ref="C1218:E1218"/>
    <mergeCell ref="G1218:I1218"/>
    <mergeCell ref="M1218:O1218"/>
    <mergeCell ref="Q1218:S1218"/>
    <mergeCell ref="W1218:Y1218"/>
    <mergeCell ref="AA1218:AC1218"/>
    <mergeCell ref="AG1218:AI1218"/>
    <mergeCell ref="AK1218:AM1218"/>
    <mergeCell ref="C1216:E1216"/>
    <mergeCell ref="G1216:I1216"/>
    <mergeCell ref="M1216:O1216"/>
    <mergeCell ref="Q1216:S1216"/>
    <mergeCell ref="W1216:Y1216"/>
    <mergeCell ref="AA1216:AC1216"/>
    <mergeCell ref="AG1212:AI1212"/>
    <mergeCell ref="AK1212:AM1212"/>
    <mergeCell ref="C1214:E1214"/>
    <mergeCell ref="G1214:I1214"/>
    <mergeCell ref="M1214:O1214"/>
    <mergeCell ref="Q1214:S1214"/>
    <mergeCell ref="W1214:Y1214"/>
    <mergeCell ref="AA1214:AC1214"/>
    <mergeCell ref="AG1214:AI1214"/>
    <mergeCell ref="AK1214:AM1214"/>
    <mergeCell ref="C1212:E1212"/>
    <mergeCell ref="G1212:I1212"/>
    <mergeCell ref="M1212:O1212"/>
    <mergeCell ref="Q1212:S1212"/>
    <mergeCell ref="W1212:Y1212"/>
    <mergeCell ref="AA1212:AC1212"/>
    <mergeCell ref="AG1208:AI1208"/>
    <mergeCell ref="AK1208:AM1208"/>
    <mergeCell ref="C1210:E1210"/>
    <mergeCell ref="G1210:I1210"/>
    <mergeCell ref="M1210:O1210"/>
    <mergeCell ref="Q1210:S1210"/>
    <mergeCell ref="W1210:Y1210"/>
    <mergeCell ref="AA1210:AC1210"/>
    <mergeCell ref="AG1210:AI1210"/>
    <mergeCell ref="AK1210:AM1210"/>
    <mergeCell ref="D1206:J1206"/>
    <mergeCell ref="N1206:T1206"/>
    <mergeCell ref="X1206:AD1206"/>
    <mergeCell ref="AH1206:AN1206"/>
    <mergeCell ref="C1208:E1208"/>
    <mergeCell ref="G1208:I1208"/>
    <mergeCell ref="M1208:O1208"/>
    <mergeCell ref="Q1208:S1208"/>
    <mergeCell ref="W1208:Y1208"/>
    <mergeCell ref="AA1208:AC1208"/>
    <mergeCell ref="AG1202:AI1202"/>
    <mergeCell ref="AK1202:AM1202"/>
    <mergeCell ref="C1204:E1204"/>
    <mergeCell ref="G1204:I1204"/>
    <mergeCell ref="M1204:O1204"/>
    <mergeCell ref="Q1204:S1204"/>
    <mergeCell ref="W1204:Y1204"/>
    <mergeCell ref="AA1204:AC1204"/>
    <mergeCell ref="AG1204:AI1204"/>
    <mergeCell ref="AK1204:AM1204"/>
    <mergeCell ref="C1202:E1202"/>
    <mergeCell ref="G1202:I1202"/>
    <mergeCell ref="M1202:O1202"/>
    <mergeCell ref="Q1202:S1202"/>
    <mergeCell ref="W1202:Y1202"/>
    <mergeCell ref="AA1202:AC1202"/>
    <mergeCell ref="AG1198:AI1198"/>
    <mergeCell ref="AK1198:AM1198"/>
    <mergeCell ref="C1200:E1200"/>
    <mergeCell ref="G1200:I1200"/>
    <mergeCell ref="M1200:O1200"/>
    <mergeCell ref="Q1200:S1200"/>
    <mergeCell ref="W1200:Y1200"/>
    <mergeCell ref="AA1200:AC1200"/>
    <mergeCell ref="AG1200:AI1200"/>
    <mergeCell ref="AK1200:AM1200"/>
    <mergeCell ref="C1198:E1198"/>
    <mergeCell ref="G1198:I1198"/>
    <mergeCell ref="M1198:O1198"/>
    <mergeCell ref="Q1198:S1198"/>
    <mergeCell ref="W1198:Y1198"/>
    <mergeCell ref="AA1198:AC1198"/>
    <mergeCell ref="AG1194:AI1194"/>
    <mergeCell ref="AK1194:AM1194"/>
    <mergeCell ref="C1196:E1196"/>
    <mergeCell ref="G1196:I1196"/>
    <mergeCell ref="M1196:O1196"/>
    <mergeCell ref="Q1196:S1196"/>
    <mergeCell ref="W1196:Y1196"/>
    <mergeCell ref="AA1196:AC1196"/>
    <mergeCell ref="AG1196:AI1196"/>
    <mergeCell ref="AK1196:AM1196"/>
    <mergeCell ref="C1194:E1194"/>
    <mergeCell ref="G1194:I1194"/>
    <mergeCell ref="M1194:O1194"/>
    <mergeCell ref="Q1194:S1194"/>
    <mergeCell ref="W1194:Y1194"/>
    <mergeCell ref="AA1194:AC1194"/>
    <mergeCell ref="AG1190:AI1190"/>
    <mergeCell ref="AK1190:AM1190"/>
    <mergeCell ref="C1192:E1192"/>
    <mergeCell ref="G1192:I1192"/>
    <mergeCell ref="M1192:O1192"/>
    <mergeCell ref="Q1192:S1192"/>
    <mergeCell ref="W1192:Y1192"/>
    <mergeCell ref="AA1192:AC1192"/>
    <mergeCell ref="AG1192:AI1192"/>
    <mergeCell ref="AK1192:AM1192"/>
    <mergeCell ref="C1190:E1190"/>
    <mergeCell ref="G1190:I1190"/>
    <mergeCell ref="M1190:O1190"/>
    <mergeCell ref="Q1190:S1190"/>
    <mergeCell ref="W1190:Y1190"/>
    <mergeCell ref="AA1190:AC1190"/>
    <mergeCell ref="AG1186:AI1186"/>
    <mergeCell ref="AK1186:AM1186"/>
    <mergeCell ref="C1188:E1188"/>
    <mergeCell ref="G1188:I1188"/>
    <mergeCell ref="M1188:O1188"/>
    <mergeCell ref="Q1188:S1188"/>
    <mergeCell ref="W1188:Y1188"/>
    <mergeCell ref="AA1188:AC1188"/>
    <mergeCell ref="AG1188:AI1188"/>
    <mergeCell ref="AK1188:AM1188"/>
    <mergeCell ref="D1184:J1184"/>
    <mergeCell ref="N1184:T1184"/>
    <mergeCell ref="X1184:AD1184"/>
    <mergeCell ref="AH1184:AN1184"/>
    <mergeCell ref="C1186:E1186"/>
    <mergeCell ref="G1186:I1186"/>
    <mergeCell ref="M1186:O1186"/>
    <mergeCell ref="Q1186:S1186"/>
    <mergeCell ref="W1186:Y1186"/>
    <mergeCell ref="AA1186:AC1186"/>
    <mergeCell ref="AG1180:AI1180"/>
    <mergeCell ref="AK1180:AM1180"/>
    <mergeCell ref="C1182:E1182"/>
    <mergeCell ref="G1182:I1182"/>
    <mergeCell ref="M1182:O1182"/>
    <mergeCell ref="Q1182:S1182"/>
    <mergeCell ref="W1182:Y1182"/>
    <mergeCell ref="AA1182:AC1182"/>
    <mergeCell ref="AG1182:AI1182"/>
    <mergeCell ref="AK1182:AM1182"/>
    <mergeCell ref="C1180:E1180"/>
    <mergeCell ref="G1180:I1180"/>
    <mergeCell ref="M1180:O1180"/>
    <mergeCell ref="Q1180:S1180"/>
    <mergeCell ref="W1180:Y1180"/>
    <mergeCell ref="AA1180:AC1180"/>
    <mergeCell ref="AG1176:AI1176"/>
    <mergeCell ref="AK1176:AM1176"/>
    <mergeCell ref="C1178:E1178"/>
    <mergeCell ref="G1178:I1178"/>
    <mergeCell ref="M1178:O1178"/>
    <mergeCell ref="Q1178:S1178"/>
    <mergeCell ref="W1178:Y1178"/>
    <mergeCell ref="AA1178:AC1178"/>
    <mergeCell ref="AG1178:AI1178"/>
    <mergeCell ref="AK1178:AM1178"/>
    <mergeCell ref="C1176:E1176"/>
    <mergeCell ref="G1176:I1176"/>
    <mergeCell ref="M1176:O1176"/>
    <mergeCell ref="Q1176:S1176"/>
    <mergeCell ref="W1176:Y1176"/>
    <mergeCell ref="AA1176:AC1176"/>
    <mergeCell ref="AG1172:AI1172"/>
    <mergeCell ref="AK1172:AM1172"/>
    <mergeCell ref="C1174:E1174"/>
    <mergeCell ref="G1174:I1174"/>
    <mergeCell ref="M1174:O1174"/>
    <mergeCell ref="Q1174:S1174"/>
    <mergeCell ref="W1174:Y1174"/>
    <mergeCell ref="AA1174:AC1174"/>
    <mergeCell ref="AG1174:AI1174"/>
    <mergeCell ref="AK1174:AM1174"/>
    <mergeCell ref="C1172:E1172"/>
    <mergeCell ref="G1172:I1172"/>
    <mergeCell ref="M1172:O1172"/>
    <mergeCell ref="Q1172:S1172"/>
    <mergeCell ref="W1172:Y1172"/>
    <mergeCell ref="AA1172:AC1172"/>
    <mergeCell ref="AG1168:AI1168"/>
    <mergeCell ref="AK1168:AM1168"/>
    <mergeCell ref="C1170:E1170"/>
    <mergeCell ref="G1170:I1170"/>
    <mergeCell ref="M1170:O1170"/>
    <mergeCell ref="Q1170:S1170"/>
    <mergeCell ref="W1170:Y1170"/>
    <mergeCell ref="AA1170:AC1170"/>
    <mergeCell ref="AG1170:AI1170"/>
    <mergeCell ref="AK1170:AM1170"/>
    <mergeCell ref="C1168:E1168"/>
    <mergeCell ref="G1168:I1168"/>
    <mergeCell ref="M1168:O1168"/>
    <mergeCell ref="Q1168:S1168"/>
    <mergeCell ref="W1168:Y1168"/>
    <mergeCell ref="AA1168:AC1168"/>
    <mergeCell ref="AG1164:AI1164"/>
    <mergeCell ref="AK1164:AM1164"/>
    <mergeCell ref="C1166:E1166"/>
    <mergeCell ref="G1166:I1166"/>
    <mergeCell ref="M1166:O1166"/>
    <mergeCell ref="Q1166:S1166"/>
    <mergeCell ref="W1166:Y1166"/>
    <mergeCell ref="AA1166:AC1166"/>
    <mergeCell ref="AG1166:AI1166"/>
    <mergeCell ref="AK1166:AM1166"/>
    <mergeCell ref="D1162:J1162"/>
    <mergeCell ref="N1162:T1162"/>
    <mergeCell ref="X1162:AD1162"/>
    <mergeCell ref="AH1162:AN1162"/>
    <mergeCell ref="C1164:E1164"/>
    <mergeCell ref="G1164:I1164"/>
    <mergeCell ref="M1164:O1164"/>
    <mergeCell ref="Q1164:S1164"/>
    <mergeCell ref="W1164:Y1164"/>
    <mergeCell ref="AA1164:AC1164"/>
    <mergeCell ref="AG1158:AI1158"/>
    <mergeCell ref="AK1158:AM1158"/>
    <mergeCell ref="C1160:E1160"/>
    <mergeCell ref="G1160:I1160"/>
    <mergeCell ref="M1160:O1160"/>
    <mergeCell ref="Q1160:S1160"/>
    <mergeCell ref="W1160:Y1160"/>
    <mergeCell ref="AA1160:AC1160"/>
    <mergeCell ref="AG1160:AI1160"/>
    <mergeCell ref="AK1160:AM1160"/>
    <mergeCell ref="C1158:E1158"/>
    <mergeCell ref="G1158:I1158"/>
    <mergeCell ref="M1158:O1158"/>
    <mergeCell ref="Q1158:S1158"/>
    <mergeCell ref="W1158:Y1158"/>
    <mergeCell ref="AA1158:AC1158"/>
    <mergeCell ref="AG1154:AI1154"/>
    <mergeCell ref="AK1154:AM1154"/>
    <mergeCell ref="C1156:E1156"/>
    <mergeCell ref="G1156:I1156"/>
    <mergeCell ref="M1156:O1156"/>
    <mergeCell ref="Q1156:S1156"/>
    <mergeCell ref="W1156:Y1156"/>
    <mergeCell ref="AA1156:AC1156"/>
    <mergeCell ref="AG1156:AI1156"/>
    <mergeCell ref="AK1156:AM1156"/>
    <mergeCell ref="C1154:E1154"/>
    <mergeCell ref="G1154:I1154"/>
    <mergeCell ref="M1154:O1154"/>
    <mergeCell ref="Q1154:S1154"/>
    <mergeCell ref="W1154:Y1154"/>
    <mergeCell ref="AA1154:AC1154"/>
    <mergeCell ref="AG1150:AI1150"/>
    <mergeCell ref="AK1150:AM1150"/>
    <mergeCell ref="C1152:E1152"/>
    <mergeCell ref="G1152:I1152"/>
    <mergeCell ref="M1152:O1152"/>
    <mergeCell ref="Q1152:S1152"/>
    <mergeCell ref="W1152:Y1152"/>
    <mergeCell ref="AA1152:AC1152"/>
    <mergeCell ref="AG1152:AI1152"/>
    <mergeCell ref="AK1152:AM1152"/>
    <mergeCell ref="C1150:E1150"/>
    <mergeCell ref="G1150:I1150"/>
    <mergeCell ref="M1150:O1150"/>
    <mergeCell ref="Q1150:S1150"/>
    <mergeCell ref="W1150:Y1150"/>
    <mergeCell ref="AA1150:AC1150"/>
    <mergeCell ref="AG1146:AI1146"/>
    <mergeCell ref="AK1146:AM1146"/>
    <mergeCell ref="C1148:E1148"/>
    <mergeCell ref="G1148:I1148"/>
    <mergeCell ref="M1148:O1148"/>
    <mergeCell ref="Q1148:S1148"/>
    <mergeCell ref="W1148:Y1148"/>
    <mergeCell ref="AA1148:AC1148"/>
    <mergeCell ref="AG1148:AI1148"/>
    <mergeCell ref="AK1148:AM1148"/>
    <mergeCell ref="C1146:E1146"/>
    <mergeCell ref="G1146:I1146"/>
    <mergeCell ref="M1146:O1146"/>
    <mergeCell ref="Q1146:S1146"/>
    <mergeCell ref="W1146:Y1146"/>
    <mergeCell ref="AA1146:AC1146"/>
    <mergeCell ref="AG1142:AI1142"/>
    <mergeCell ref="AK1142:AM1142"/>
    <mergeCell ref="C1144:E1144"/>
    <mergeCell ref="G1144:I1144"/>
    <mergeCell ref="M1144:O1144"/>
    <mergeCell ref="Q1144:S1144"/>
    <mergeCell ref="W1144:Y1144"/>
    <mergeCell ref="AA1144:AC1144"/>
    <mergeCell ref="AG1144:AI1144"/>
    <mergeCell ref="AK1144:AM1144"/>
    <mergeCell ref="D1140:J1140"/>
    <mergeCell ref="N1140:T1140"/>
    <mergeCell ref="X1140:AD1140"/>
    <mergeCell ref="AH1140:AN1140"/>
    <mergeCell ref="C1142:E1142"/>
    <mergeCell ref="G1142:I1142"/>
    <mergeCell ref="M1142:O1142"/>
    <mergeCell ref="Q1142:S1142"/>
    <mergeCell ref="W1142:Y1142"/>
    <mergeCell ref="AA1142:AC1142"/>
    <mergeCell ref="AG1136:AI1136"/>
    <mergeCell ref="AK1136:AM1136"/>
    <mergeCell ref="C1138:E1138"/>
    <mergeCell ref="G1138:I1138"/>
    <mergeCell ref="M1138:O1138"/>
    <mergeCell ref="Q1138:S1138"/>
    <mergeCell ref="W1138:Y1138"/>
    <mergeCell ref="AA1138:AC1138"/>
    <mergeCell ref="AG1138:AI1138"/>
    <mergeCell ref="AK1138:AM1138"/>
    <mergeCell ref="C1136:E1136"/>
    <mergeCell ref="G1136:I1136"/>
    <mergeCell ref="M1136:O1136"/>
    <mergeCell ref="Q1136:S1136"/>
    <mergeCell ref="W1136:Y1136"/>
    <mergeCell ref="AA1136:AC1136"/>
    <mergeCell ref="AG1132:AI1132"/>
    <mergeCell ref="AK1132:AM1132"/>
    <mergeCell ref="C1134:E1134"/>
    <mergeCell ref="G1134:I1134"/>
    <mergeCell ref="M1134:O1134"/>
    <mergeCell ref="Q1134:S1134"/>
    <mergeCell ref="W1134:Y1134"/>
    <mergeCell ref="AA1134:AC1134"/>
    <mergeCell ref="AG1134:AI1134"/>
    <mergeCell ref="AK1134:AM1134"/>
    <mergeCell ref="C1132:E1132"/>
    <mergeCell ref="G1132:I1132"/>
    <mergeCell ref="M1132:O1132"/>
    <mergeCell ref="Q1132:S1132"/>
    <mergeCell ref="W1132:Y1132"/>
    <mergeCell ref="AA1132:AC1132"/>
    <mergeCell ref="AG1128:AI1128"/>
    <mergeCell ref="AK1128:AM1128"/>
    <mergeCell ref="C1130:E1130"/>
    <mergeCell ref="G1130:I1130"/>
    <mergeCell ref="M1130:O1130"/>
    <mergeCell ref="Q1130:S1130"/>
    <mergeCell ref="W1130:Y1130"/>
    <mergeCell ref="AA1130:AC1130"/>
    <mergeCell ref="AG1130:AI1130"/>
    <mergeCell ref="AK1130:AM1130"/>
    <mergeCell ref="C1128:E1128"/>
    <mergeCell ref="G1128:I1128"/>
    <mergeCell ref="M1128:O1128"/>
    <mergeCell ref="Q1128:S1128"/>
    <mergeCell ref="W1128:Y1128"/>
    <mergeCell ref="AA1128:AC1128"/>
    <mergeCell ref="AG1124:AI1124"/>
    <mergeCell ref="AK1124:AM1124"/>
    <mergeCell ref="C1126:E1126"/>
    <mergeCell ref="G1126:I1126"/>
    <mergeCell ref="M1126:O1126"/>
    <mergeCell ref="Q1126:S1126"/>
    <mergeCell ref="W1126:Y1126"/>
    <mergeCell ref="AA1126:AC1126"/>
    <mergeCell ref="AG1126:AI1126"/>
    <mergeCell ref="AK1126:AM1126"/>
    <mergeCell ref="C1124:E1124"/>
    <mergeCell ref="G1124:I1124"/>
    <mergeCell ref="M1124:O1124"/>
    <mergeCell ref="Q1124:S1124"/>
    <mergeCell ref="W1124:Y1124"/>
    <mergeCell ref="AA1124:AC1124"/>
    <mergeCell ref="AG1120:AI1120"/>
    <mergeCell ref="AK1120:AM1120"/>
    <mergeCell ref="C1122:E1122"/>
    <mergeCell ref="G1122:I1122"/>
    <mergeCell ref="M1122:O1122"/>
    <mergeCell ref="Q1122:S1122"/>
    <mergeCell ref="W1122:Y1122"/>
    <mergeCell ref="AA1122:AC1122"/>
    <mergeCell ref="AG1122:AI1122"/>
    <mergeCell ref="AK1122:AM1122"/>
    <mergeCell ref="D1118:J1118"/>
    <mergeCell ref="N1118:T1118"/>
    <mergeCell ref="X1118:AD1118"/>
    <mergeCell ref="AH1118:AN1118"/>
    <mergeCell ref="C1120:E1120"/>
    <mergeCell ref="G1120:I1120"/>
    <mergeCell ref="M1120:O1120"/>
    <mergeCell ref="Q1120:S1120"/>
    <mergeCell ref="W1120:Y1120"/>
    <mergeCell ref="AA1120:AC1120"/>
    <mergeCell ref="AG1114:AI1114"/>
    <mergeCell ref="AK1114:AM1114"/>
    <mergeCell ref="C1116:E1116"/>
    <mergeCell ref="G1116:I1116"/>
    <mergeCell ref="M1116:O1116"/>
    <mergeCell ref="Q1116:S1116"/>
    <mergeCell ref="W1116:Y1116"/>
    <mergeCell ref="AA1116:AC1116"/>
    <mergeCell ref="AG1116:AI1116"/>
    <mergeCell ref="AK1116:AM1116"/>
    <mergeCell ref="C1114:E1114"/>
    <mergeCell ref="G1114:I1114"/>
    <mergeCell ref="M1114:O1114"/>
    <mergeCell ref="Q1114:S1114"/>
    <mergeCell ref="W1114:Y1114"/>
    <mergeCell ref="AA1114:AC1114"/>
    <mergeCell ref="AG1110:AI1110"/>
    <mergeCell ref="AK1110:AM1110"/>
    <mergeCell ref="C1112:E1112"/>
    <mergeCell ref="G1112:I1112"/>
    <mergeCell ref="M1112:O1112"/>
    <mergeCell ref="Q1112:S1112"/>
    <mergeCell ref="W1112:Y1112"/>
    <mergeCell ref="AA1112:AC1112"/>
    <mergeCell ref="AG1112:AI1112"/>
    <mergeCell ref="AK1112:AM1112"/>
    <mergeCell ref="C1110:E1110"/>
    <mergeCell ref="G1110:I1110"/>
    <mergeCell ref="M1110:O1110"/>
    <mergeCell ref="Q1110:S1110"/>
    <mergeCell ref="W1110:Y1110"/>
    <mergeCell ref="AA1110:AC1110"/>
    <mergeCell ref="AG1106:AI1106"/>
    <mergeCell ref="AK1106:AM1106"/>
    <mergeCell ref="C1108:E1108"/>
    <mergeCell ref="G1108:I1108"/>
    <mergeCell ref="M1108:O1108"/>
    <mergeCell ref="Q1108:S1108"/>
    <mergeCell ref="W1108:Y1108"/>
    <mergeCell ref="AA1108:AC1108"/>
    <mergeCell ref="AG1108:AI1108"/>
    <mergeCell ref="AK1108:AM1108"/>
    <mergeCell ref="C1106:E1106"/>
    <mergeCell ref="G1106:I1106"/>
    <mergeCell ref="M1106:O1106"/>
    <mergeCell ref="Q1106:S1106"/>
    <mergeCell ref="W1106:Y1106"/>
    <mergeCell ref="AA1106:AC1106"/>
    <mergeCell ref="AG1102:AI1102"/>
    <mergeCell ref="AK1102:AM1102"/>
    <mergeCell ref="C1104:E1104"/>
    <mergeCell ref="G1104:I1104"/>
    <mergeCell ref="M1104:O1104"/>
    <mergeCell ref="Q1104:S1104"/>
    <mergeCell ref="W1104:Y1104"/>
    <mergeCell ref="AA1104:AC1104"/>
    <mergeCell ref="AG1104:AI1104"/>
    <mergeCell ref="AK1104:AM1104"/>
    <mergeCell ref="C1102:E1102"/>
    <mergeCell ref="G1102:I1102"/>
    <mergeCell ref="M1102:O1102"/>
    <mergeCell ref="Q1102:S1102"/>
    <mergeCell ref="W1102:Y1102"/>
    <mergeCell ref="AA1102:AC1102"/>
    <mergeCell ref="AG1098:AI1098"/>
    <mergeCell ref="AK1098:AM1098"/>
    <mergeCell ref="C1100:E1100"/>
    <mergeCell ref="G1100:I1100"/>
    <mergeCell ref="M1100:O1100"/>
    <mergeCell ref="Q1100:S1100"/>
    <mergeCell ref="W1100:Y1100"/>
    <mergeCell ref="AA1100:AC1100"/>
    <mergeCell ref="AG1100:AI1100"/>
    <mergeCell ref="AK1100:AM1100"/>
    <mergeCell ref="D1096:J1096"/>
    <mergeCell ref="N1096:T1096"/>
    <mergeCell ref="X1096:AD1096"/>
    <mergeCell ref="AH1096:AN1096"/>
    <mergeCell ref="C1098:E1098"/>
    <mergeCell ref="G1098:I1098"/>
    <mergeCell ref="M1098:O1098"/>
    <mergeCell ref="Q1098:S1098"/>
    <mergeCell ref="W1098:Y1098"/>
    <mergeCell ref="AA1098:AC1098"/>
    <mergeCell ref="AG1092:AI1092"/>
    <mergeCell ref="AK1092:AM1092"/>
    <mergeCell ref="C1094:E1094"/>
    <mergeCell ref="G1094:I1094"/>
    <mergeCell ref="M1094:O1094"/>
    <mergeCell ref="Q1094:S1094"/>
    <mergeCell ref="W1094:Y1094"/>
    <mergeCell ref="AA1094:AC1094"/>
    <mergeCell ref="AG1094:AI1094"/>
    <mergeCell ref="AK1094:AM1094"/>
    <mergeCell ref="C1092:E1092"/>
    <mergeCell ref="G1092:I1092"/>
    <mergeCell ref="M1092:O1092"/>
    <mergeCell ref="Q1092:S1092"/>
    <mergeCell ref="W1092:Y1092"/>
    <mergeCell ref="AA1092:AC1092"/>
    <mergeCell ref="AG1088:AI1088"/>
    <mergeCell ref="AK1088:AM1088"/>
    <mergeCell ref="C1090:E1090"/>
    <mergeCell ref="G1090:I1090"/>
    <mergeCell ref="M1090:O1090"/>
    <mergeCell ref="Q1090:S1090"/>
    <mergeCell ref="W1090:Y1090"/>
    <mergeCell ref="AA1090:AC1090"/>
    <mergeCell ref="AG1090:AI1090"/>
    <mergeCell ref="AK1090:AM1090"/>
    <mergeCell ref="C1088:E1088"/>
    <mergeCell ref="G1088:I1088"/>
    <mergeCell ref="M1088:O1088"/>
    <mergeCell ref="Q1088:S1088"/>
    <mergeCell ref="W1088:Y1088"/>
    <mergeCell ref="AA1088:AC1088"/>
    <mergeCell ref="AG1084:AI1084"/>
    <mergeCell ref="AK1084:AM1084"/>
    <mergeCell ref="C1086:E1086"/>
    <mergeCell ref="G1086:I1086"/>
    <mergeCell ref="M1086:O1086"/>
    <mergeCell ref="Q1086:S1086"/>
    <mergeCell ref="W1086:Y1086"/>
    <mergeCell ref="AA1086:AC1086"/>
    <mergeCell ref="AG1086:AI1086"/>
    <mergeCell ref="AK1086:AM1086"/>
    <mergeCell ref="C1084:E1084"/>
    <mergeCell ref="G1084:I1084"/>
    <mergeCell ref="M1084:O1084"/>
    <mergeCell ref="Q1084:S1084"/>
    <mergeCell ref="W1084:Y1084"/>
    <mergeCell ref="AA1084:AC1084"/>
    <mergeCell ref="AG1080:AI1080"/>
    <mergeCell ref="AK1080:AM1080"/>
    <mergeCell ref="C1082:E1082"/>
    <mergeCell ref="G1082:I1082"/>
    <mergeCell ref="M1082:O1082"/>
    <mergeCell ref="Q1082:S1082"/>
    <mergeCell ref="W1082:Y1082"/>
    <mergeCell ref="AA1082:AC1082"/>
    <mergeCell ref="AG1082:AI1082"/>
    <mergeCell ref="AK1082:AM1082"/>
    <mergeCell ref="C1080:E1080"/>
    <mergeCell ref="G1080:I1080"/>
    <mergeCell ref="M1080:O1080"/>
    <mergeCell ref="Q1080:S1080"/>
    <mergeCell ref="W1080:Y1080"/>
    <mergeCell ref="AA1080:AC1080"/>
    <mergeCell ref="AG1076:AI1076"/>
    <mergeCell ref="AK1076:AM1076"/>
    <mergeCell ref="C1078:E1078"/>
    <mergeCell ref="G1078:I1078"/>
    <mergeCell ref="M1078:O1078"/>
    <mergeCell ref="Q1078:S1078"/>
    <mergeCell ref="W1078:Y1078"/>
    <mergeCell ref="AA1078:AC1078"/>
    <mergeCell ref="AG1078:AI1078"/>
    <mergeCell ref="AK1078:AM1078"/>
    <mergeCell ref="D1074:J1074"/>
    <mergeCell ref="N1074:T1074"/>
    <mergeCell ref="X1074:AD1074"/>
    <mergeCell ref="AH1074:AN1074"/>
    <mergeCell ref="C1076:E1076"/>
    <mergeCell ref="G1076:I1076"/>
    <mergeCell ref="M1076:O1076"/>
    <mergeCell ref="Q1076:S1076"/>
    <mergeCell ref="W1076:Y1076"/>
    <mergeCell ref="AA1076:AC1076"/>
    <mergeCell ref="AG1070:AI1070"/>
    <mergeCell ref="AK1070:AM1070"/>
    <mergeCell ref="C1072:E1072"/>
    <mergeCell ref="G1072:I1072"/>
    <mergeCell ref="M1072:O1072"/>
    <mergeCell ref="Q1072:S1072"/>
    <mergeCell ref="W1072:Y1072"/>
    <mergeCell ref="AA1072:AC1072"/>
    <mergeCell ref="AG1072:AI1072"/>
    <mergeCell ref="AK1072:AM1072"/>
    <mergeCell ref="C1070:E1070"/>
    <mergeCell ref="G1070:I1070"/>
    <mergeCell ref="M1070:O1070"/>
    <mergeCell ref="Q1070:S1070"/>
    <mergeCell ref="W1070:Y1070"/>
    <mergeCell ref="AA1070:AC1070"/>
    <mergeCell ref="AG1066:AI1066"/>
    <mergeCell ref="AK1066:AM1066"/>
    <mergeCell ref="C1068:E1068"/>
    <mergeCell ref="G1068:I1068"/>
    <mergeCell ref="M1068:O1068"/>
    <mergeCell ref="Q1068:S1068"/>
    <mergeCell ref="W1068:Y1068"/>
    <mergeCell ref="AA1068:AC1068"/>
    <mergeCell ref="AG1068:AI1068"/>
    <mergeCell ref="AK1068:AM1068"/>
    <mergeCell ref="C1066:E1066"/>
    <mergeCell ref="G1066:I1066"/>
    <mergeCell ref="M1066:O1066"/>
    <mergeCell ref="Q1066:S1066"/>
    <mergeCell ref="W1066:Y1066"/>
    <mergeCell ref="AA1066:AC1066"/>
    <mergeCell ref="AG1062:AI1062"/>
    <mergeCell ref="AK1062:AM1062"/>
    <mergeCell ref="C1064:E1064"/>
    <mergeCell ref="G1064:I1064"/>
    <mergeCell ref="M1064:O1064"/>
    <mergeCell ref="Q1064:S1064"/>
    <mergeCell ref="W1064:Y1064"/>
    <mergeCell ref="AA1064:AC1064"/>
    <mergeCell ref="AG1064:AI1064"/>
    <mergeCell ref="AK1064:AM1064"/>
    <mergeCell ref="C1062:E1062"/>
    <mergeCell ref="G1062:I1062"/>
    <mergeCell ref="M1062:O1062"/>
    <mergeCell ref="Q1062:S1062"/>
    <mergeCell ref="W1062:Y1062"/>
    <mergeCell ref="AA1062:AC1062"/>
    <mergeCell ref="AG1058:AI1058"/>
    <mergeCell ref="AK1058:AM1058"/>
    <mergeCell ref="C1060:E1060"/>
    <mergeCell ref="G1060:I1060"/>
    <mergeCell ref="M1060:O1060"/>
    <mergeCell ref="Q1060:S1060"/>
    <mergeCell ref="W1060:Y1060"/>
    <mergeCell ref="AA1060:AC1060"/>
    <mergeCell ref="AG1060:AI1060"/>
    <mergeCell ref="AK1060:AM1060"/>
    <mergeCell ref="C1058:E1058"/>
    <mergeCell ref="G1058:I1058"/>
    <mergeCell ref="M1058:O1058"/>
    <mergeCell ref="Q1058:S1058"/>
    <mergeCell ref="W1058:Y1058"/>
    <mergeCell ref="AA1058:AC1058"/>
    <mergeCell ref="AG1054:AI1054"/>
    <mergeCell ref="AK1054:AM1054"/>
    <mergeCell ref="C1056:E1056"/>
    <mergeCell ref="G1056:I1056"/>
    <mergeCell ref="M1056:O1056"/>
    <mergeCell ref="Q1056:S1056"/>
    <mergeCell ref="W1056:Y1056"/>
    <mergeCell ref="AA1056:AC1056"/>
    <mergeCell ref="AG1056:AI1056"/>
    <mergeCell ref="AK1056:AM1056"/>
    <mergeCell ref="C1054:E1054"/>
    <mergeCell ref="G1054:I1054"/>
    <mergeCell ref="M1054:O1054"/>
    <mergeCell ref="Q1054:S1054"/>
    <mergeCell ref="W1054:Y1054"/>
    <mergeCell ref="AA1054:AC1054"/>
    <mergeCell ref="C1050:E1050"/>
    <mergeCell ref="G1050:I1050"/>
    <mergeCell ref="D1052:J1052"/>
    <mergeCell ref="N1052:T1052"/>
    <mergeCell ref="X1052:AC1052"/>
    <mergeCell ref="AH1052:AM1052"/>
    <mergeCell ref="C1044:E1044"/>
    <mergeCell ref="G1044:I1044"/>
    <mergeCell ref="C1046:E1046"/>
    <mergeCell ref="G1046:I1046"/>
    <mergeCell ref="C1048:E1048"/>
    <mergeCell ref="G1048:I1048"/>
    <mergeCell ref="C1038:E1038"/>
    <mergeCell ref="G1038:I1038"/>
    <mergeCell ref="C1040:E1040"/>
    <mergeCell ref="G1040:I1040"/>
    <mergeCell ref="C1042:E1042"/>
    <mergeCell ref="G1042:I1042"/>
    <mergeCell ref="D1030:J1030"/>
    <mergeCell ref="C1032:E1032"/>
    <mergeCell ref="G1032:I1032"/>
    <mergeCell ref="C1034:E1034"/>
    <mergeCell ref="G1034:I1034"/>
    <mergeCell ref="C1036:E1036"/>
    <mergeCell ref="G1036:I1036"/>
    <mergeCell ref="C1026:E1026"/>
    <mergeCell ref="G1026:I1026"/>
    <mergeCell ref="M1026:O1026"/>
    <mergeCell ref="Q1026:S1026"/>
    <mergeCell ref="C1028:E1028"/>
    <mergeCell ref="G1028:I1028"/>
    <mergeCell ref="M1028:O1028"/>
    <mergeCell ref="Q1028:S1028"/>
    <mergeCell ref="C1022:E1022"/>
    <mergeCell ref="G1022:I1022"/>
    <mergeCell ref="M1022:O1022"/>
    <mergeCell ref="Q1022:S1022"/>
    <mergeCell ref="C1024:E1024"/>
    <mergeCell ref="G1024:I1024"/>
    <mergeCell ref="M1024:O1024"/>
    <mergeCell ref="Q1024:S1024"/>
    <mergeCell ref="C1018:E1018"/>
    <mergeCell ref="G1018:I1018"/>
    <mergeCell ref="M1018:O1018"/>
    <mergeCell ref="Q1018:S1018"/>
    <mergeCell ref="C1020:E1020"/>
    <mergeCell ref="G1020:I1020"/>
    <mergeCell ref="M1020:O1020"/>
    <mergeCell ref="Q1020:S1020"/>
    <mergeCell ref="C1014:E1014"/>
    <mergeCell ref="G1014:I1014"/>
    <mergeCell ref="M1014:O1014"/>
    <mergeCell ref="Q1014:S1014"/>
    <mergeCell ref="C1016:E1016"/>
    <mergeCell ref="G1016:I1016"/>
    <mergeCell ref="M1016:O1016"/>
    <mergeCell ref="Q1016:S1016"/>
    <mergeCell ref="C1010:E1010"/>
    <mergeCell ref="G1010:I1010"/>
    <mergeCell ref="M1010:O1010"/>
    <mergeCell ref="Q1010:S1010"/>
    <mergeCell ref="C1012:E1012"/>
    <mergeCell ref="G1012:I1012"/>
    <mergeCell ref="M1012:O1012"/>
    <mergeCell ref="Q1012:S1012"/>
    <mergeCell ref="C1006:E1006"/>
    <mergeCell ref="G1006:I1006"/>
    <mergeCell ref="M1006:O1006"/>
    <mergeCell ref="Q1006:S1006"/>
    <mergeCell ref="D1008:J1008"/>
    <mergeCell ref="N1008:T1008"/>
    <mergeCell ref="C1002:E1002"/>
    <mergeCell ref="G1002:I1002"/>
    <mergeCell ref="M1002:O1002"/>
    <mergeCell ref="Q1002:S1002"/>
    <mergeCell ref="C1004:E1004"/>
    <mergeCell ref="G1004:I1004"/>
    <mergeCell ref="M1004:O1004"/>
    <mergeCell ref="Q1004:S1004"/>
    <mergeCell ref="C998:E998"/>
    <mergeCell ref="G998:I998"/>
    <mergeCell ref="M998:O998"/>
    <mergeCell ref="Q998:S998"/>
    <mergeCell ref="C1000:E1000"/>
    <mergeCell ref="G1000:I1000"/>
    <mergeCell ref="M1000:O1000"/>
    <mergeCell ref="Q1000:S1000"/>
    <mergeCell ref="C994:E994"/>
    <mergeCell ref="G994:I994"/>
    <mergeCell ref="M994:O994"/>
    <mergeCell ref="Q994:S994"/>
    <mergeCell ref="C996:E996"/>
    <mergeCell ref="G996:I996"/>
    <mergeCell ref="M996:O996"/>
    <mergeCell ref="Q996:S996"/>
    <mergeCell ref="C990:E990"/>
    <mergeCell ref="G990:I990"/>
    <mergeCell ref="M990:O990"/>
    <mergeCell ref="Q990:S990"/>
    <mergeCell ref="C992:E992"/>
    <mergeCell ref="G992:I992"/>
    <mergeCell ref="M992:O992"/>
    <mergeCell ref="Q992:S992"/>
    <mergeCell ref="D986:J986"/>
    <mergeCell ref="N986:T986"/>
    <mergeCell ref="C988:E988"/>
    <mergeCell ref="G988:I988"/>
    <mergeCell ref="M988:O988"/>
    <mergeCell ref="Q988:S988"/>
    <mergeCell ref="C982:E982"/>
    <mergeCell ref="G982:I982"/>
    <mergeCell ref="M982:O982"/>
    <mergeCell ref="Q982:S982"/>
    <mergeCell ref="C984:E984"/>
    <mergeCell ref="G984:I984"/>
    <mergeCell ref="M984:O984"/>
    <mergeCell ref="Q984:S984"/>
    <mergeCell ref="C978:E978"/>
    <mergeCell ref="G978:I978"/>
    <mergeCell ref="M978:O978"/>
    <mergeCell ref="Q978:S978"/>
    <mergeCell ref="C980:E980"/>
    <mergeCell ref="G980:I980"/>
    <mergeCell ref="M980:O980"/>
    <mergeCell ref="Q980:S980"/>
    <mergeCell ref="C974:E974"/>
    <mergeCell ref="G974:I974"/>
    <mergeCell ref="M974:O974"/>
    <mergeCell ref="Q974:S974"/>
    <mergeCell ref="C976:E976"/>
    <mergeCell ref="G976:I976"/>
    <mergeCell ref="M976:O976"/>
    <mergeCell ref="Q976:S976"/>
    <mergeCell ref="C970:E970"/>
    <mergeCell ref="G970:I970"/>
    <mergeCell ref="M970:O970"/>
    <mergeCell ref="Q970:S970"/>
    <mergeCell ref="C972:E972"/>
    <mergeCell ref="G972:I972"/>
    <mergeCell ref="M972:O972"/>
    <mergeCell ref="Q972:S972"/>
    <mergeCell ref="C966:E966"/>
    <mergeCell ref="G966:I966"/>
    <mergeCell ref="M966:O966"/>
    <mergeCell ref="Q966:S966"/>
    <mergeCell ref="C968:E968"/>
    <mergeCell ref="G968:I968"/>
    <mergeCell ref="M968:O968"/>
    <mergeCell ref="Q968:S968"/>
    <mergeCell ref="C962:E962"/>
    <mergeCell ref="G962:I962"/>
    <mergeCell ref="M962:O962"/>
    <mergeCell ref="Q962:S962"/>
    <mergeCell ref="D964:J964"/>
    <mergeCell ref="N964:T964"/>
    <mergeCell ref="C958:E958"/>
    <mergeCell ref="G958:I958"/>
    <mergeCell ref="M958:O958"/>
    <mergeCell ref="Q958:S958"/>
    <mergeCell ref="C960:E960"/>
    <mergeCell ref="G960:I960"/>
    <mergeCell ref="M960:O960"/>
    <mergeCell ref="Q960:S960"/>
    <mergeCell ref="C954:E954"/>
    <mergeCell ref="G954:I954"/>
    <mergeCell ref="M954:O954"/>
    <mergeCell ref="Q954:S954"/>
    <mergeCell ref="C956:E956"/>
    <mergeCell ref="G956:I956"/>
    <mergeCell ref="M956:O956"/>
    <mergeCell ref="Q956:S956"/>
    <mergeCell ref="C950:E950"/>
    <mergeCell ref="G950:I950"/>
    <mergeCell ref="M950:O950"/>
    <mergeCell ref="Q950:S950"/>
    <mergeCell ref="C952:E952"/>
    <mergeCell ref="G952:I952"/>
    <mergeCell ref="M952:O952"/>
    <mergeCell ref="Q952:S952"/>
    <mergeCell ref="C946:E946"/>
    <mergeCell ref="G946:I946"/>
    <mergeCell ref="M946:O946"/>
    <mergeCell ref="Q946:S946"/>
    <mergeCell ref="C948:E948"/>
    <mergeCell ref="G948:I948"/>
    <mergeCell ref="M948:O948"/>
    <mergeCell ref="Q948:S948"/>
    <mergeCell ref="D942:J942"/>
    <mergeCell ref="N942:T942"/>
    <mergeCell ref="C944:E944"/>
    <mergeCell ref="G944:I944"/>
    <mergeCell ref="M944:O944"/>
    <mergeCell ref="Q944:S944"/>
    <mergeCell ref="C938:E938"/>
    <mergeCell ref="G938:I938"/>
    <mergeCell ref="M938:O938"/>
    <mergeCell ref="Q938:S938"/>
    <mergeCell ref="C940:E940"/>
    <mergeCell ref="G940:I940"/>
    <mergeCell ref="M940:O940"/>
    <mergeCell ref="Q940:S940"/>
    <mergeCell ref="C934:E934"/>
    <mergeCell ref="G934:I934"/>
    <mergeCell ref="M934:O934"/>
    <mergeCell ref="Q934:S934"/>
    <mergeCell ref="C936:E936"/>
    <mergeCell ref="G936:I936"/>
    <mergeCell ref="M936:O936"/>
    <mergeCell ref="Q936:S936"/>
    <mergeCell ref="C930:E930"/>
    <mergeCell ref="G930:I930"/>
    <mergeCell ref="M930:O930"/>
    <mergeCell ref="Q930:S930"/>
    <mergeCell ref="C932:E932"/>
    <mergeCell ref="G932:I932"/>
    <mergeCell ref="M932:O932"/>
    <mergeCell ref="Q932:S932"/>
    <mergeCell ref="C926:E926"/>
    <mergeCell ref="G926:I926"/>
    <mergeCell ref="M926:O926"/>
    <mergeCell ref="Q926:S926"/>
    <mergeCell ref="C928:E928"/>
    <mergeCell ref="G928:I928"/>
    <mergeCell ref="M928:O928"/>
    <mergeCell ref="Q928:S928"/>
    <mergeCell ref="C922:E922"/>
    <mergeCell ref="G922:I922"/>
    <mergeCell ref="M922:O922"/>
    <mergeCell ref="Q922:S922"/>
    <mergeCell ref="C924:E924"/>
    <mergeCell ref="G924:I924"/>
    <mergeCell ref="M924:O924"/>
    <mergeCell ref="Q924:S924"/>
    <mergeCell ref="C918:E918"/>
    <mergeCell ref="G918:I918"/>
    <mergeCell ref="M918:O918"/>
    <mergeCell ref="Q918:S918"/>
    <mergeCell ref="D920:J920"/>
    <mergeCell ref="N920:T920"/>
    <mergeCell ref="C914:E914"/>
    <mergeCell ref="G914:I914"/>
    <mergeCell ref="M914:O914"/>
    <mergeCell ref="Q914:S914"/>
    <mergeCell ref="C916:E916"/>
    <mergeCell ref="G916:I916"/>
    <mergeCell ref="M916:O916"/>
    <mergeCell ref="Q916:S916"/>
    <mergeCell ref="C910:E910"/>
    <mergeCell ref="G910:I910"/>
    <mergeCell ref="M910:O910"/>
    <mergeCell ref="Q910:S910"/>
    <mergeCell ref="C912:E912"/>
    <mergeCell ref="G912:I912"/>
    <mergeCell ref="M912:O912"/>
    <mergeCell ref="Q912:S912"/>
    <mergeCell ref="C906:E906"/>
    <mergeCell ref="G906:I906"/>
    <mergeCell ref="M906:O906"/>
    <mergeCell ref="Q906:S906"/>
    <mergeCell ref="C908:E908"/>
    <mergeCell ref="G908:I908"/>
    <mergeCell ref="M908:O908"/>
    <mergeCell ref="Q908:S908"/>
    <mergeCell ref="C902:E902"/>
    <mergeCell ref="G902:I902"/>
    <mergeCell ref="M902:O902"/>
    <mergeCell ref="Q902:S902"/>
    <mergeCell ref="C904:E904"/>
    <mergeCell ref="G904:I904"/>
    <mergeCell ref="M904:O904"/>
    <mergeCell ref="Q904:S904"/>
    <mergeCell ref="D898:J898"/>
    <mergeCell ref="N898:T898"/>
    <mergeCell ref="C900:E900"/>
    <mergeCell ref="G900:I900"/>
    <mergeCell ref="M900:O900"/>
    <mergeCell ref="Q900:S900"/>
    <mergeCell ref="C894:E894"/>
    <mergeCell ref="G894:I894"/>
    <mergeCell ref="M894:O894"/>
    <mergeCell ref="Q894:S894"/>
    <mergeCell ref="C896:E896"/>
    <mergeCell ref="G896:I896"/>
    <mergeCell ref="M896:O896"/>
    <mergeCell ref="Q896:S896"/>
    <mergeCell ref="C890:E890"/>
    <mergeCell ref="G890:I890"/>
    <mergeCell ref="M890:O890"/>
    <mergeCell ref="Q890:S890"/>
    <mergeCell ref="C892:E892"/>
    <mergeCell ref="G892:I892"/>
    <mergeCell ref="M892:O892"/>
    <mergeCell ref="Q892:S892"/>
    <mergeCell ref="C886:E886"/>
    <mergeCell ref="G886:I886"/>
    <mergeCell ref="M886:O886"/>
    <mergeCell ref="Q886:S886"/>
    <mergeCell ref="C888:E888"/>
    <mergeCell ref="G888:I888"/>
    <mergeCell ref="M888:O888"/>
    <mergeCell ref="Q888:S888"/>
    <mergeCell ref="C882:E882"/>
    <mergeCell ref="G882:I882"/>
    <mergeCell ref="M882:O882"/>
    <mergeCell ref="Q882:S882"/>
    <mergeCell ref="C884:E884"/>
    <mergeCell ref="G884:I884"/>
    <mergeCell ref="M884:O884"/>
    <mergeCell ref="Q884:S884"/>
    <mergeCell ref="C878:E878"/>
    <mergeCell ref="G878:I878"/>
    <mergeCell ref="M878:O878"/>
    <mergeCell ref="Q878:S878"/>
    <mergeCell ref="C880:E880"/>
    <mergeCell ref="G880:I880"/>
    <mergeCell ref="M880:O880"/>
    <mergeCell ref="Q880:S880"/>
    <mergeCell ref="C874:E874"/>
    <mergeCell ref="G874:I874"/>
    <mergeCell ref="M874:O874"/>
    <mergeCell ref="Q874:S874"/>
    <mergeCell ref="D876:J876"/>
    <mergeCell ref="N876:T876"/>
    <mergeCell ref="C870:E870"/>
    <mergeCell ref="G870:I870"/>
    <mergeCell ref="M870:O870"/>
    <mergeCell ref="Q870:S870"/>
    <mergeCell ref="C872:E872"/>
    <mergeCell ref="G872:I872"/>
    <mergeCell ref="M872:O872"/>
    <mergeCell ref="Q872:S872"/>
    <mergeCell ref="C866:E866"/>
    <mergeCell ref="G866:I866"/>
    <mergeCell ref="M866:O866"/>
    <mergeCell ref="Q866:S866"/>
    <mergeCell ref="C868:E868"/>
    <mergeCell ref="G868:I868"/>
    <mergeCell ref="M868:O868"/>
    <mergeCell ref="Q868:S868"/>
    <mergeCell ref="C862:E862"/>
    <mergeCell ref="G862:I862"/>
    <mergeCell ref="M862:O862"/>
    <mergeCell ref="Q862:S862"/>
    <mergeCell ref="C864:E864"/>
    <mergeCell ref="G864:I864"/>
    <mergeCell ref="M864:O864"/>
    <mergeCell ref="Q864:S864"/>
    <mergeCell ref="C858:E858"/>
    <mergeCell ref="G858:I858"/>
    <mergeCell ref="M858:O858"/>
    <mergeCell ref="Q858:S858"/>
    <mergeCell ref="C860:E860"/>
    <mergeCell ref="G860:I860"/>
    <mergeCell ref="M860:O860"/>
    <mergeCell ref="Q860:S860"/>
    <mergeCell ref="D854:J854"/>
    <mergeCell ref="N854:T854"/>
    <mergeCell ref="C856:E856"/>
    <mergeCell ref="G856:I856"/>
    <mergeCell ref="M856:O856"/>
    <mergeCell ref="Q856:S856"/>
    <mergeCell ref="C850:E850"/>
    <mergeCell ref="G850:I850"/>
    <mergeCell ref="M850:O850"/>
    <mergeCell ref="Q850:S850"/>
    <mergeCell ref="C852:E852"/>
    <mergeCell ref="G852:I852"/>
    <mergeCell ref="M852:O852"/>
    <mergeCell ref="Q852:S852"/>
    <mergeCell ref="C846:E846"/>
    <mergeCell ref="G846:I846"/>
    <mergeCell ref="M846:O846"/>
    <mergeCell ref="Q846:S846"/>
    <mergeCell ref="C848:E848"/>
    <mergeCell ref="G848:I848"/>
    <mergeCell ref="M848:O848"/>
    <mergeCell ref="Q848:S848"/>
    <mergeCell ref="C842:E842"/>
    <mergeCell ref="G842:I842"/>
    <mergeCell ref="M842:O842"/>
    <mergeCell ref="Q842:S842"/>
    <mergeCell ref="C844:E844"/>
    <mergeCell ref="G844:I844"/>
    <mergeCell ref="M844:O844"/>
    <mergeCell ref="Q844:S844"/>
    <mergeCell ref="C838:E838"/>
    <mergeCell ref="G838:I838"/>
    <mergeCell ref="M838:O838"/>
    <mergeCell ref="Q838:S838"/>
    <mergeCell ref="C840:E840"/>
    <mergeCell ref="G840:I840"/>
    <mergeCell ref="M840:O840"/>
    <mergeCell ref="Q840:S840"/>
    <mergeCell ref="C834:E834"/>
    <mergeCell ref="G834:I834"/>
    <mergeCell ref="M834:O834"/>
    <mergeCell ref="Q834:S834"/>
    <mergeCell ref="C836:E836"/>
    <mergeCell ref="G836:I836"/>
    <mergeCell ref="M836:O836"/>
    <mergeCell ref="Q836:S836"/>
    <mergeCell ref="C830:E830"/>
    <mergeCell ref="G830:I830"/>
    <mergeCell ref="M830:O830"/>
    <mergeCell ref="Q830:S830"/>
    <mergeCell ref="D832:J832"/>
    <mergeCell ref="N832:T832"/>
    <mergeCell ref="C826:E826"/>
    <mergeCell ref="G826:I826"/>
    <mergeCell ref="M826:O826"/>
    <mergeCell ref="Q826:S826"/>
    <mergeCell ref="C828:E828"/>
    <mergeCell ref="G828:I828"/>
    <mergeCell ref="M828:O828"/>
    <mergeCell ref="Q828:S828"/>
    <mergeCell ref="C822:E822"/>
    <mergeCell ref="G822:I822"/>
    <mergeCell ref="M822:O822"/>
    <mergeCell ref="Q822:S822"/>
    <mergeCell ref="C824:E824"/>
    <mergeCell ref="G824:I824"/>
    <mergeCell ref="M824:O824"/>
    <mergeCell ref="Q824:S824"/>
    <mergeCell ref="C818:E818"/>
    <mergeCell ref="G818:I818"/>
    <mergeCell ref="M818:O818"/>
    <mergeCell ref="Q818:S818"/>
    <mergeCell ref="C820:E820"/>
    <mergeCell ref="G820:I820"/>
    <mergeCell ref="M820:O820"/>
    <mergeCell ref="Q820:S820"/>
    <mergeCell ref="C814:E814"/>
    <mergeCell ref="G814:I814"/>
    <mergeCell ref="M814:O814"/>
    <mergeCell ref="Q814:S814"/>
    <mergeCell ref="C816:E816"/>
    <mergeCell ref="G816:I816"/>
    <mergeCell ref="M816:O816"/>
    <mergeCell ref="Q816:S816"/>
    <mergeCell ref="D810:J810"/>
    <mergeCell ref="N810:T810"/>
    <mergeCell ref="C812:E812"/>
    <mergeCell ref="G812:I812"/>
    <mergeCell ref="M812:O812"/>
    <mergeCell ref="Q812:S812"/>
    <mergeCell ref="C806:E806"/>
    <mergeCell ref="G806:I806"/>
    <mergeCell ref="M806:O806"/>
    <mergeCell ref="Q806:S806"/>
    <mergeCell ref="C808:E808"/>
    <mergeCell ref="G808:I808"/>
    <mergeCell ref="M808:O808"/>
    <mergeCell ref="Q808:S808"/>
    <mergeCell ref="C802:E802"/>
    <mergeCell ref="G802:I802"/>
    <mergeCell ref="M802:O802"/>
    <mergeCell ref="Q802:S802"/>
    <mergeCell ref="C804:E804"/>
    <mergeCell ref="G804:I804"/>
    <mergeCell ref="M804:O804"/>
    <mergeCell ref="Q804:S804"/>
    <mergeCell ref="C798:E798"/>
    <mergeCell ref="G798:I798"/>
    <mergeCell ref="M798:O798"/>
    <mergeCell ref="Q798:S798"/>
    <mergeCell ref="C800:E800"/>
    <mergeCell ref="G800:I800"/>
    <mergeCell ref="M800:O800"/>
    <mergeCell ref="Q800:S800"/>
    <mergeCell ref="C794:E794"/>
    <mergeCell ref="G794:I794"/>
    <mergeCell ref="M794:O794"/>
    <mergeCell ref="Q794:S794"/>
    <mergeCell ref="C796:E796"/>
    <mergeCell ref="G796:I796"/>
    <mergeCell ref="M796:O796"/>
    <mergeCell ref="Q796:S796"/>
    <mergeCell ref="C790:E790"/>
    <mergeCell ref="G790:I790"/>
    <mergeCell ref="M790:O790"/>
    <mergeCell ref="Q790:S790"/>
    <mergeCell ref="C792:E792"/>
    <mergeCell ref="G792:I792"/>
    <mergeCell ref="M792:O792"/>
    <mergeCell ref="Q792:S792"/>
    <mergeCell ref="C786:E786"/>
    <mergeCell ref="G786:I786"/>
    <mergeCell ref="M786:O786"/>
    <mergeCell ref="Q786:S786"/>
    <mergeCell ref="D788:J788"/>
    <mergeCell ref="N788:T788"/>
    <mergeCell ref="C782:E782"/>
    <mergeCell ref="G782:I782"/>
    <mergeCell ref="M782:O782"/>
    <mergeCell ref="Q782:S782"/>
    <mergeCell ref="C784:E784"/>
    <mergeCell ref="G784:I784"/>
    <mergeCell ref="M784:O784"/>
    <mergeCell ref="Q784:S784"/>
    <mergeCell ref="C778:E778"/>
    <mergeCell ref="G778:I778"/>
    <mergeCell ref="M778:O778"/>
    <mergeCell ref="Q778:S778"/>
    <mergeCell ref="C780:E780"/>
    <mergeCell ref="G780:I780"/>
    <mergeCell ref="M780:O780"/>
    <mergeCell ref="Q780:S780"/>
    <mergeCell ref="C774:E774"/>
    <mergeCell ref="G774:I774"/>
    <mergeCell ref="M774:O774"/>
    <mergeCell ref="Q774:S774"/>
    <mergeCell ref="C776:E776"/>
    <mergeCell ref="G776:I776"/>
    <mergeCell ref="M776:O776"/>
    <mergeCell ref="Q776:S776"/>
    <mergeCell ref="C770:E770"/>
    <mergeCell ref="G770:I770"/>
    <mergeCell ref="M770:O770"/>
    <mergeCell ref="Q770:S770"/>
    <mergeCell ref="C772:E772"/>
    <mergeCell ref="G772:I772"/>
    <mergeCell ref="M772:O772"/>
    <mergeCell ref="Q772:S772"/>
    <mergeCell ref="D766:J766"/>
    <mergeCell ref="N766:T766"/>
    <mergeCell ref="C768:E768"/>
    <mergeCell ref="G768:I768"/>
    <mergeCell ref="M768:O768"/>
    <mergeCell ref="Q768:S768"/>
    <mergeCell ref="C762:E762"/>
    <mergeCell ref="G762:I762"/>
    <mergeCell ref="M762:O762"/>
    <mergeCell ref="Q762:S762"/>
    <mergeCell ref="C764:E764"/>
    <mergeCell ref="G764:I764"/>
    <mergeCell ref="M764:O764"/>
    <mergeCell ref="Q764:S764"/>
    <mergeCell ref="C758:E758"/>
    <mergeCell ref="G758:I758"/>
    <mergeCell ref="M758:O758"/>
    <mergeCell ref="Q758:S758"/>
    <mergeCell ref="C760:E760"/>
    <mergeCell ref="G760:I760"/>
    <mergeCell ref="M760:O760"/>
    <mergeCell ref="Q760:S760"/>
    <mergeCell ref="C754:E754"/>
    <mergeCell ref="G754:I754"/>
    <mergeCell ref="M754:O754"/>
    <mergeCell ref="Q754:S754"/>
    <mergeCell ref="C756:E756"/>
    <mergeCell ref="G756:I756"/>
    <mergeCell ref="M756:O756"/>
    <mergeCell ref="Q756:S756"/>
    <mergeCell ref="C750:E750"/>
    <mergeCell ref="G750:I750"/>
    <mergeCell ref="M750:O750"/>
    <mergeCell ref="Q750:S750"/>
    <mergeCell ref="C752:E752"/>
    <mergeCell ref="G752:I752"/>
    <mergeCell ref="M752:O752"/>
    <mergeCell ref="Q752:S752"/>
    <mergeCell ref="C746:E746"/>
    <mergeCell ref="G746:I746"/>
    <mergeCell ref="M746:O746"/>
    <mergeCell ref="Q746:S746"/>
    <mergeCell ref="C748:E748"/>
    <mergeCell ref="G748:I748"/>
    <mergeCell ref="M748:O748"/>
    <mergeCell ref="Q748:S748"/>
    <mergeCell ref="C742:E742"/>
    <mergeCell ref="G742:I742"/>
    <mergeCell ref="M742:O742"/>
    <mergeCell ref="Q742:S742"/>
    <mergeCell ref="D744:J744"/>
    <mergeCell ref="N744:T744"/>
    <mergeCell ref="C738:E738"/>
    <mergeCell ref="G738:I738"/>
    <mergeCell ref="M738:O738"/>
    <mergeCell ref="Q738:S738"/>
    <mergeCell ref="C740:E740"/>
    <mergeCell ref="G740:I740"/>
    <mergeCell ref="M740:O740"/>
    <mergeCell ref="Q740:S740"/>
    <mergeCell ref="C734:E734"/>
    <mergeCell ref="G734:I734"/>
    <mergeCell ref="M734:O734"/>
    <mergeCell ref="Q734:S734"/>
    <mergeCell ref="C736:E736"/>
    <mergeCell ref="G736:I736"/>
    <mergeCell ref="M736:O736"/>
    <mergeCell ref="Q736:S736"/>
    <mergeCell ref="C730:E730"/>
    <mergeCell ref="G730:I730"/>
    <mergeCell ref="M730:O730"/>
    <mergeCell ref="Q730:S730"/>
    <mergeCell ref="C732:E732"/>
    <mergeCell ref="G732:I732"/>
    <mergeCell ref="M732:O732"/>
    <mergeCell ref="Q732:S732"/>
    <mergeCell ref="C726:E726"/>
    <mergeCell ref="G726:I726"/>
    <mergeCell ref="M726:O726"/>
    <mergeCell ref="Q726:S726"/>
    <mergeCell ref="C728:E728"/>
    <mergeCell ref="G728:I728"/>
    <mergeCell ref="M728:O728"/>
    <mergeCell ref="Q728:S728"/>
    <mergeCell ref="D722:J722"/>
    <mergeCell ref="N722:T722"/>
    <mergeCell ref="C724:E724"/>
    <mergeCell ref="G724:I724"/>
    <mergeCell ref="M724:O724"/>
    <mergeCell ref="Q724:S724"/>
    <mergeCell ref="C718:E718"/>
    <mergeCell ref="G718:I718"/>
    <mergeCell ref="M718:O718"/>
    <mergeCell ref="Q718:S718"/>
    <mergeCell ref="C720:E720"/>
    <mergeCell ref="G720:I720"/>
    <mergeCell ref="M720:O720"/>
    <mergeCell ref="Q720:S720"/>
    <mergeCell ref="C714:E714"/>
    <mergeCell ref="G714:I714"/>
    <mergeCell ref="M714:O714"/>
    <mergeCell ref="Q714:S714"/>
    <mergeCell ref="C716:E716"/>
    <mergeCell ref="G716:I716"/>
    <mergeCell ref="M716:O716"/>
    <mergeCell ref="Q716:S716"/>
    <mergeCell ref="C710:E710"/>
    <mergeCell ref="G710:I710"/>
    <mergeCell ref="M710:O710"/>
    <mergeCell ref="Q710:S710"/>
    <mergeCell ref="C712:E712"/>
    <mergeCell ref="G712:I712"/>
    <mergeCell ref="M712:O712"/>
    <mergeCell ref="Q712:S712"/>
    <mergeCell ref="C706:E706"/>
    <mergeCell ref="G706:I706"/>
    <mergeCell ref="M706:O706"/>
    <mergeCell ref="Q706:S706"/>
    <mergeCell ref="C708:E708"/>
    <mergeCell ref="G708:I708"/>
    <mergeCell ref="M708:O708"/>
    <mergeCell ref="Q708:S708"/>
    <mergeCell ref="C702:E702"/>
    <mergeCell ref="G702:I702"/>
    <mergeCell ref="M702:O702"/>
    <mergeCell ref="Q702:S702"/>
    <mergeCell ref="C704:E704"/>
    <mergeCell ref="G704:I704"/>
    <mergeCell ref="M704:O704"/>
    <mergeCell ref="Q704:S704"/>
    <mergeCell ref="C698:E698"/>
    <mergeCell ref="G698:I698"/>
    <mergeCell ref="M698:O698"/>
    <mergeCell ref="Q698:S698"/>
    <mergeCell ref="D700:J700"/>
    <mergeCell ref="N700:T700"/>
    <mergeCell ref="C694:E694"/>
    <mergeCell ref="G694:I694"/>
    <mergeCell ref="M694:O694"/>
    <mergeCell ref="Q694:S694"/>
    <mergeCell ref="C696:E696"/>
    <mergeCell ref="G696:I696"/>
    <mergeCell ref="M696:O696"/>
    <mergeCell ref="Q696:S696"/>
    <mergeCell ref="C690:E690"/>
    <mergeCell ref="G690:I690"/>
    <mergeCell ref="M690:O690"/>
    <mergeCell ref="Q690:S690"/>
    <mergeCell ref="C692:E692"/>
    <mergeCell ref="G692:I692"/>
    <mergeCell ref="M692:O692"/>
    <mergeCell ref="Q692:S692"/>
    <mergeCell ref="C686:E686"/>
    <mergeCell ref="G686:I686"/>
    <mergeCell ref="M686:O686"/>
    <mergeCell ref="Q686:S686"/>
    <mergeCell ref="C688:E688"/>
    <mergeCell ref="G688:I688"/>
    <mergeCell ref="M688:O688"/>
    <mergeCell ref="Q688:S688"/>
    <mergeCell ref="C682:E682"/>
    <mergeCell ref="G682:I682"/>
    <mergeCell ref="M682:O682"/>
    <mergeCell ref="Q682:S682"/>
    <mergeCell ref="C684:E684"/>
    <mergeCell ref="G684:I684"/>
    <mergeCell ref="M684:O684"/>
    <mergeCell ref="Q684:S684"/>
    <mergeCell ref="D678:J678"/>
    <mergeCell ref="N678:T678"/>
    <mergeCell ref="C680:E680"/>
    <mergeCell ref="G680:I680"/>
    <mergeCell ref="M680:O680"/>
    <mergeCell ref="Q680:S680"/>
    <mergeCell ref="C674:E674"/>
    <mergeCell ref="G674:I674"/>
    <mergeCell ref="M674:O674"/>
    <mergeCell ref="Q674:S674"/>
    <mergeCell ref="C676:E676"/>
    <mergeCell ref="G676:I676"/>
    <mergeCell ref="M676:O676"/>
    <mergeCell ref="Q676:S676"/>
    <mergeCell ref="C670:E670"/>
    <mergeCell ref="G670:I670"/>
    <mergeCell ref="M670:O670"/>
    <mergeCell ref="Q670:S670"/>
    <mergeCell ref="C672:E672"/>
    <mergeCell ref="G672:I672"/>
    <mergeCell ref="M672:O672"/>
    <mergeCell ref="Q672:S672"/>
    <mergeCell ref="C666:E666"/>
    <mergeCell ref="G666:I666"/>
    <mergeCell ref="M666:O666"/>
    <mergeCell ref="Q666:S666"/>
    <mergeCell ref="C668:E668"/>
    <mergeCell ref="G668:I668"/>
    <mergeCell ref="M668:O668"/>
    <mergeCell ref="Q668:S668"/>
    <mergeCell ref="C662:E662"/>
    <mergeCell ref="G662:I662"/>
    <mergeCell ref="M662:O662"/>
    <mergeCell ref="Q662:S662"/>
    <mergeCell ref="C664:E664"/>
    <mergeCell ref="G664:I664"/>
    <mergeCell ref="M664:O664"/>
    <mergeCell ref="Q664:S664"/>
    <mergeCell ref="C658:E658"/>
    <mergeCell ref="G658:I658"/>
    <mergeCell ref="M658:O658"/>
    <mergeCell ref="Q658:S658"/>
    <mergeCell ref="C660:E660"/>
    <mergeCell ref="G660:I660"/>
    <mergeCell ref="M660:O660"/>
    <mergeCell ref="Q660:S660"/>
    <mergeCell ref="C654:E654"/>
    <mergeCell ref="G654:I654"/>
    <mergeCell ref="M654:O654"/>
    <mergeCell ref="Q654:S654"/>
    <mergeCell ref="D656:J656"/>
    <mergeCell ref="N656:T656"/>
    <mergeCell ref="C650:E650"/>
    <mergeCell ref="G650:I650"/>
    <mergeCell ref="M650:O650"/>
    <mergeCell ref="Q650:S650"/>
    <mergeCell ref="C652:E652"/>
    <mergeCell ref="G652:I652"/>
    <mergeCell ref="M652:O652"/>
    <mergeCell ref="Q652:S652"/>
    <mergeCell ref="C646:E646"/>
    <mergeCell ref="G646:I646"/>
    <mergeCell ref="M646:O646"/>
    <mergeCell ref="Q646:S646"/>
    <mergeCell ref="C648:E648"/>
    <mergeCell ref="G648:I648"/>
    <mergeCell ref="M648:O648"/>
    <mergeCell ref="Q648:S648"/>
    <mergeCell ref="C642:E642"/>
    <mergeCell ref="G642:I642"/>
    <mergeCell ref="M642:O642"/>
    <mergeCell ref="Q642:S642"/>
    <mergeCell ref="C644:E644"/>
    <mergeCell ref="G644:I644"/>
    <mergeCell ref="M644:O644"/>
    <mergeCell ref="Q644:S644"/>
    <mergeCell ref="C638:E638"/>
    <mergeCell ref="G638:I638"/>
    <mergeCell ref="M638:O638"/>
    <mergeCell ref="Q638:S638"/>
    <mergeCell ref="C640:E640"/>
    <mergeCell ref="G640:I640"/>
    <mergeCell ref="M640:O640"/>
    <mergeCell ref="Q640:S640"/>
    <mergeCell ref="D634:J634"/>
    <mergeCell ref="N634:T634"/>
    <mergeCell ref="C636:E636"/>
    <mergeCell ref="G636:I636"/>
    <mergeCell ref="M636:O636"/>
    <mergeCell ref="Q636:S636"/>
    <mergeCell ref="C630:E630"/>
    <mergeCell ref="G630:I630"/>
    <mergeCell ref="M630:O630"/>
    <mergeCell ref="Q630:S630"/>
    <mergeCell ref="C632:E632"/>
    <mergeCell ref="G632:I632"/>
    <mergeCell ref="M632:O632"/>
    <mergeCell ref="Q632:S632"/>
    <mergeCell ref="C626:E626"/>
    <mergeCell ref="G626:I626"/>
    <mergeCell ref="M626:O626"/>
    <mergeCell ref="Q626:S626"/>
    <mergeCell ref="C628:E628"/>
    <mergeCell ref="G628:I628"/>
    <mergeCell ref="M628:O628"/>
    <mergeCell ref="Q628:S628"/>
    <mergeCell ref="C622:E622"/>
    <mergeCell ref="G622:I622"/>
    <mergeCell ref="M622:O622"/>
    <mergeCell ref="Q622:S622"/>
    <mergeCell ref="C624:E624"/>
    <mergeCell ref="G624:I624"/>
    <mergeCell ref="M624:O624"/>
    <mergeCell ref="Q624:S624"/>
    <mergeCell ref="C618:E618"/>
    <mergeCell ref="G618:I618"/>
    <mergeCell ref="M618:O618"/>
    <mergeCell ref="Q618:S618"/>
    <mergeCell ref="C620:E620"/>
    <mergeCell ref="G620:I620"/>
    <mergeCell ref="M620:O620"/>
    <mergeCell ref="Q620:S620"/>
    <mergeCell ref="C614:E614"/>
    <mergeCell ref="G614:I614"/>
    <mergeCell ref="M614:O614"/>
    <mergeCell ref="Q614:S614"/>
    <mergeCell ref="C616:E616"/>
    <mergeCell ref="G616:I616"/>
    <mergeCell ref="M616:O616"/>
    <mergeCell ref="Q616:S616"/>
    <mergeCell ref="C610:E610"/>
    <mergeCell ref="G610:I610"/>
    <mergeCell ref="M610:O610"/>
    <mergeCell ref="Q610:S610"/>
    <mergeCell ref="D612:J612"/>
    <mergeCell ref="N612:T612"/>
    <mergeCell ref="C606:E606"/>
    <mergeCell ref="G606:I606"/>
    <mergeCell ref="M606:O606"/>
    <mergeCell ref="Q606:S606"/>
    <mergeCell ref="C608:E608"/>
    <mergeCell ref="G608:I608"/>
    <mergeCell ref="M608:O608"/>
    <mergeCell ref="Q608:S608"/>
    <mergeCell ref="C602:E602"/>
    <mergeCell ref="G602:I602"/>
    <mergeCell ref="M602:O602"/>
    <mergeCell ref="Q602:S602"/>
    <mergeCell ref="C604:E604"/>
    <mergeCell ref="G604:I604"/>
    <mergeCell ref="M604:O604"/>
    <mergeCell ref="Q604:S604"/>
    <mergeCell ref="C598:E598"/>
    <mergeCell ref="G598:I598"/>
    <mergeCell ref="M598:O598"/>
    <mergeCell ref="Q598:S598"/>
    <mergeCell ref="C600:E600"/>
    <mergeCell ref="G600:I600"/>
    <mergeCell ref="M600:O600"/>
    <mergeCell ref="Q600:S600"/>
    <mergeCell ref="C594:E594"/>
    <mergeCell ref="G594:I594"/>
    <mergeCell ref="M594:O594"/>
    <mergeCell ref="Q594:S594"/>
    <mergeCell ref="C596:E596"/>
    <mergeCell ref="G596:I596"/>
    <mergeCell ref="M596:O596"/>
    <mergeCell ref="Q596:S596"/>
    <mergeCell ref="D590:J590"/>
    <mergeCell ref="N590:T590"/>
    <mergeCell ref="C592:E592"/>
    <mergeCell ref="G592:I592"/>
    <mergeCell ref="M592:O592"/>
    <mergeCell ref="Q592:S592"/>
    <mergeCell ref="C586:E586"/>
    <mergeCell ref="G586:I586"/>
    <mergeCell ref="M586:O586"/>
    <mergeCell ref="Q586:S586"/>
    <mergeCell ref="C588:E588"/>
    <mergeCell ref="G588:I588"/>
    <mergeCell ref="M588:O588"/>
    <mergeCell ref="Q588:S588"/>
    <mergeCell ref="C582:E582"/>
    <mergeCell ref="G582:I582"/>
    <mergeCell ref="M582:O582"/>
    <mergeCell ref="Q582:S582"/>
    <mergeCell ref="C584:E584"/>
    <mergeCell ref="G584:I584"/>
    <mergeCell ref="M584:O584"/>
    <mergeCell ref="Q584:S584"/>
    <mergeCell ref="C578:E578"/>
    <mergeCell ref="G578:I578"/>
    <mergeCell ref="M578:O578"/>
    <mergeCell ref="Q578:S578"/>
    <mergeCell ref="C580:E580"/>
    <mergeCell ref="G580:I580"/>
    <mergeCell ref="M580:O580"/>
    <mergeCell ref="Q580:S580"/>
    <mergeCell ref="C574:E574"/>
    <mergeCell ref="G574:I574"/>
    <mergeCell ref="M574:O574"/>
    <mergeCell ref="Q574:S574"/>
    <mergeCell ref="C576:E576"/>
    <mergeCell ref="G576:I576"/>
    <mergeCell ref="M576:O576"/>
    <mergeCell ref="Q576:S576"/>
    <mergeCell ref="C570:E570"/>
    <mergeCell ref="G570:I570"/>
    <mergeCell ref="M570:O570"/>
    <mergeCell ref="Q570:S570"/>
    <mergeCell ref="C572:E572"/>
    <mergeCell ref="G572:I572"/>
    <mergeCell ref="M572:O572"/>
    <mergeCell ref="Q572:S572"/>
    <mergeCell ref="C566:E566"/>
    <mergeCell ref="G566:I566"/>
    <mergeCell ref="M566:O566"/>
    <mergeCell ref="Q566:S566"/>
    <mergeCell ref="D568:J568"/>
    <mergeCell ref="N568:T568"/>
    <mergeCell ref="C562:E562"/>
    <mergeCell ref="G562:I562"/>
    <mergeCell ref="M562:O562"/>
    <mergeCell ref="Q562:S562"/>
    <mergeCell ref="C564:E564"/>
    <mergeCell ref="G564:I564"/>
    <mergeCell ref="M564:O564"/>
    <mergeCell ref="Q564:S564"/>
    <mergeCell ref="C558:E558"/>
    <mergeCell ref="G558:I558"/>
    <mergeCell ref="M558:O558"/>
    <mergeCell ref="Q558:S558"/>
    <mergeCell ref="C560:E560"/>
    <mergeCell ref="G560:I560"/>
    <mergeCell ref="M560:O560"/>
    <mergeCell ref="Q560:S560"/>
    <mergeCell ref="C554:E554"/>
    <mergeCell ref="G554:I554"/>
    <mergeCell ref="M554:O554"/>
    <mergeCell ref="Q554:S554"/>
    <mergeCell ref="C556:E556"/>
    <mergeCell ref="G556:I556"/>
    <mergeCell ref="M556:O556"/>
    <mergeCell ref="Q556:S556"/>
    <mergeCell ref="C550:E550"/>
    <mergeCell ref="G550:I550"/>
    <mergeCell ref="M550:O550"/>
    <mergeCell ref="Q550:S550"/>
    <mergeCell ref="C552:E552"/>
    <mergeCell ref="G552:I552"/>
    <mergeCell ref="M552:O552"/>
    <mergeCell ref="Q552:S552"/>
    <mergeCell ref="D546:J546"/>
    <mergeCell ref="N546:T546"/>
    <mergeCell ref="C548:E548"/>
    <mergeCell ref="G548:I548"/>
    <mergeCell ref="M548:O548"/>
    <mergeCell ref="Q548:S548"/>
    <mergeCell ref="C542:E542"/>
    <mergeCell ref="G542:I542"/>
    <mergeCell ref="M542:O542"/>
    <mergeCell ref="Q542:S542"/>
    <mergeCell ref="C544:E544"/>
    <mergeCell ref="G544:I544"/>
    <mergeCell ref="M544:O544"/>
    <mergeCell ref="Q544:S544"/>
    <mergeCell ref="C538:E538"/>
    <mergeCell ref="G538:I538"/>
    <mergeCell ref="M538:O538"/>
    <mergeCell ref="Q538:S538"/>
    <mergeCell ref="C540:E540"/>
    <mergeCell ref="G540:I540"/>
    <mergeCell ref="M540:O540"/>
    <mergeCell ref="Q540:S540"/>
    <mergeCell ref="C534:E534"/>
    <mergeCell ref="G534:I534"/>
    <mergeCell ref="M534:O534"/>
    <mergeCell ref="Q534:S534"/>
    <mergeCell ref="C536:E536"/>
    <mergeCell ref="G536:I536"/>
    <mergeCell ref="M536:O536"/>
    <mergeCell ref="Q536:S536"/>
    <mergeCell ref="C530:E530"/>
    <mergeCell ref="G530:I530"/>
    <mergeCell ref="M530:O530"/>
    <mergeCell ref="Q530:S530"/>
    <mergeCell ref="C532:E532"/>
    <mergeCell ref="G532:I532"/>
    <mergeCell ref="M532:O532"/>
    <mergeCell ref="Q532:S532"/>
    <mergeCell ref="C526:E526"/>
    <mergeCell ref="G526:I526"/>
    <mergeCell ref="M526:O526"/>
    <mergeCell ref="Q526:S526"/>
    <mergeCell ref="C528:E528"/>
    <mergeCell ref="G528:I528"/>
    <mergeCell ref="M528:O528"/>
    <mergeCell ref="Q528:S528"/>
    <mergeCell ref="C522:E522"/>
    <mergeCell ref="G522:I522"/>
    <mergeCell ref="M522:O522"/>
    <mergeCell ref="Q522:S522"/>
    <mergeCell ref="D524:J524"/>
    <mergeCell ref="N524:T524"/>
    <mergeCell ref="C518:E518"/>
    <mergeCell ref="G518:I518"/>
    <mergeCell ref="M518:O518"/>
    <mergeCell ref="Q518:S518"/>
    <mergeCell ref="C520:E520"/>
    <mergeCell ref="G520:I520"/>
    <mergeCell ref="M520:O520"/>
    <mergeCell ref="Q520:S520"/>
    <mergeCell ref="C514:E514"/>
    <mergeCell ref="G514:I514"/>
    <mergeCell ref="M514:O514"/>
    <mergeCell ref="Q514:S514"/>
    <mergeCell ref="C516:E516"/>
    <mergeCell ref="G516:I516"/>
    <mergeCell ref="M516:O516"/>
    <mergeCell ref="Q516:S516"/>
    <mergeCell ref="C510:E510"/>
    <mergeCell ref="G510:I510"/>
    <mergeCell ref="M510:O510"/>
    <mergeCell ref="Q510:S510"/>
    <mergeCell ref="C512:E512"/>
    <mergeCell ref="G512:I512"/>
    <mergeCell ref="M512:O512"/>
    <mergeCell ref="Q512:S512"/>
    <mergeCell ref="C506:E506"/>
    <mergeCell ref="G506:I506"/>
    <mergeCell ref="M506:O506"/>
    <mergeCell ref="Q506:S506"/>
    <mergeCell ref="C508:E508"/>
    <mergeCell ref="G508:I508"/>
    <mergeCell ref="M508:O508"/>
    <mergeCell ref="Q508:S508"/>
    <mergeCell ref="D502:J502"/>
    <mergeCell ref="N502:T502"/>
    <mergeCell ref="C504:E504"/>
    <mergeCell ref="G504:I504"/>
    <mergeCell ref="M504:O504"/>
    <mergeCell ref="Q504:S504"/>
    <mergeCell ref="C498:E498"/>
    <mergeCell ref="G498:I498"/>
    <mergeCell ref="M498:O498"/>
    <mergeCell ref="Q498:S498"/>
    <mergeCell ref="C500:E500"/>
    <mergeCell ref="G500:I500"/>
    <mergeCell ref="M500:O500"/>
    <mergeCell ref="Q500:S500"/>
    <mergeCell ref="C494:E494"/>
    <mergeCell ref="G494:I494"/>
    <mergeCell ref="M494:O494"/>
    <mergeCell ref="Q494:S494"/>
    <mergeCell ref="C496:E496"/>
    <mergeCell ref="G496:I496"/>
    <mergeCell ref="M496:O496"/>
    <mergeCell ref="Q496:S496"/>
    <mergeCell ref="C490:E490"/>
    <mergeCell ref="G490:I490"/>
    <mergeCell ref="M490:O490"/>
    <mergeCell ref="Q490:S490"/>
    <mergeCell ref="C492:E492"/>
    <mergeCell ref="G492:I492"/>
    <mergeCell ref="M492:O492"/>
    <mergeCell ref="Q492:S492"/>
    <mergeCell ref="C486:E486"/>
    <mergeCell ref="G486:I486"/>
    <mergeCell ref="M486:O486"/>
    <mergeCell ref="Q486:S486"/>
    <mergeCell ref="C488:E488"/>
    <mergeCell ref="G488:I488"/>
    <mergeCell ref="M488:O488"/>
    <mergeCell ref="Q488:S488"/>
    <mergeCell ref="C482:E482"/>
    <mergeCell ref="G482:I482"/>
    <mergeCell ref="M482:O482"/>
    <mergeCell ref="Q482:S482"/>
    <mergeCell ref="C484:E484"/>
    <mergeCell ref="G484:I484"/>
    <mergeCell ref="M484:O484"/>
    <mergeCell ref="Q484:S484"/>
    <mergeCell ref="C478:E478"/>
    <mergeCell ref="G478:I478"/>
    <mergeCell ref="M478:O478"/>
    <mergeCell ref="Q478:S478"/>
    <mergeCell ref="D480:J480"/>
    <mergeCell ref="N480:T480"/>
    <mergeCell ref="C474:E474"/>
    <mergeCell ref="G474:I474"/>
    <mergeCell ref="M474:O474"/>
    <mergeCell ref="Q474:S474"/>
    <mergeCell ref="C476:E476"/>
    <mergeCell ref="G476:I476"/>
    <mergeCell ref="M476:O476"/>
    <mergeCell ref="Q476:S476"/>
    <mergeCell ref="C470:E470"/>
    <mergeCell ref="G470:I470"/>
    <mergeCell ref="M470:O470"/>
    <mergeCell ref="Q470:S470"/>
    <mergeCell ref="C472:E472"/>
    <mergeCell ref="G472:I472"/>
    <mergeCell ref="M472:O472"/>
    <mergeCell ref="Q472:S472"/>
    <mergeCell ref="C466:E466"/>
    <mergeCell ref="G466:I466"/>
    <mergeCell ref="M466:O466"/>
    <mergeCell ref="Q466:S466"/>
    <mergeCell ref="C468:E468"/>
    <mergeCell ref="G468:I468"/>
    <mergeCell ref="M468:O468"/>
    <mergeCell ref="Q468:S468"/>
    <mergeCell ref="C462:E462"/>
    <mergeCell ref="G462:I462"/>
    <mergeCell ref="M462:O462"/>
    <mergeCell ref="Q462:S462"/>
    <mergeCell ref="C464:E464"/>
    <mergeCell ref="G464:I464"/>
    <mergeCell ref="M464:O464"/>
    <mergeCell ref="Q464:S464"/>
    <mergeCell ref="D458:J458"/>
    <mergeCell ref="N458:T458"/>
    <mergeCell ref="C460:E460"/>
    <mergeCell ref="G460:I460"/>
    <mergeCell ref="M460:O460"/>
    <mergeCell ref="Q460:S460"/>
    <mergeCell ref="C454:E454"/>
    <mergeCell ref="G454:I454"/>
    <mergeCell ref="M454:O454"/>
    <mergeCell ref="Q454:S454"/>
    <mergeCell ref="C456:E456"/>
    <mergeCell ref="G456:I456"/>
    <mergeCell ref="M456:O456"/>
    <mergeCell ref="Q456:S456"/>
    <mergeCell ref="C450:E450"/>
    <mergeCell ref="G450:I450"/>
    <mergeCell ref="M450:O450"/>
    <mergeCell ref="Q450:S450"/>
    <mergeCell ref="C452:E452"/>
    <mergeCell ref="G452:I452"/>
    <mergeCell ref="M452:O452"/>
    <mergeCell ref="Q452:S452"/>
    <mergeCell ref="C446:E446"/>
    <mergeCell ref="G446:I446"/>
    <mergeCell ref="M446:O446"/>
    <mergeCell ref="Q446:S446"/>
    <mergeCell ref="C448:E448"/>
    <mergeCell ref="G448:I448"/>
    <mergeCell ref="M448:O448"/>
    <mergeCell ref="Q448:S448"/>
    <mergeCell ref="C442:E442"/>
    <mergeCell ref="G442:I442"/>
    <mergeCell ref="M442:O442"/>
    <mergeCell ref="Q442:S442"/>
    <mergeCell ref="C444:E444"/>
    <mergeCell ref="G444:I444"/>
    <mergeCell ref="M444:O444"/>
    <mergeCell ref="Q444:S444"/>
    <mergeCell ref="C438:E438"/>
    <mergeCell ref="G438:I438"/>
    <mergeCell ref="M438:O438"/>
    <mergeCell ref="Q438:S438"/>
    <mergeCell ref="C440:E440"/>
    <mergeCell ref="G440:I440"/>
    <mergeCell ref="M440:O440"/>
    <mergeCell ref="Q440:S440"/>
    <mergeCell ref="C434:E434"/>
    <mergeCell ref="G434:I434"/>
    <mergeCell ref="M434:O434"/>
    <mergeCell ref="Q434:S434"/>
    <mergeCell ref="D436:J436"/>
    <mergeCell ref="N436:T436"/>
    <mergeCell ref="C430:E430"/>
    <mergeCell ref="G430:I430"/>
    <mergeCell ref="M430:O430"/>
    <mergeCell ref="Q430:S430"/>
    <mergeCell ref="C432:E432"/>
    <mergeCell ref="G432:I432"/>
    <mergeCell ref="M432:O432"/>
    <mergeCell ref="Q432:S432"/>
    <mergeCell ref="C426:E426"/>
    <mergeCell ref="G426:I426"/>
    <mergeCell ref="M426:O426"/>
    <mergeCell ref="Q426:S426"/>
    <mergeCell ref="C428:E428"/>
    <mergeCell ref="G428:I428"/>
    <mergeCell ref="M428:O428"/>
    <mergeCell ref="Q428:S428"/>
    <mergeCell ref="C422:E422"/>
    <mergeCell ref="G422:I422"/>
    <mergeCell ref="M422:O422"/>
    <mergeCell ref="Q422:S422"/>
    <mergeCell ref="C424:E424"/>
    <mergeCell ref="G424:I424"/>
    <mergeCell ref="M424:O424"/>
    <mergeCell ref="Q424:S424"/>
    <mergeCell ref="C418:E418"/>
    <mergeCell ref="G418:I418"/>
    <mergeCell ref="M418:O418"/>
    <mergeCell ref="Q418:S418"/>
    <mergeCell ref="C420:E420"/>
    <mergeCell ref="G420:I420"/>
    <mergeCell ref="M420:O420"/>
    <mergeCell ref="Q420:S420"/>
    <mergeCell ref="D415:J415"/>
    <mergeCell ref="N415:T415"/>
    <mergeCell ref="C416:E416"/>
    <mergeCell ref="G416:I416"/>
    <mergeCell ref="M416:O416"/>
    <mergeCell ref="Q416:S416"/>
    <mergeCell ref="C411:E411"/>
    <mergeCell ref="G411:I411"/>
    <mergeCell ref="M411:O411"/>
    <mergeCell ref="Q411:S411"/>
    <mergeCell ref="C413:E413"/>
    <mergeCell ref="G413:I413"/>
    <mergeCell ref="M413:O413"/>
    <mergeCell ref="Q413:S413"/>
    <mergeCell ref="C407:E407"/>
    <mergeCell ref="G407:I407"/>
    <mergeCell ref="M407:O407"/>
    <mergeCell ref="Q407:S407"/>
    <mergeCell ref="C409:E409"/>
    <mergeCell ref="G409:I409"/>
    <mergeCell ref="M409:O409"/>
    <mergeCell ref="Q409:S409"/>
    <mergeCell ref="C403:E403"/>
    <mergeCell ref="G403:I403"/>
    <mergeCell ref="M403:O403"/>
    <mergeCell ref="Q403:S403"/>
    <mergeCell ref="C405:E405"/>
    <mergeCell ref="G405:I405"/>
    <mergeCell ref="M405:O405"/>
    <mergeCell ref="Q405:S405"/>
    <mergeCell ref="C399:E399"/>
    <mergeCell ref="G399:I399"/>
    <mergeCell ref="M399:O399"/>
    <mergeCell ref="Q399:S399"/>
    <mergeCell ref="C401:E401"/>
    <mergeCell ref="G401:I401"/>
    <mergeCell ref="M401:O401"/>
    <mergeCell ref="Q401:S401"/>
    <mergeCell ref="C395:E395"/>
    <mergeCell ref="G395:I395"/>
    <mergeCell ref="M395:O395"/>
    <mergeCell ref="Q395:S395"/>
    <mergeCell ref="C397:E397"/>
    <mergeCell ref="G397:I397"/>
    <mergeCell ref="M397:O397"/>
    <mergeCell ref="Q397:S397"/>
    <mergeCell ref="C391:E391"/>
    <mergeCell ref="G391:I391"/>
    <mergeCell ref="M391:O391"/>
    <mergeCell ref="Q391:S391"/>
    <mergeCell ref="D393:J393"/>
    <mergeCell ref="N393:T393"/>
    <mergeCell ref="C387:E387"/>
    <mergeCell ref="G387:I387"/>
    <mergeCell ref="M387:O387"/>
    <mergeCell ref="Q387:S387"/>
    <mergeCell ref="C389:E389"/>
    <mergeCell ref="G389:I389"/>
    <mergeCell ref="M389:O389"/>
    <mergeCell ref="Q389:S389"/>
    <mergeCell ref="C383:E383"/>
    <mergeCell ref="G383:I383"/>
    <mergeCell ref="M383:O383"/>
    <mergeCell ref="Q383:S383"/>
    <mergeCell ref="C385:E385"/>
    <mergeCell ref="G385:I385"/>
    <mergeCell ref="M385:O385"/>
    <mergeCell ref="Q385:S385"/>
    <mergeCell ref="C379:E379"/>
    <mergeCell ref="G379:I379"/>
    <mergeCell ref="M379:O379"/>
    <mergeCell ref="Q379:S379"/>
    <mergeCell ref="C381:E381"/>
    <mergeCell ref="G381:I381"/>
    <mergeCell ref="M381:O381"/>
    <mergeCell ref="Q381:S381"/>
    <mergeCell ref="C375:E375"/>
    <mergeCell ref="G375:I375"/>
    <mergeCell ref="M375:O375"/>
    <mergeCell ref="Q375:S375"/>
    <mergeCell ref="C377:E377"/>
    <mergeCell ref="G377:I377"/>
    <mergeCell ref="M377:O377"/>
    <mergeCell ref="Q377:S377"/>
    <mergeCell ref="C370:E370"/>
    <mergeCell ref="G370:I370"/>
    <mergeCell ref="M370:O370"/>
    <mergeCell ref="Q370:S370"/>
    <mergeCell ref="D373:J373"/>
    <mergeCell ref="N373:T373"/>
    <mergeCell ref="C366:E366"/>
    <mergeCell ref="G366:I366"/>
    <mergeCell ref="M366:O366"/>
    <mergeCell ref="Q366:S366"/>
    <mergeCell ref="C368:E368"/>
    <mergeCell ref="G368:I368"/>
    <mergeCell ref="M368:O368"/>
    <mergeCell ref="Q368:S368"/>
    <mergeCell ref="C362:E362"/>
    <mergeCell ref="G362:I362"/>
    <mergeCell ref="M362:O362"/>
    <mergeCell ref="Q362:S362"/>
    <mergeCell ref="C364:E364"/>
    <mergeCell ref="G364:I364"/>
    <mergeCell ref="M364:O364"/>
    <mergeCell ref="Q364:S364"/>
    <mergeCell ref="C358:E358"/>
    <mergeCell ref="G358:I358"/>
    <mergeCell ref="M358:O358"/>
    <mergeCell ref="Q358:S358"/>
    <mergeCell ref="C360:E360"/>
    <mergeCell ref="G360:I360"/>
    <mergeCell ref="M360:O360"/>
    <mergeCell ref="Q360:S360"/>
    <mergeCell ref="C354:E354"/>
    <mergeCell ref="G354:I354"/>
    <mergeCell ref="M354:O354"/>
    <mergeCell ref="Q354:S354"/>
    <mergeCell ref="C356:E356"/>
    <mergeCell ref="G356:I356"/>
    <mergeCell ref="M356:O356"/>
    <mergeCell ref="Q356:S356"/>
    <mergeCell ref="D350:J350"/>
    <mergeCell ref="N350:T350"/>
    <mergeCell ref="C352:E352"/>
    <mergeCell ref="G352:I352"/>
    <mergeCell ref="M352:O352"/>
    <mergeCell ref="Q352:S352"/>
    <mergeCell ref="C346:E346"/>
    <mergeCell ref="G346:I346"/>
    <mergeCell ref="M346:O346"/>
    <mergeCell ref="Q346:S346"/>
    <mergeCell ref="C348:E348"/>
    <mergeCell ref="G348:I348"/>
    <mergeCell ref="M348:O348"/>
    <mergeCell ref="Q348:S348"/>
    <mergeCell ref="C342:E342"/>
    <mergeCell ref="G342:I342"/>
    <mergeCell ref="M342:O342"/>
    <mergeCell ref="Q342:S342"/>
    <mergeCell ref="C344:E344"/>
    <mergeCell ref="G344:I344"/>
    <mergeCell ref="M344:O344"/>
    <mergeCell ref="Q344:S344"/>
    <mergeCell ref="C338:E338"/>
    <mergeCell ref="G338:I338"/>
    <mergeCell ref="M338:O338"/>
    <mergeCell ref="Q338:S338"/>
    <mergeCell ref="C340:E340"/>
    <mergeCell ref="G340:I340"/>
    <mergeCell ref="M340:O340"/>
    <mergeCell ref="Q340:S340"/>
    <mergeCell ref="C334:E334"/>
    <mergeCell ref="G334:I334"/>
    <mergeCell ref="M334:O334"/>
    <mergeCell ref="Q334:S334"/>
    <mergeCell ref="C336:E336"/>
    <mergeCell ref="G336:I336"/>
    <mergeCell ref="M336:O336"/>
    <mergeCell ref="Q336:S336"/>
    <mergeCell ref="D330:J330"/>
    <mergeCell ref="N330:T330"/>
    <mergeCell ref="C332:E332"/>
    <mergeCell ref="G332:I332"/>
    <mergeCell ref="M332:O332"/>
    <mergeCell ref="Q332:S332"/>
    <mergeCell ref="C326:E326"/>
    <mergeCell ref="G326:I326"/>
    <mergeCell ref="M326:O326"/>
    <mergeCell ref="Q326:S326"/>
    <mergeCell ref="C328:E328"/>
    <mergeCell ref="G328:I328"/>
    <mergeCell ref="M328:O328"/>
    <mergeCell ref="Q328:S328"/>
    <mergeCell ref="C322:E322"/>
    <mergeCell ref="G322:I322"/>
    <mergeCell ref="M322:O322"/>
    <mergeCell ref="Q322:S322"/>
    <mergeCell ref="C324:E324"/>
    <mergeCell ref="G324:I324"/>
    <mergeCell ref="M324:O324"/>
    <mergeCell ref="Q324:S324"/>
    <mergeCell ref="C318:E318"/>
    <mergeCell ref="G318:I318"/>
    <mergeCell ref="M318:O318"/>
    <mergeCell ref="Q318:S318"/>
    <mergeCell ref="C320:E320"/>
    <mergeCell ref="G320:I320"/>
    <mergeCell ref="M320:O320"/>
    <mergeCell ref="Q320:S320"/>
    <mergeCell ref="C314:E314"/>
    <mergeCell ref="G314:I314"/>
    <mergeCell ref="M314:O314"/>
    <mergeCell ref="Q314:S314"/>
    <mergeCell ref="C316:E316"/>
    <mergeCell ref="G316:I316"/>
    <mergeCell ref="M316:O316"/>
    <mergeCell ref="Q316:S316"/>
    <mergeCell ref="C310:E310"/>
    <mergeCell ref="G310:I310"/>
    <mergeCell ref="M310:O310"/>
    <mergeCell ref="Q310:S310"/>
    <mergeCell ref="C312:E312"/>
    <mergeCell ref="G312:I312"/>
    <mergeCell ref="M312:O312"/>
    <mergeCell ref="Q312:S312"/>
    <mergeCell ref="C306:E306"/>
    <mergeCell ref="G306:I306"/>
    <mergeCell ref="M306:O306"/>
    <mergeCell ref="Q306:S306"/>
    <mergeCell ref="D308:J308"/>
    <mergeCell ref="N308:T308"/>
    <mergeCell ref="C302:E302"/>
    <mergeCell ref="G302:I302"/>
    <mergeCell ref="M302:O302"/>
    <mergeCell ref="Q302:S302"/>
    <mergeCell ref="C304:E304"/>
    <mergeCell ref="G304:I304"/>
    <mergeCell ref="M304:O304"/>
    <mergeCell ref="Q304:S304"/>
    <mergeCell ref="C298:E298"/>
    <mergeCell ref="G298:I298"/>
    <mergeCell ref="M298:O298"/>
    <mergeCell ref="Q298:S298"/>
    <mergeCell ref="C300:E300"/>
    <mergeCell ref="G300:I300"/>
    <mergeCell ref="M300:O300"/>
    <mergeCell ref="Q300:S300"/>
    <mergeCell ref="C294:E294"/>
    <mergeCell ref="G294:I294"/>
    <mergeCell ref="M294:O294"/>
    <mergeCell ref="Q294:S294"/>
    <mergeCell ref="C296:E296"/>
    <mergeCell ref="G296:I296"/>
    <mergeCell ref="M296:O296"/>
    <mergeCell ref="Q296:S296"/>
    <mergeCell ref="C290:E290"/>
    <mergeCell ref="G290:I290"/>
    <mergeCell ref="M290:O290"/>
    <mergeCell ref="Q290:S290"/>
    <mergeCell ref="C292:E292"/>
    <mergeCell ref="G292:I292"/>
    <mergeCell ref="M292:O292"/>
    <mergeCell ref="Q292:S292"/>
    <mergeCell ref="D286:J286"/>
    <mergeCell ref="N286:T286"/>
    <mergeCell ref="C288:E288"/>
    <mergeCell ref="G288:I288"/>
    <mergeCell ref="M288:O288"/>
    <mergeCell ref="Q288:S288"/>
    <mergeCell ref="C282:E282"/>
    <mergeCell ref="G282:I282"/>
    <mergeCell ref="M282:O282"/>
    <mergeCell ref="Q282:S282"/>
    <mergeCell ref="C284:E284"/>
    <mergeCell ref="G284:I284"/>
    <mergeCell ref="M284:O284"/>
    <mergeCell ref="Q284:S284"/>
    <mergeCell ref="C278:E278"/>
    <mergeCell ref="G278:I278"/>
    <mergeCell ref="M278:O278"/>
    <mergeCell ref="Q278:S278"/>
    <mergeCell ref="C280:E280"/>
    <mergeCell ref="G280:I280"/>
    <mergeCell ref="M280:O280"/>
    <mergeCell ref="Q280:S280"/>
    <mergeCell ref="C274:E274"/>
    <mergeCell ref="G274:I274"/>
    <mergeCell ref="M274:O274"/>
    <mergeCell ref="Q274:S274"/>
    <mergeCell ref="C276:E276"/>
    <mergeCell ref="G276:I276"/>
    <mergeCell ref="M276:O276"/>
    <mergeCell ref="Q276:S276"/>
    <mergeCell ref="C270:E270"/>
    <mergeCell ref="G270:I270"/>
    <mergeCell ref="M270:O270"/>
    <mergeCell ref="Q270:S270"/>
    <mergeCell ref="C272:E272"/>
    <mergeCell ref="G272:I272"/>
    <mergeCell ref="M272:O272"/>
    <mergeCell ref="Q272:S272"/>
    <mergeCell ref="C266:E266"/>
    <mergeCell ref="G266:I266"/>
    <mergeCell ref="M266:O266"/>
    <mergeCell ref="Q266:S266"/>
    <mergeCell ref="C268:E268"/>
    <mergeCell ref="G268:I268"/>
    <mergeCell ref="M268:O268"/>
    <mergeCell ref="Q268:S268"/>
    <mergeCell ref="C262:E262"/>
    <mergeCell ref="G262:I262"/>
    <mergeCell ref="M262:O262"/>
    <mergeCell ref="Q262:S262"/>
    <mergeCell ref="D264:J264"/>
    <mergeCell ref="N264:T264"/>
    <mergeCell ref="C258:E258"/>
    <mergeCell ref="G258:I258"/>
    <mergeCell ref="M258:O258"/>
    <mergeCell ref="Q258:S258"/>
    <mergeCell ref="C260:E260"/>
    <mergeCell ref="G260:I260"/>
    <mergeCell ref="M260:O260"/>
    <mergeCell ref="Q260:S260"/>
    <mergeCell ref="C254:E254"/>
    <mergeCell ref="G254:I254"/>
    <mergeCell ref="M254:O254"/>
    <mergeCell ref="Q254:S254"/>
    <mergeCell ref="C256:E256"/>
    <mergeCell ref="G256:I256"/>
    <mergeCell ref="M256:O256"/>
    <mergeCell ref="Q256:S256"/>
    <mergeCell ref="C250:E250"/>
    <mergeCell ref="G250:I250"/>
    <mergeCell ref="M250:O250"/>
    <mergeCell ref="Q250:S250"/>
    <mergeCell ref="C252:E252"/>
    <mergeCell ref="G252:I252"/>
    <mergeCell ref="M252:O252"/>
    <mergeCell ref="Q252:S252"/>
    <mergeCell ref="C246:E246"/>
    <mergeCell ref="G246:I246"/>
    <mergeCell ref="M246:O246"/>
    <mergeCell ref="Q246:S246"/>
    <mergeCell ref="C248:E248"/>
    <mergeCell ref="G248:I248"/>
    <mergeCell ref="M248:O248"/>
    <mergeCell ref="Q248:S248"/>
    <mergeCell ref="D242:J242"/>
    <mergeCell ref="N242:T242"/>
    <mergeCell ref="C244:E244"/>
    <mergeCell ref="G244:I244"/>
    <mergeCell ref="M244:O244"/>
    <mergeCell ref="Q244:S244"/>
    <mergeCell ref="C240:E240"/>
    <mergeCell ref="G240:I240"/>
    <mergeCell ref="M240:O240"/>
    <mergeCell ref="Q240:S240"/>
    <mergeCell ref="C241:E241"/>
    <mergeCell ref="G241:I241"/>
    <mergeCell ref="M241:O241"/>
    <mergeCell ref="Q241:S241"/>
    <mergeCell ref="C236:E236"/>
    <mergeCell ref="G236:I236"/>
    <mergeCell ref="M236:O236"/>
    <mergeCell ref="Q236:S236"/>
    <mergeCell ref="C238:E238"/>
    <mergeCell ref="G238:I238"/>
    <mergeCell ref="M238:O238"/>
    <mergeCell ref="Q238:S238"/>
    <mergeCell ref="C232:E232"/>
    <mergeCell ref="G232:I232"/>
    <mergeCell ref="M232:O232"/>
    <mergeCell ref="Q232:S232"/>
    <mergeCell ref="C234:E234"/>
    <mergeCell ref="G234:I234"/>
    <mergeCell ref="M234:O234"/>
    <mergeCell ref="Q234:S234"/>
    <mergeCell ref="C228:E228"/>
    <mergeCell ref="G228:I228"/>
    <mergeCell ref="M228:O228"/>
    <mergeCell ref="Q228:S228"/>
    <mergeCell ref="C230:E230"/>
    <mergeCell ref="G230:I230"/>
    <mergeCell ref="M230:O230"/>
    <mergeCell ref="Q230:S230"/>
    <mergeCell ref="C224:E224"/>
    <mergeCell ref="G224:I224"/>
    <mergeCell ref="M224:O224"/>
    <mergeCell ref="Q224:S224"/>
    <mergeCell ref="C226:E226"/>
    <mergeCell ref="G226:I226"/>
    <mergeCell ref="M226:O226"/>
    <mergeCell ref="Q226:S226"/>
    <mergeCell ref="D220:J220"/>
    <mergeCell ref="N220:T220"/>
    <mergeCell ref="C222:E222"/>
    <mergeCell ref="G222:I222"/>
    <mergeCell ref="M222:O222"/>
    <mergeCell ref="Q222:S222"/>
    <mergeCell ref="C218:E218"/>
    <mergeCell ref="G218:I218"/>
    <mergeCell ref="M218:O218"/>
    <mergeCell ref="Q218:S218"/>
    <mergeCell ref="C219:E219"/>
    <mergeCell ref="G219:I219"/>
    <mergeCell ref="M219:O219"/>
    <mergeCell ref="Q219:S219"/>
    <mergeCell ref="C214:E214"/>
    <mergeCell ref="G214:I214"/>
    <mergeCell ref="M214:O214"/>
    <mergeCell ref="Q214:S214"/>
    <mergeCell ref="C216:E216"/>
    <mergeCell ref="G216:I216"/>
    <mergeCell ref="M216:O216"/>
    <mergeCell ref="Q216:S216"/>
    <mergeCell ref="C210:E210"/>
    <mergeCell ref="G210:I210"/>
    <mergeCell ref="M210:O210"/>
    <mergeCell ref="Q210:S210"/>
    <mergeCell ref="C212:E212"/>
    <mergeCell ref="G212:I212"/>
    <mergeCell ref="M212:O212"/>
    <mergeCell ref="Q212:S212"/>
    <mergeCell ref="C206:E206"/>
    <mergeCell ref="G206:I206"/>
    <mergeCell ref="M206:O206"/>
    <mergeCell ref="Q206:S206"/>
    <mergeCell ref="C208:E208"/>
    <mergeCell ref="G208:I208"/>
    <mergeCell ref="M208:O208"/>
    <mergeCell ref="Q208:S208"/>
    <mergeCell ref="C202:E202"/>
    <mergeCell ref="G202:I202"/>
    <mergeCell ref="M202:O202"/>
    <mergeCell ref="Q202:S202"/>
    <mergeCell ref="C204:E204"/>
    <mergeCell ref="G204:I204"/>
    <mergeCell ref="M204:O204"/>
    <mergeCell ref="Q204:S204"/>
    <mergeCell ref="D198:J198"/>
    <mergeCell ref="N198:T198"/>
    <mergeCell ref="C200:E200"/>
    <mergeCell ref="G200:I200"/>
    <mergeCell ref="M200:O200"/>
    <mergeCell ref="Q200:S200"/>
    <mergeCell ref="C196:E196"/>
    <mergeCell ref="G196:I196"/>
    <mergeCell ref="M196:O196"/>
    <mergeCell ref="Q196:S196"/>
    <mergeCell ref="C197:E197"/>
    <mergeCell ref="G197:I197"/>
    <mergeCell ref="M197:O197"/>
    <mergeCell ref="Q197:S197"/>
    <mergeCell ref="C192:E192"/>
    <mergeCell ref="G192:I192"/>
    <mergeCell ref="M192:O192"/>
    <mergeCell ref="Q192:S192"/>
    <mergeCell ref="C194:E194"/>
    <mergeCell ref="G194:I194"/>
    <mergeCell ref="M194:O194"/>
    <mergeCell ref="Q194:S194"/>
    <mergeCell ref="C188:E188"/>
    <mergeCell ref="G188:I188"/>
    <mergeCell ref="M188:O188"/>
    <mergeCell ref="Q188:S188"/>
    <mergeCell ref="C190:E190"/>
    <mergeCell ref="G190:I190"/>
    <mergeCell ref="M190:O190"/>
    <mergeCell ref="Q190:S190"/>
    <mergeCell ref="C184:E184"/>
    <mergeCell ref="G184:I184"/>
    <mergeCell ref="M184:O184"/>
    <mergeCell ref="Q184:S184"/>
    <mergeCell ref="C186:E186"/>
    <mergeCell ref="G186:I186"/>
    <mergeCell ref="M186:O186"/>
    <mergeCell ref="Q186:S186"/>
    <mergeCell ref="C180:E180"/>
    <mergeCell ref="G180:I180"/>
    <mergeCell ref="M180:O180"/>
    <mergeCell ref="Q180:S180"/>
    <mergeCell ref="C182:E182"/>
    <mergeCell ref="G182:I182"/>
    <mergeCell ref="M182:O182"/>
    <mergeCell ref="Q182:S182"/>
    <mergeCell ref="D176:J176"/>
    <mergeCell ref="N176:T176"/>
    <mergeCell ref="C178:E178"/>
    <mergeCell ref="G178:I178"/>
    <mergeCell ref="M178:O178"/>
    <mergeCell ref="Q178:S178"/>
    <mergeCell ref="C174:E174"/>
    <mergeCell ref="G174:I174"/>
    <mergeCell ref="M174:O174"/>
    <mergeCell ref="Q174:S174"/>
    <mergeCell ref="C175:E175"/>
    <mergeCell ref="G175:I175"/>
    <mergeCell ref="M175:O175"/>
    <mergeCell ref="Q175:S175"/>
    <mergeCell ref="C170:E170"/>
    <mergeCell ref="G170:I170"/>
    <mergeCell ref="M170:O170"/>
    <mergeCell ref="Q170:S170"/>
    <mergeCell ref="C172:E172"/>
    <mergeCell ref="G172:I172"/>
    <mergeCell ref="M172:O172"/>
    <mergeCell ref="Q172:S172"/>
    <mergeCell ref="C166:E166"/>
    <mergeCell ref="G166:I166"/>
    <mergeCell ref="M166:O166"/>
    <mergeCell ref="Q166:S166"/>
    <mergeCell ref="C168:E168"/>
    <mergeCell ref="G168:I168"/>
    <mergeCell ref="M168:O168"/>
    <mergeCell ref="Q168:S168"/>
    <mergeCell ref="C162:E162"/>
    <mergeCell ref="G162:I162"/>
    <mergeCell ref="M162:O162"/>
    <mergeCell ref="Q162:S162"/>
    <mergeCell ref="C164:E164"/>
    <mergeCell ref="G164:I164"/>
    <mergeCell ref="M164:O164"/>
    <mergeCell ref="Q164:S164"/>
    <mergeCell ref="C158:E158"/>
    <mergeCell ref="G158:I158"/>
    <mergeCell ref="M158:O158"/>
    <mergeCell ref="Q158:S158"/>
    <mergeCell ref="C160:E160"/>
    <mergeCell ref="G160:I160"/>
    <mergeCell ref="M160:O160"/>
    <mergeCell ref="Q160:S160"/>
    <mergeCell ref="D154:J154"/>
    <mergeCell ref="N154:T154"/>
    <mergeCell ref="C156:E156"/>
    <mergeCell ref="G156:I156"/>
    <mergeCell ref="M156:O156"/>
    <mergeCell ref="Q156:S156"/>
    <mergeCell ref="C152:E152"/>
    <mergeCell ref="G152:I152"/>
    <mergeCell ref="M152:O152"/>
    <mergeCell ref="Q152:S152"/>
    <mergeCell ref="C153:E153"/>
    <mergeCell ref="G153:I153"/>
    <mergeCell ref="M153:O153"/>
    <mergeCell ref="Q153:S153"/>
    <mergeCell ref="C148:E148"/>
    <mergeCell ref="G148:I148"/>
    <mergeCell ref="M148:O148"/>
    <mergeCell ref="Q148:S148"/>
    <mergeCell ref="C150:E150"/>
    <mergeCell ref="G150:I150"/>
    <mergeCell ref="M150:O150"/>
    <mergeCell ref="Q150:S150"/>
    <mergeCell ref="C144:E144"/>
    <mergeCell ref="G144:I144"/>
    <mergeCell ref="M144:O144"/>
    <mergeCell ref="Q144:S144"/>
    <mergeCell ref="C146:E146"/>
    <mergeCell ref="G146:I146"/>
    <mergeCell ref="M146:O146"/>
    <mergeCell ref="Q146:S146"/>
    <mergeCell ref="C140:E140"/>
    <mergeCell ref="G140:I140"/>
    <mergeCell ref="M140:O140"/>
    <mergeCell ref="Q140:S140"/>
    <mergeCell ref="C142:E142"/>
    <mergeCell ref="G142:I142"/>
    <mergeCell ref="M142:O142"/>
    <mergeCell ref="Q142:S142"/>
    <mergeCell ref="C136:E136"/>
    <mergeCell ref="G136:I136"/>
    <mergeCell ref="M136:O136"/>
    <mergeCell ref="Q136:S136"/>
    <mergeCell ref="C138:E138"/>
    <mergeCell ref="G138:I138"/>
    <mergeCell ref="M138:O138"/>
    <mergeCell ref="Q138:S138"/>
    <mergeCell ref="D132:J132"/>
    <mergeCell ref="N132:T132"/>
    <mergeCell ref="C134:E134"/>
    <mergeCell ref="G134:I134"/>
    <mergeCell ref="M134:O134"/>
    <mergeCell ref="Q134:S134"/>
    <mergeCell ref="C129:E129"/>
    <mergeCell ref="G129:I129"/>
    <mergeCell ref="M129:O129"/>
    <mergeCell ref="Q129:S129"/>
    <mergeCell ref="C131:E131"/>
    <mergeCell ref="G131:I131"/>
    <mergeCell ref="M131:O131"/>
    <mergeCell ref="Q131:S131"/>
    <mergeCell ref="C125:E125"/>
    <mergeCell ref="G125:I125"/>
    <mergeCell ref="M125:O125"/>
    <mergeCell ref="Q125:S125"/>
    <mergeCell ref="C127:E127"/>
    <mergeCell ref="G127:I127"/>
    <mergeCell ref="M127:O127"/>
    <mergeCell ref="Q127:S127"/>
    <mergeCell ref="C121:E121"/>
    <mergeCell ref="G121:I121"/>
    <mergeCell ref="M121:O121"/>
    <mergeCell ref="Q121:S121"/>
    <mergeCell ref="C123:E123"/>
    <mergeCell ref="G123:I123"/>
    <mergeCell ref="M123:O123"/>
    <mergeCell ref="Q123:S123"/>
    <mergeCell ref="C117:E117"/>
    <mergeCell ref="G117:I117"/>
    <mergeCell ref="M117:O117"/>
    <mergeCell ref="Q117:S117"/>
    <mergeCell ref="C119:E119"/>
    <mergeCell ref="G119:I119"/>
    <mergeCell ref="M119:O119"/>
    <mergeCell ref="Q119:S119"/>
    <mergeCell ref="C113:E113"/>
    <mergeCell ref="G113:I113"/>
    <mergeCell ref="M113:O113"/>
    <mergeCell ref="Q113:S113"/>
    <mergeCell ref="C115:E115"/>
    <mergeCell ref="G115:I115"/>
    <mergeCell ref="M115:O115"/>
    <mergeCell ref="Q115:S115"/>
    <mergeCell ref="D109:J109"/>
    <mergeCell ref="N109:T109"/>
    <mergeCell ref="C111:E111"/>
    <mergeCell ref="G111:I111"/>
    <mergeCell ref="M111:O111"/>
    <mergeCell ref="Q111:S111"/>
    <mergeCell ref="C107:E107"/>
    <mergeCell ref="G107:I107"/>
    <mergeCell ref="M107:O107"/>
    <mergeCell ref="Q107:S107"/>
    <mergeCell ref="C108:E108"/>
    <mergeCell ref="G108:I108"/>
    <mergeCell ref="M108:O108"/>
    <mergeCell ref="Q108:S108"/>
    <mergeCell ref="C103:E103"/>
    <mergeCell ref="G103:I103"/>
    <mergeCell ref="M103:O103"/>
    <mergeCell ref="Q103:S103"/>
    <mergeCell ref="C105:E105"/>
    <mergeCell ref="G105:I105"/>
    <mergeCell ref="M105:O105"/>
    <mergeCell ref="Q105:S105"/>
    <mergeCell ref="C99:E99"/>
    <mergeCell ref="G99:I99"/>
    <mergeCell ref="M99:O99"/>
    <mergeCell ref="Q99:S99"/>
    <mergeCell ref="C101:E101"/>
    <mergeCell ref="G101:I101"/>
    <mergeCell ref="M101:O101"/>
    <mergeCell ref="Q101:S101"/>
    <mergeCell ref="C95:E95"/>
    <mergeCell ref="G95:I95"/>
    <mergeCell ref="M95:O95"/>
    <mergeCell ref="Q95:S95"/>
    <mergeCell ref="C97:E97"/>
    <mergeCell ref="G97:I97"/>
    <mergeCell ref="M97:O97"/>
    <mergeCell ref="Q97:S97"/>
    <mergeCell ref="C91:E91"/>
    <mergeCell ref="G91:I91"/>
    <mergeCell ref="M91:O91"/>
    <mergeCell ref="Q91:S91"/>
    <mergeCell ref="C93:E93"/>
    <mergeCell ref="G93:I93"/>
    <mergeCell ref="M93:O93"/>
    <mergeCell ref="Q93:S93"/>
    <mergeCell ref="C88:E88"/>
    <mergeCell ref="G88:I88"/>
    <mergeCell ref="M88:O88"/>
    <mergeCell ref="Q88:S88"/>
    <mergeCell ref="D89:J89"/>
    <mergeCell ref="N89:T89"/>
    <mergeCell ref="C85:E85"/>
    <mergeCell ref="G85:I85"/>
    <mergeCell ref="M85:O85"/>
    <mergeCell ref="Q85:S85"/>
    <mergeCell ref="C87:E87"/>
    <mergeCell ref="G87:I87"/>
    <mergeCell ref="M87:O87"/>
    <mergeCell ref="Q87:S87"/>
    <mergeCell ref="C81:E81"/>
    <mergeCell ref="G81:I81"/>
    <mergeCell ref="M81:O81"/>
    <mergeCell ref="Q81:S81"/>
    <mergeCell ref="C83:E83"/>
    <mergeCell ref="G83:I83"/>
    <mergeCell ref="M83:O83"/>
    <mergeCell ref="Q83:S83"/>
    <mergeCell ref="C77:E77"/>
    <mergeCell ref="G77:I77"/>
    <mergeCell ref="M77:O77"/>
    <mergeCell ref="Q77:S77"/>
    <mergeCell ref="C79:E79"/>
    <mergeCell ref="G79:I79"/>
    <mergeCell ref="M79:O79"/>
    <mergeCell ref="Q79:S79"/>
    <mergeCell ref="C73:E73"/>
    <mergeCell ref="G73:I73"/>
    <mergeCell ref="M73:O73"/>
    <mergeCell ref="Q73:S73"/>
    <mergeCell ref="C75:E75"/>
    <mergeCell ref="G75:I75"/>
    <mergeCell ref="M75:O75"/>
    <mergeCell ref="Q75:S75"/>
    <mergeCell ref="C69:E69"/>
    <mergeCell ref="G69:I69"/>
    <mergeCell ref="M69:O69"/>
    <mergeCell ref="Q69:S69"/>
    <mergeCell ref="C71:E71"/>
    <mergeCell ref="G71:I71"/>
    <mergeCell ref="M71:O71"/>
    <mergeCell ref="Q71:S71"/>
    <mergeCell ref="C66:E66"/>
    <mergeCell ref="G66:I66"/>
    <mergeCell ref="M66:O66"/>
    <mergeCell ref="Q66:S66"/>
    <mergeCell ref="D67:J67"/>
    <mergeCell ref="N67:T67"/>
    <mergeCell ref="C63:E63"/>
    <mergeCell ref="G63:I63"/>
    <mergeCell ref="M63:O63"/>
    <mergeCell ref="Q63:S63"/>
    <mergeCell ref="C65:E65"/>
    <mergeCell ref="G65:I65"/>
    <mergeCell ref="M65:O65"/>
    <mergeCell ref="Q65:S65"/>
    <mergeCell ref="C59:E59"/>
    <mergeCell ref="G59:I59"/>
    <mergeCell ref="M59:O59"/>
    <mergeCell ref="Q59:S59"/>
    <mergeCell ref="C61:E61"/>
    <mergeCell ref="G61:I61"/>
    <mergeCell ref="M61:O61"/>
    <mergeCell ref="Q61:S61"/>
    <mergeCell ref="C55:E55"/>
    <mergeCell ref="G55:I55"/>
    <mergeCell ref="M55:O55"/>
    <mergeCell ref="Q55:S55"/>
    <mergeCell ref="C57:E57"/>
    <mergeCell ref="G57:I57"/>
    <mergeCell ref="M57:O57"/>
    <mergeCell ref="Q57:S57"/>
    <mergeCell ref="C51:E51"/>
    <mergeCell ref="G51:I51"/>
    <mergeCell ref="M51:O51"/>
    <mergeCell ref="Q51:S51"/>
    <mergeCell ref="C53:E53"/>
    <mergeCell ref="G53:I53"/>
    <mergeCell ref="M53:O53"/>
    <mergeCell ref="Q53:S53"/>
    <mergeCell ref="C47:E47"/>
    <mergeCell ref="G47:I47"/>
    <mergeCell ref="M47:O47"/>
    <mergeCell ref="Q47:S47"/>
    <mergeCell ref="C49:E49"/>
    <mergeCell ref="G49:I49"/>
    <mergeCell ref="M49:O49"/>
    <mergeCell ref="Q49:S49"/>
    <mergeCell ref="C43:E43"/>
    <mergeCell ref="G43:I43"/>
    <mergeCell ref="M43:O43"/>
    <mergeCell ref="Q43:S43"/>
    <mergeCell ref="D45:J45"/>
    <mergeCell ref="N45:T45"/>
    <mergeCell ref="C39:E39"/>
    <mergeCell ref="G39:I39"/>
    <mergeCell ref="M39:O39"/>
    <mergeCell ref="Q39:S39"/>
    <mergeCell ref="C41:E41"/>
    <mergeCell ref="G41:I41"/>
    <mergeCell ref="M41:O41"/>
    <mergeCell ref="Q41:S41"/>
    <mergeCell ref="C35:E35"/>
    <mergeCell ref="G35:I35"/>
    <mergeCell ref="M35:O35"/>
    <mergeCell ref="Q35:S35"/>
    <mergeCell ref="C37:E37"/>
    <mergeCell ref="G37:I37"/>
    <mergeCell ref="M37:O37"/>
    <mergeCell ref="Q37:S37"/>
    <mergeCell ref="C31:E31"/>
    <mergeCell ref="G31:I31"/>
    <mergeCell ref="M31:O31"/>
    <mergeCell ref="Q31:S31"/>
    <mergeCell ref="C33:E33"/>
    <mergeCell ref="G33:I33"/>
    <mergeCell ref="M33:O33"/>
    <mergeCell ref="Q33:S33"/>
    <mergeCell ref="C27:E27"/>
    <mergeCell ref="G27:I27"/>
    <mergeCell ref="M27:O27"/>
    <mergeCell ref="Q27:S27"/>
    <mergeCell ref="C29:E29"/>
    <mergeCell ref="G29:I29"/>
    <mergeCell ref="M29:O29"/>
    <mergeCell ref="Q29:S29"/>
    <mergeCell ref="D23:J23"/>
    <mergeCell ref="N23:T23"/>
    <mergeCell ref="C25:E25"/>
    <mergeCell ref="G25:I25"/>
    <mergeCell ref="M25:O25"/>
    <mergeCell ref="Q25:S25"/>
    <mergeCell ref="C21:E21"/>
    <mergeCell ref="G21:I21"/>
    <mergeCell ref="M21:O21"/>
    <mergeCell ref="Q21:S21"/>
    <mergeCell ref="C22:E22"/>
    <mergeCell ref="G22:I22"/>
    <mergeCell ref="M22:O22"/>
    <mergeCell ref="Q22:S22"/>
    <mergeCell ref="C17:E17"/>
    <mergeCell ref="G17:I17"/>
    <mergeCell ref="M17:O17"/>
    <mergeCell ref="Q17:S17"/>
    <mergeCell ref="C19:E19"/>
    <mergeCell ref="G19:I19"/>
    <mergeCell ref="M19:O19"/>
    <mergeCell ref="Q19:S19"/>
    <mergeCell ref="D1:J1"/>
    <mergeCell ref="N1:T1"/>
    <mergeCell ref="C3:E3"/>
    <mergeCell ref="G3:I3"/>
    <mergeCell ref="M3:O3"/>
    <mergeCell ref="Q3:S3"/>
    <mergeCell ref="C13:E13"/>
    <mergeCell ref="G13:I13"/>
    <mergeCell ref="M13:O13"/>
    <mergeCell ref="Q13:S13"/>
    <mergeCell ref="C15:E15"/>
    <mergeCell ref="G15:I15"/>
    <mergeCell ref="M15:O15"/>
    <mergeCell ref="Q15:S15"/>
    <mergeCell ref="C9:E9"/>
    <mergeCell ref="G9:I9"/>
    <mergeCell ref="M9:O9"/>
    <mergeCell ref="Q9:S9"/>
    <mergeCell ref="C11:E11"/>
    <mergeCell ref="G11:I11"/>
    <mergeCell ref="M11:O11"/>
    <mergeCell ref="Q11:S11"/>
    <mergeCell ref="C5:E5"/>
    <mergeCell ref="G5:I5"/>
    <mergeCell ref="M5:O5"/>
    <mergeCell ref="Q5:S5"/>
    <mergeCell ref="C7:E7"/>
    <mergeCell ref="G7:I7"/>
    <mergeCell ref="M7:O7"/>
    <mergeCell ref="Q7:S7"/>
    <mergeCell ref="AA636:AC636"/>
    <mergeCell ref="W636:Y636"/>
    <mergeCell ref="X634:AD634"/>
    <mergeCell ref="AA654:AC654"/>
    <mergeCell ref="W654:Y654"/>
    <mergeCell ref="AA652:AC652"/>
    <mergeCell ref="W652:Y652"/>
    <mergeCell ref="AA650:AC650"/>
    <mergeCell ref="W650:Y650"/>
    <mergeCell ref="AA648:AC648"/>
    <mergeCell ref="W648:Y648"/>
    <mergeCell ref="AA646:AC646"/>
    <mergeCell ref="W646:Y646"/>
    <mergeCell ref="AA644:AC644"/>
    <mergeCell ref="W644:Y644"/>
    <mergeCell ref="AA642:AC642"/>
    <mergeCell ref="W642:Y642"/>
    <mergeCell ref="AA640:AC640"/>
    <mergeCell ref="W640:Y640"/>
    <mergeCell ref="AA638:AC638"/>
    <mergeCell ref="W638:Y638"/>
  </mergeCells>
  <pageMargins left="0.25" right="0.25" top="0.75" bottom="0.75" header="0.3" footer="0.3"/>
  <pageSetup paperSize="9" scale="87" orientation="portrait" r:id="rId1"/>
  <rowBreaks count="4" manualBreakCount="4">
    <brk id="66" max="39" man="1"/>
    <brk id="131" max="39" man="1"/>
    <brk id="392" max="39" man="1"/>
    <brk id="1447" max="39" man="1"/>
  </rowBreaks>
  <colBreaks count="1" manualBreakCount="1">
    <brk id="20" max="1556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9DFC-5301-4447-9A1F-2B250312C4B4}">
  <dimension ref="B1:AN88"/>
  <sheetViews>
    <sheetView view="pageBreakPreview" zoomScale="112" zoomScaleNormal="100" zoomScaleSheetLayoutView="112" workbookViewId="0">
      <selection activeCell="AK19" sqref="AK19:AM19"/>
    </sheetView>
  </sheetViews>
  <sheetFormatPr defaultRowHeight="15" x14ac:dyDescent="0.25"/>
  <cols>
    <col min="1" max="1" width="3.140625" customWidth="1"/>
    <col min="2" max="2" width="0.85546875" customWidth="1"/>
    <col min="3" max="5" width="9.7109375" customWidth="1"/>
    <col min="6" max="6" width="1.5703125" customWidth="1"/>
    <col min="7" max="8" width="5.85546875" customWidth="1"/>
    <col min="9" max="9" width="8.5703125" customWidth="1"/>
    <col min="10" max="10" width="0.85546875" customWidth="1"/>
    <col min="11" max="11" width="1.85546875" customWidth="1"/>
    <col min="12" max="12" width="1.140625" customWidth="1"/>
    <col min="13" max="15" width="9.7109375" customWidth="1"/>
    <col min="16" max="16" width="1.5703125" customWidth="1"/>
    <col min="17" max="18" width="5.7109375" customWidth="1"/>
    <col min="19" max="19" width="8.5703125" customWidth="1"/>
    <col min="20" max="20" width="1.140625" customWidth="1"/>
    <col min="21" max="21" width="1.85546875" customWidth="1"/>
    <col min="22" max="22" width="0.85546875" customWidth="1"/>
    <col min="23" max="25" width="9.7109375" customWidth="1"/>
    <col min="26" max="26" width="1.5703125" customWidth="1"/>
    <col min="27" max="28" width="5.85546875" customWidth="1"/>
    <col min="29" max="29" width="8.5703125" customWidth="1"/>
    <col min="30" max="30" width="0.85546875" customWidth="1"/>
    <col min="31" max="31" width="1.85546875" customWidth="1"/>
    <col min="32" max="32" width="1.140625" customWidth="1"/>
    <col min="33" max="35" width="9.7109375" customWidth="1"/>
    <col min="36" max="36" width="1.5703125" customWidth="1"/>
    <col min="37" max="38" width="5.7109375" customWidth="1"/>
    <col min="39" max="39" width="8.5703125" customWidth="1"/>
    <col min="40" max="40" width="1.140625" customWidth="1"/>
  </cols>
  <sheetData>
    <row r="1" spans="2:40" ht="32.1" customHeight="1" thickTop="1" x14ac:dyDescent="0.25">
      <c r="B1" s="57"/>
      <c r="C1" s="58"/>
      <c r="D1" s="217" t="s">
        <v>697</v>
      </c>
      <c r="E1" s="218"/>
      <c r="F1" s="218"/>
      <c r="G1" s="218"/>
      <c r="H1" s="218"/>
      <c r="I1" s="218"/>
      <c r="J1" s="219"/>
      <c r="L1" s="57"/>
      <c r="M1" s="58"/>
      <c r="N1" s="217" t="s">
        <v>697</v>
      </c>
      <c r="O1" s="218"/>
      <c r="P1" s="218"/>
      <c r="Q1" s="218"/>
      <c r="R1" s="218"/>
      <c r="S1" s="218"/>
      <c r="T1" s="219"/>
      <c r="V1" s="136"/>
      <c r="W1" s="137"/>
      <c r="X1" s="230" t="s">
        <v>697</v>
      </c>
      <c r="Y1" s="231"/>
      <c r="Z1" s="231"/>
      <c r="AA1" s="231"/>
      <c r="AB1" s="231"/>
      <c r="AC1" s="231"/>
      <c r="AD1" s="232"/>
      <c r="AH1" s="228"/>
      <c r="AI1" s="228"/>
      <c r="AJ1" s="228"/>
      <c r="AK1" s="228"/>
      <c r="AL1" s="228"/>
      <c r="AM1" s="228"/>
      <c r="AN1" s="228"/>
    </row>
    <row r="2" spans="2:40" ht="6.95" customHeight="1" x14ac:dyDescent="0.25">
      <c r="B2" s="59"/>
      <c r="J2" s="60"/>
      <c r="L2" s="59"/>
      <c r="T2" s="60"/>
      <c r="V2" s="119"/>
      <c r="AD2" s="118"/>
    </row>
    <row r="3" spans="2:40" ht="18" customHeight="1" x14ac:dyDescent="0.25">
      <c r="B3" s="61"/>
      <c r="C3" s="214" t="s">
        <v>698</v>
      </c>
      <c r="D3" s="215"/>
      <c r="E3" s="216"/>
      <c r="F3" s="62"/>
      <c r="G3" s="214" t="s">
        <v>1559</v>
      </c>
      <c r="H3" s="215"/>
      <c r="I3" s="216"/>
      <c r="J3" s="63"/>
      <c r="L3" s="61"/>
      <c r="M3" s="214" t="s">
        <v>698</v>
      </c>
      <c r="N3" s="215"/>
      <c r="O3" s="216"/>
      <c r="P3" s="62"/>
      <c r="Q3" s="214" t="s">
        <v>788</v>
      </c>
      <c r="R3" s="215"/>
      <c r="S3" s="216"/>
      <c r="T3" s="63"/>
      <c r="V3" s="138"/>
      <c r="W3" s="214" t="s">
        <v>698</v>
      </c>
      <c r="X3" s="215"/>
      <c r="Y3" s="216"/>
      <c r="Z3" s="62"/>
      <c r="AA3" s="214" t="s">
        <v>794</v>
      </c>
      <c r="AB3" s="215"/>
      <c r="AC3" s="216"/>
      <c r="AD3" s="139"/>
      <c r="AG3" s="227"/>
      <c r="AH3" s="227"/>
      <c r="AI3" s="227"/>
      <c r="AJ3" s="62"/>
      <c r="AK3" s="227"/>
      <c r="AL3" s="227"/>
      <c r="AM3" s="227"/>
      <c r="AN3" s="31"/>
    </row>
    <row r="4" spans="2:40" ht="6.95" customHeight="1" x14ac:dyDescent="0.25">
      <c r="B4" s="59"/>
      <c r="C4" s="62"/>
      <c r="D4" s="62"/>
      <c r="E4" s="62"/>
      <c r="F4" s="62"/>
      <c r="G4" s="62"/>
      <c r="H4" s="62"/>
      <c r="I4" s="62"/>
      <c r="J4" s="60"/>
      <c r="L4" s="59"/>
      <c r="M4" s="62"/>
      <c r="N4" s="62"/>
      <c r="O4" s="62"/>
      <c r="P4" s="62"/>
      <c r="Q4" s="62"/>
      <c r="R4" s="62"/>
      <c r="S4" s="62"/>
      <c r="T4" s="60"/>
      <c r="V4" s="119"/>
      <c r="W4" s="62"/>
      <c r="X4" s="62"/>
      <c r="Y4" s="62"/>
      <c r="Z4" s="62"/>
      <c r="AA4" s="62"/>
      <c r="AB4" s="62"/>
      <c r="AC4" s="62"/>
      <c r="AD4" s="118"/>
      <c r="AG4" s="62"/>
      <c r="AH4" s="62"/>
      <c r="AI4" s="62"/>
      <c r="AJ4" s="62"/>
      <c r="AK4" s="62"/>
      <c r="AL4" s="62"/>
      <c r="AM4" s="62"/>
    </row>
    <row r="5" spans="2:40" ht="18" customHeight="1" x14ac:dyDescent="0.25">
      <c r="B5" s="61"/>
      <c r="C5" s="214" t="s">
        <v>699</v>
      </c>
      <c r="D5" s="215"/>
      <c r="E5" s="216"/>
      <c r="F5" s="62"/>
      <c r="G5" s="214" t="s">
        <v>1639</v>
      </c>
      <c r="H5" s="215"/>
      <c r="I5" s="216"/>
      <c r="J5" s="63"/>
      <c r="L5" s="61"/>
      <c r="M5" s="214" t="s">
        <v>699</v>
      </c>
      <c r="N5" s="215"/>
      <c r="O5" s="216"/>
      <c r="P5" s="62"/>
      <c r="Q5" s="214" t="s">
        <v>1639</v>
      </c>
      <c r="R5" s="215"/>
      <c r="S5" s="216"/>
      <c r="T5" s="63"/>
      <c r="V5" s="138"/>
      <c r="W5" s="214" t="s">
        <v>699</v>
      </c>
      <c r="X5" s="215"/>
      <c r="Y5" s="216"/>
      <c r="Z5" s="62"/>
      <c r="AA5" s="214" t="s">
        <v>1639</v>
      </c>
      <c r="AB5" s="215"/>
      <c r="AC5" s="216"/>
      <c r="AD5" s="139"/>
      <c r="AG5" s="227"/>
      <c r="AH5" s="227"/>
      <c r="AI5" s="227"/>
      <c r="AJ5" s="62"/>
      <c r="AK5" s="227"/>
      <c r="AL5" s="227"/>
      <c r="AM5" s="227"/>
      <c r="AN5" s="31"/>
    </row>
    <row r="6" spans="2:40" ht="6.95" customHeight="1" x14ac:dyDescent="0.25">
      <c r="B6" s="59"/>
      <c r="C6" s="62"/>
      <c r="D6" s="62"/>
      <c r="E6" s="62"/>
      <c r="F6" s="62"/>
      <c r="G6" s="62"/>
      <c r="H6" s="62"/>
      <c r="I6" s="62"/>
      <c r="J6" s="60"/>
      <c r="L6" s="59"/>
      <c r="M6" s="62"/>
      <c r="N6" s="62"/>
      <c r="O6" s="62"/>
      <c r="P6" s="62"/>
      <c r="Q6" s="62"/>
      <c r="R6" s="62"/>
      <c r="S6" s="62"/>
      <c r="T6" s="60"/>
      <c r="V6" s="119"/>
      <c r="W6" s="62"/>
      <c r="X6" s="62"/>
      <c r="Y6" s="62"/>
      <c r="Z6" s="62"/>
      <c r="AA6" s="62"/>
      <c r="AB6" s="62"/>
      <c r="AC6" s="62"/>
      <c r="AD6" s="118"/>
      <c r="AG6" s="62"/>
      <c r="AH6" s="62"/>
      <c r="AI6" s="62"/>
      <c r="AJ6" s="62"/>
      <c r="AK6" s="62"/>
      <c r="AL6" s="62"/>
      <c r="AM6" s="62"/>
    </row>
    <row r="7" spans="2:40" ht="18" customHeight="1" x14ac:dyDescent="0.25">
      <c r="B7" s="61"/>
      <c r="C7" s="214" t="s">
        <v>701</v>
      </c>
      <c r="D7" s="215"/>
      <c r="E7" s="216"/>
      <c r="F7" s="62"/>
      <c r="G7" s="214" t="s">
        <v>1562</v>
      </c>
      <c r="H7" s="215"/>
      <c r="I7" s="216"/>
      <c r="J7" s="63"/>
      <c r="L7" s="61"/>
      <c r="M7" s="214" t="s">
        <v>701</v>
      </c>
      <c r="N7" s="215"/>
      <c r="O7" s="216"/>
      <c r="P7" s="62"/>
      <c r="Q7" s="214" t="s">
        <v>978</v>
      </c>
      <c r="R7" s="215"/>
      <c r="S7" s="216"/>
      <c r="T7" s="63"/>
      <c r="V7" s="138"/>
      <c r="W7" s="214" t="s">
        <v>701</v>
      </c>
      <c r="X7" s="215"/>
      <c r="Y7" s="216"/>
      <c r="Z7" s="62"/>
      <c r="AA7" s="214" t="s">
        <v>750</v>
      </c>
      <c r="AB7" s="215"/>
      <c r="AC7" s="216"/>
      <c r="AD7" s="139"/>
      <c r="AG7" s="227"/>
      <c r="AH7" s="227"/>
      <c r="AI7" s="227"/>
      <c r="AJ7" s="62"/>
      <c r="AK7" s="227"/>
      <c r="AL7" s="227"/>
      <c r="AM7" s="227"/>
      <c r="AN7" s="31"/>
    </row>
    <row r="8" spans="2:40" ht="6.95" customHeight="1" x14ac:dyDescent="0.25">
      <c r="B8" s="59"/>
      <c r="C8" s="62"/>
      <c r="D8" s="62"/>
      <c r="E8" s="62"/>
      <c r="F8" s="62"/>
      <c r="G8" s="62"/>
      <c r="H8" s="62"/>
      <c r="I8" s="62"/>
      <c r="J8" s="60"/>
      <c r="L8" s="59"/>
      <c r="M8" s="62"/>
      <c r="N8" s="62"/>
      <c r="O8" s="62"/>
      <c r="P8" s="62"/>
      <c r="Q8" s="62"/>
      <c r="R8" s="62"/>
      <c r="S8" s="62"/>
      <c r="T8" s="60"/>
      <c r="V8" s="119"/>
      <c r="W8" s="62"/>
      <c r="X8" s="62"/>
      <c r="Y8" s="62"/>
      <c r="Z8" s="62"/>
      <c r="AA8" s="62"/>
      <c r="AB8" s="62"/>
      <c r="AC8" s="62"/>
      <c r="AD8" s="118"/>
      <c r="AG8" s="62"/>
      <c r="AH8" s="62"/>
      <c r="AI8" s="62"/>
      <c r="AJ8" s="62"/>
      <c r="AK8" s="62"/>
      <c r="AL8" s="62"/>
      <c r="AM8" s="62"/>
    </row>
    <row r="9" spans="2:40" ht="18" customHeight="1" x14ac:dyDescent="0.25">
      <c r="B9" s="61"/>
      <c r="C9" s="214" t="s">
        <v>703</v>
      </c>
      <c r="D9" s="215"/>
      <c r="E9" s="216"/>
      <c r="F9" s="62"/>
      <c r="G9" s="214" t="s">
        <v>109</v>
      </c>
      <c r="H9" s="215"/>
      <c r="I9" s="216"/>
      <c r="J9" s="63"/>
      <c r="L9" s="61"/>
      <c r="M9" s="214" t="s">
        <v>703</v>
      </c>
      <c r="N9" s="215"/>
      <c r="O9" s="216"/>
      <c r="P9" s="62"/>
      <c r="Q9" s="214" t="s">
        <v>109</v>
      </c>
      <c r="R9" s="215"/>
      <c r="S9" s="216"/>
      <c r="T9" s="63"/>
      <c r="V9" s="138"/>
      <c r="W9" s="214" t="s">
        <v>703</v>
      </c>
      <c r="X9" s="215"/>
      <c r="Y9" s="216"/>
      <c r="Z9" s="62"/>
      <c r="AA9" s="214" t="s">
        <v>109</v>
      </c>
      <c r="AB9" s="215"/>
      <c r="AC9" s="216"/>
      <c r="AD9" s="139"/>
      <c r="AG9" s="227"/>
      <c r="AH9" s="227"/>
      <c r="AI9" s="227"/>
      <c r="AJ9" s="62"/>
      <c r="AK9" s="227"/>
      <c r="AL9" s="227"/>
      <c r="AM9" s="227"/>
      <c r="AN9" s="31"/>
    </row>
    <row r="10" spans="2:40" ht="6.95" customHeight="1" x14ac:dyDescent="0.25">
      <c r="B10" s="59"/>
      <c r="C10" s="62"/>
      <c r="D10" s="62"/>
      <c r="E10" s="62"/>
      <c r="F10" s="62"/>
      <c r="G10" s="62"/>
      <c r="H10" s="62"/>
      <c r="I10" s="62"/>
      <c r="J10" s="60"/>
      <c r="L10" s="59"/>
      <c r="M10" s="62"/>
      <c r="N10" s="62"/>
      <c r="O10" s="62"/>
      <c r="P10" s="62"/>
      <c r="Q10" s="62"/>
      <c r="R10" s="62"/>
      <c r="S10" s="62"/>
      <c r="T10" s="60"/>
      <c r="V10" s="119"/>
      <c r="W10" s="62"/>
      <c r="X10" s="62"/>
      <c r="Y10" s="62"/>
      <c r="Z10" s="62"/>
      <c r="AA10" s="62"/>
      <c r="AB10" s="62"/>
      <c r="AC10" s="62"/>
      <c r="AD10" s="118"/>
      <c r="AG10" s="62"/>
      <c r="AH10" s="62"/>
      <c r="AI10" s="62"/>
      <c r="AJ10" s="62"/>
      <c r="AK10" s="62"/>
      <c r="AL10" s="62"/>
      <c r="AM10" s="62"/>
    </row>
    <row r="11" spans="2:40" ht="18" customHeight="1" x14ac:dyDescent="0.25">
      <c r="B11" s="61"/>
      <c r="C11" s="214" t="s">
        <v>705</v>
      </c>
      <c r="D11" s="215"/>
      <c r="E11" s="216"/>
      <c r="F11" s="62"/>
      <c r="G11" s="214" t="s">
        <v>109</v>
      </c>
      <c r="H11" s="215"/>
      <c r="I11" s="216"/>
      <c r="J11" s="63"/>
      <c r="L11" s="61"/>
      <c r="M11" s="214" t="s">
        <v>705</v>
      </c>
      <c r="N11" s="215"/>
      <c r="O11" s="216"/>
      <c r="P11" s="62"/>
      <c r="Q11" s="214" t="s">
        <v>1565</v>
      </c>
      <c r="R11" s="215"/>
      <c r="S11" s="216"/>
      <c r="T11" s="63"/>
      <c r="V11" s="138"/>
      <c r="W11" s="214" t="s">
        <v>705</v>
      </c>
      <c r="X11" s="215"/>
      <c r="Y11" s="216"/>
      <c r="Z11" s="62"/>
      <c r="AA11" s="214" t="s">
        <v>1605</v>
      </c>
      <c r="AB11" s="215"/>
      <c r="AC11" s="216"/>
      <c r="AD11" s="139"/>
      <c r="AG11" s="227"/>
      <c r="AH11" s="227"/>
      <c r="AI11" s="227"/>
      <c r="AJ11" s="62"/>
      <c r="AK11" s="227"/>
      <c r="AL11" s="227"/>
      <c r="AM11" s="227"/>
      <c r="AN11" s="31"/>
    </row>
    <row r="12" spans="2:40" ht="6.95" customHeight="1" x14ac:dyDescent="0.25">
      <c r="B12" s="59"/>
      <c r="C12" s="62"/>
      <c r="D12" s="62"/>
      <c r="E12" s="62"/>
      <c r="F12" s="62"/>
      <c r="G12" s="62"/>
      <c r="H12" s="62"/>
      <c r="I12" s="62"/>
      <c r="J12" s="60"/>
      <c r="L12" s="59"/>
      <c r="M12" s="62"/>
      <c r="N12" s="62"/>
      <c r="O12" s="62"/>
      <c r="P12" s="62"/>
      <c r="Q12" s="62"/>
      <c r="R12" s="62"/>
      <c r="S12" s="62"/>
      <c r="T12" s="60"/>
      <c r="V12" s="119"/>
      <c r="W12" s="62"/>
      <c r="X12" s="62"/>
      <c r="Y12" s="62"/>
      <c r="Z12" s="62"/>
      <c r="AA12" s="62"/>
      <c r="AB12" s="62"/>
      <c r="AC12" s="62"/>
      <c r="AD12" s="118"/>
      <c r="AG12" s="62"/>
      <c r="AH12" s="62"/>
      <c r="AI12" s="62"/>
      <c r="AJ12" s="62"/>
      <c r="AK12" s="62"/>
      <c r="AL12" s="62"/>
      <c r="AM12" s="62"/>
    </row>
    <row r="13" spans="2:40" ht="18" customHeight="1" x14ac:dyDescent="0.25">
      <c r="B13" s="61"/>
      <c r="C13" s="214" t="s">
        <v>708</v>
      </c>
      <c r="D13" s="215"/>
      <c r="E13" s="216"/>
      <c r="F13" s="62"/>
      <c r="G13" s="214" t="s">
        <v>109</v>
      </c>
      <c r="H13" s="215"/>
      <c r="I13" s="216"/>
      <c r="J13" s="63"/>
      <c r="L13" s="61"/>
      <c r="M13" s="214" t="s">
        <v>708</v>
      </c>
      <c r="N13" s="215"/>
      <c r="O13" s="216"/>
      <c r="P13" s="62"/>
      <c r="Q13" s="214" t="s">
        <v>1598</v>
      </c>
      <c r="R13" s="215"/>
      <c r="S13" s="216"/>
      <c r="T13" s="63"/>
      <c r="V13" s="138"/>
      <c r="W13" s="214" t="s">
        <v>708</v>
      </c>
      <c r="X13" s="215"/>
      <c r="Y13" s="216"/>
      <c r="Z13" s="62"/>
      <c r="AA13" s="214" t="s">
        <v>1606</v>
      </c>
      <c r="AB13" s="215"/>
      <c r="AC13" s="216"/>
      <c r="AD13" s="139"/>
      <c r="AG13" s="227"/>
      <c r="AH13" s="227"/>
      <c r="AI13" s="227"/>
      <c r="AJ13" s="62"/>
      <c r="AK13" s="227"/>
      <c r="AL13" s="227"/>
      <c r="AM13" s="227"/>
      <c r="AN13" s="31"/>
    </row>
    <row r="14" spans="2:40" ht="6.95" customHeight="1" x14ac:dyDescent="0.25">
      <c r="B14" s="59"/>
      <c r="C14" s="62"/>
      <c r="D14" s="62"/>
      <c r="E14" s="62"/>
      <c r="F14" s="62"/>
      <c r="G14" s="62"/>
      <c r="H14" s="62"/>
      <c r="I14" s="62"/>
      <c r="J14" s="60"/>
      <c r="L14" s="59"/>
      <c r="M14" s="62"/>
      <c r="N14" s="62"/>
      <c r="O14" s="62"/>
      <c r="P14" s="62"/>
      <c r="Q14" s="62"/>
      <c r="R14" s="62"/>
      <c r="S14" s="62"/>
      <c r="T14" s="60"/>
      <c r="V14" s="119"/>
      <c r="W14" s="62"/>
      <c r="X14" s="62"/>
      <c r="Y14" s="62"/>
      <c r="Z14" s="62"/>
      <c r="AA14" s="62"/>
      <c r="AB14" s="62"/>
      <c r="AC14" s="62"/>
      <c r="AD14" s="118"/>
      <c r="AG14" s="62"/>
      <c r="AH14" s="62"/>
      <c r="AI14" s="62"/>
      <c r="AJ14" s="62"/>
      <c r="AK14" s="62"/>
      <c r="AL14" s="62"/>
      <c r="AM14" s="62"/>
    </row>
    <row r="15" spans="2:40" ht="18" customHeight="1" x14ac:dyDescent="0.25">
      <c r="B15" s="61"/>
      <c r="C15" s="214" t="s">
        <v>711</v>
      </c>
      <c r="D15" s="215"/>
      <c r="E15" s="216"/>
      <c r="F15" s="62"/>
      <c r="G15" s="214" t="s">
        <v>712</v>
      </c>
      <c r="H15" s="215"/>
      <c r="I15" s="216"/>
      <c r="J15" s="63"/>
      <c r="L15" s="61"/>
      <c r="M15" s="214" t="s">
        <v>711</v>
      </c>
      <c r="N15" s="215"/>
      <c r="O15" s="216"/>
      <c r="P15" s="62"/>
      <c r="Q15" s="214" t="s">
        <v>712</v>
      </c>
      <c r="R15" s="215"/>
      <c r="S15" s="216"/>
      <c r="T15" s="63"/>
      <c r="V15" s="138"/>
      <c r="W15" s="214" t="s">
        <v>711</v>
      </c>
      <c r="X15" s="215"/>
      <c r="Y15" s="216"/>
      <c r="Z15" s="62"/>
      <c r="AA15" s="214" t="s">
        <v>712</v>
      </c>
      <c r="AB15" s="215"/>
      <c r="AC15" s="216"/>
      <c r="AD15" s="139"/>
      <c r="AG15" s="227"/>
      <c r="AH15" s="227"/>
      <c r="AI15" s="227"/>
      <c r="AJ15" s="62"/>
      <c r="AK15" s="227"/>
      <c r="AL15" s="227"/>
      <c r="AM15" s="227"/>
      <c r="AN15" s="31"/>
    </row>
    <row r="16" spans="2:40" ht="6.95" customHeight="1" x14ac:dyDescent="0.25">
      <c r="B16" s="59"/>
      <c r="C16" s="62"/>
      <c r="D16" s="62"/>
      <c r="E16" s="62"/>
      <c r="F16" s="62"/>
      <c r="G16" s="62"/>
      <c r="H16" s="62"/>
      <c r="I16" s="62"/>
      <c r="J16" s="60"/>
      <c r="L16" s="59"/>
      <c r="M16" s="62"/>
      <c r="N16" s="62"/>
      <c r="O16" s="62"/>
      <c r="P16" s="62"/>
      <c r="Q16" s="62"/>
      <c r="R16" s="62"/>
      <c r="S16" s="62"/>
      <c r="T16" s="60"/>
      <c r="V16" s="119"/>
      <c r="W16" s="62"/>
      <c r="X16" s="62"/>
      <c r="Y16" s="62"/>
      <c r="Z16" s="62"/>
      <c r="AA16" s="62"/>
      <c r="AB16" s="62"/>
      <c r="AC16" s="62"/>
      <c r="AD16" s="118"/>
      <c r="AG16" s="62"/>
      <c r="AH16" s="62"/>
      <c r="AI16" s="62"/>
      <c r="AJ16" s="62"/>
      <c r="AK16" s="62"/>
      <c r="AL16" s="62"/>
      <c r="AM16" s="62"/>
    </row>
    <row r="17" spans="2:40" ht="18" customHeight="1" x14ac:dyDescent="0.25">
      <c r="B17" s="61"/>
      <c r="C17" s="214" t="s">
        <v>1273</v>
      </c>
      <c r="D17" s="215"/>
      <c r="E17" s="216"/>
      <c r="F17" s="62"/>
      <c r="G17" s="214" t="s">
        <v>1567</v>
      </c>
      <c r="H17" s="215"/>
      <c r="I17" s="216"/>
      <c r="J17" s="63"/>
      <c r="L17" s="61"/>
      <c r="M17" s="214" t="s">
        <v>1273</v>
      </c>
      <c r="N17" s="215"/>
      <c r="O17" s="216"/>
      <c r="P17" s="62"/>
      <c r="Q17" s="214" t="s">
        <v>1601</v>
      </c>
      <c r="R17" s="215"/>
      <c r="S17" s="216"/>
      <c r="T17" s="63"/>
      <c r="V17" s="138"/>
      <c r="W17" s="214" t="s">
        <v>1273</v>
      </c>
      <c r="X17" s="215"/>
      <c r="Y17" s="216"/>
      <c r="Z17" s="62"/>
      <c r="AA17" s="214" t="s">
        <v>1607</v>
      </c>
      <c r="AB17" s="215"/>
      <c r="AC17" s="216"/>
      <c r="AD17" s="139"/>
      <c r="AG17" s="227"/>
      <c r="AH17" s="227"/>
      <c r="AI17" s="227"/>
      <c r="AJ17" s="62"/>
      <c r="AK17" s="227"/>
      <c r="AL17" s="227"/>
      <c r="AM17" s="227"/>
      <c r="AN17" s="31"/>
    </row>
    <row r="18" spans="2:40" ht="6.95" customHeight="1" x14ac:dyDescent="0.25">
      <c r="B18" s="59"/>
      <c r="C18" s="62"/>
      <c r="D18" s="62"/>
      <c r="E18" s="62"/>
      <c r="F18" s="62"/>
      <c r="G18" s="62"/>
      <c r="H18" s="62"/>
      <c r="I18" s="62"/>
      <c r="J18" s="60"/>
      <c r="L18" s="59"/>
      <c r="M18" s="62"/>
      <c r="N18" s="62"/>
      <c r="O18" s="62"/>
      <c r="P18" s="62"/>
      <c r="Q18" s="62"/>
      <c r="R18" s="62"/>
      <c r="S18" s="62"/>
      <c r="T18" s="60"/>
      <c r="V18" s="119"/>
      <c r="W18" s="62"/>
      <c r="X18" s="62"/>
      <c r="Y18" s="62"/>
      <c r="Z18" s="62"/>
      <c r="AA18" s="62"/>
      <c r="AB18" s="62"/>
      <c r="AC18" s="62"/>
      <c r="AD18" s="118"/>
      <c r="AG18" s="62"/>
      <c r="AH18" s="62"/>
      <c r="AI18" s="62"/>
      <c r="AJ18" s="62"/>
      <c r="AK18" s="62"/>
      <c r="AL18" s="62"/>
      <c r="AM18" s="62"/>
    </row>
    <row r="19" spans="2:40" ht="18" customHeight="1" x14ac:dyDescent="0.25">
      <c r="B19" s="61"/>
      <c r="C19" s="214" t="s">
        <v>713</v>
      </c>
      <c r="D19" s="215"/>
      <c r="E19" s="216"/>
      <c r="F19" s="62"/>
      <c r="G19" s="220" t="s">
        <v>1293</v>
      </c>
      <c r="H19" s="220"/>
      <c r="I19" s="220"/>
      <c r="J19" s="63"/>
      <c r="L19" s="61"/>
      <c r="M19" s="214" t="s">
        <v>713</v>
      </c>
      <c r="N19" s="215"/>
      <c r="O19" s="216"/>
      <c r="P19" s="62"/>
      <c r="Q19" s="220" t="s">
        <v>1293</v>
      </c>
      <c r="R19" s="220"/>
      <c r="S19" s="220"/>
      <c r="T19" s="63"/>
      <c r="V19" s="138"/>
      <c r="W19" s="214" t="s">
        <v>713</v>
      </c>
      <c r="X19" s="215"/>
      <c r="Y19" s="216"/>
      <c r="Z19" s="62"/>
      <c r="AA19" s="220" t="s">
        <v>1293</v>
      </c>
      <c r="AB19" s="220"/>
      <c r="AC19" s="220"/>
      <c r="AD19" s="139"/>
      <c r="AG19" s="227"/>
      <c r="AH19" s="227"/>
      <c r="AI19" s="227"/>
      <c r="AJ19" s="62"/>
      <c r="AK19" s="227"/>
      <c r="AL19" s="227"/>
      <c r="AM19" s="227"/>
      <c r="AN19" s="31"/>
    </row>
    <row r="20" spans="2:40" ht="6.95" customHeight="1" x14ac:dyDescent="0.25">
      <c r="B20" s="59"/>
      <c r="C20" s="128"/>
      <c r="D20" s="128"/>
      <c r="E20" s="128"/>
      <c r="F20" s="62"/>
      <c r="G20" s="128"/>
      <c r="H20" s="128"/>
      <c r="I20" s="128"/>
      <c r="J20" s="63"/>
      <c r="L20" s="59"/>
      <c r="M20" s="128"/>
      <c r="N20" s="128"/>
      <c r="O20" s="128"/>
      <c r="P20" s="62"/>
      <c r="Q20" s="128"/>
      <c r="R20" s="128"/>
      <c r="S20" s="128"/>
      <c r="T20" s="63"/>
      <c r="V20" s="119"/>
      <c r="W20" s="128"/>
      <c r="X20" s="128"/>
      <c r="Y20" s="128"/>
      <c r="Z20" s="62"/>
      <c r="AA20" s="128"/>
      <c r="AB20" s="128"/>
      <c r="AC20" s="128"/>
      <c r="AD20" s="139"/>
      <c r="AG20" s="128"/>
      <c r="AH20" s="128"/>
      <c r="AI20" s="128"/>
      <c r="AJ20" s="62"/>
      <c r="AK20" s="128"/>
      <c r="AL20" s="128"/>
      <c r="AM20" s="128"/>
      <c r="AN20" s="31"/>
    </row>
    <row r="21" spans="2:40" ht="18" customHeight="1" x14ac:dyDescent="0.25">
      <c r="B21" s="59"/>
      <c r="C21" s="220" t="s">
        <v>715</v>
      </c>
      <c r="D21" s="220"/>
      <c r="E21" s="220"/>
      <c r="F21" s="62"/>
      <c r="G21" s="220" t="s">
        <v>1270</v>
      </c>
      <c r="H21" s="220"/>
      <c r="I21" s="220"/>
      <c r="J21" s="63"/>
      <c r="L21" s="59"/>
      <c r="M21" s="220" t="s">
        <v>715</v>
      </c>
      <c r="N21" s="220"/>
      <c r="O21" s="220"/>
      <c r="P21" s="62"/>
      <c r="Q21" s="220" t="s">
        <v>1270</v>
      </c>
      <c r="R21" s="220"/>
      <c r="S21" s="220"/>
      <c r="T21" s="63"/>
      <c r="V21" s="119"/>
      <c r="W21" s="220" t="s">
        <v>715</v>
      </c>
      <c r="X21" s="220"/>
      <c r="Y21" s="220"/>
      <c r="Z21" s="62"/>
      <c r="AA21" s="220" t="s">
        <v>1270</v>
      </c>
      <c r="AB21" s="220"/>
      <c r="AC21" s="220"/>
      <c r="AD21" s="139"/>
      <c r="AG21" s="227"/>
      <c r="AH21" s="227"/>
      <c r="AI21" s="227"/>
      <c r="AJ21" s="62"/>
      <c r="AK21" s="227"/>
      <c r="AL21" s="227"/>
      <c r="AM21" s="227"/>
      <c r="AN21" s="31"/>
    </row>
    <row r="22" spans="2:40" ht="6.95" customHeight="1" thickBot="1" x14ac:dyDescent="0.3">
      <c r="B22" s="64"/>
      <c r="C22" s="65"/>
      <c r="D22" s="65"/>
      <c r="E22" s="65"/>
      <c r="F22" s="65"/>
      <c r="G22" s="65"/>
      <c r="H22" s="65"/>
      <c r="I22" s="65"/>
      <c r="J22" s="66"/>
      <c r="L22" s="64"/>
      <c r="M22" s="65"/>
      <c r="N22" s="65"/>
      <c r="O22" s="65"/>
      <c r="P22" s="65"/>
      <c r="Q22" s="65"/>
      <c r="R22" s="65"/>
      <c r="S22" s="65"/>
      <c r="T22" s="66"/>
      <c r="V22" s="140"/>
      <c r="W22" s="120"/>
      <c r="X22" s="120"/>
      <c r="Y22" s="120"/>
      <c r="Z22" s="120"/>
      <c r="AA22" s="120"/>
      <c r="AB22" s="120"/>
      <c r="AC22" s="120"/>
      <c r="AD22" s="141"/>
    </row>
    <row r="23" spans="2:40" ht="32.1" customHeight="1" thickTop="1" x14ac:dyDescent="0.25">
      <c r="B23" s="57"/>
      <c r="C23" s="58"/>
      <c r="D23" s="217" t="s">
        <v>697</v>
      </c>
      <c r="E23" s="218"/>
      <c r="F23" s="218"/>
      <c r="G23" s="218"/>
      <c r="H23" s="218"/>
      <c r="I23" s="218"/>
      <c r="J23" s="219"/>
      <c r="L23" s="57"/>
      <c r="M23" s="58"/>
      <c r="N23" s="217" t="s">
        <v>697</v>
      </c>
      <c r="O23" s="218"/>
      <c r="P23" s="218"/>
      <c r="Q23" s="218"/>
      <c r="R23" s="218"/>
      <c r="S23" s="218"/>
      <c r="T23" s="218"/>
      <c r="X23" s="228"/>
      <c r="Y23" s="228"/>
      <c r="Z23" s="228"/>
      <c r="AA23" s="228"/>
      <c r="AB23" s="228"/>
      <c r="AC23" s="228"/>
      <c r="AD23" s="228"/>
      <c r="AH23" s="228"/>
      <c r="AI23" s="229"/>
      <c r="AJ23" s="229"/>
      <c r="AK23" s="229"/>
      <c r="AL23" s="229"/>
      <c r="AM23" s="229"/>
      <c r="AN23" s="229"/>
    </row>
    <row r="24" spans="2:40" ht="6.95" customHeight="1" x14ac:dyDescent="0.25">
      <c r="B24" s="59"/>
      <c r="J24" s="60"/>
      <c r="L24" s="59"/>
    </row>
    <row r="25" spans="2:40" ht="18" customHeight="1" x14ac:dyDescent="0.25">
      <c r="B25" s="61"/>
      <c r="C25" s="214" t="s">
        <v>698</v>
      </c>
      <c r="D25" s="215"/>
      <c r="E25" s="216"/>
      <c r="F25" s="62"/>
      <c r="G25" s="214" t="s">
        <v>1572</v>
      </c>
      <c r="H25" s="215"/>
      <c r="I25" s="216"/>
      <c r="J25" s="63"/>
      <c r="L25" s="61"/>
      <c r="M25" s="214" t="s">
        <v>698</v>
      </c>
      <c r="N25" s="215"/>
      <c r="O25" s="216"/>
      <c r="P25" s="62"/>
      <c r="Q25" s="214" t="s">
        <v>1560</v>
      </c>
      <c r="R25" s="215"/>
      <c r="S25" s="216"/>
      <c r="T25" s="31"/>
      <c r="W25" s="227"/>
      <c r="X25" s="227"/>
      <c r="Y25" s="227"/>
      <c r="Z25" s="62"/>
      <c r="AA25" s="227"/>
      <c r="AB25" s="227"/>
      <c r="AC25" s="227"/>
      <c r="AD25" s="31"/>
      <c r="AG25" s="227"/>
      <c r="AH25" s="227"/>
      <c r="AI25" s="227"/>
      <c r="AJ25" s="62"/>
      <c r="AK25" s="227"/>
      <c r="AL25" s="227"/>
      <c r="AM25" s="227"/>
      <c r="AN25" s="31"/>
    </row>
    <row r="26" spans="2:40" ht="6.95" customHeight="1" x14ac:dyDescent="0.25">
      <c r="B26" s="59"/>
      <c r="C26" s="62"/>
      <c r="D26" s="62"/>
      <c r="E26" s="62"/>
      <c r="F26" s="62"/>
      <c r="G26" s="62"/>
      <c r="H26" s="62"/>
      <c r="I26" s="62"/>
      <c r="J26" s="60"/>
      <c r="L26" s="59"/>
      <c r="M26" s="62"/>
      <c r="N26" s="62"/>
      <c r="O26" s="62"/>
      <c r="P26" s="62"/>
      <c r="Q26" s="62"/>
      <c r="R26" s="62"/>
      <c r="S26" s="62"/>
      <c r="W26" s="62"/>
      <c r="X26" s="62"/>
      <c r="Y26" s="62"/>
      <c r="Z26" s="62"/>
      <c r="AA26" s="62"/>
      <c r="AB26" s="62"/>
      <c r="AC26" s="62"/>
      <c r="AG26" s="62"/>
      <c r="AH26" s="62"/>
      <c r="AI26" s="62"/>
      <c r="AJ26" s="62"/>
      <c r="AK26" s="62"/>
      <c r="AL26" s="62"/>
      <c r="AM26" s="62"/>
    </row>
    <row r="27" spans="2:40" ht="18" customHeight="1" x14ac:dyDescent="0.25">
      <c r="B27" s="61"/>
      <c r="C27" s="214" t="s">
        <v>699</v>
      </c>
      <c r="D27" s="215"/>
      <c r="E27" s="216"/>
      <c r="F27" s="62"/>
      <c r="G27" s="214" t="s">
        <v>1640</v>
      </c>
      <c r="H27" s="215"/>
      <c r="I27" s="216"/>
      <c r="J27" s="63"/>
      <c r="L27" s="61"/>
      <c r="M27" s="214" t="s">
        <v>699</v>
      </c>
      <c r="N27" s="215"/>
      <c r="O27" s="216"/>
      <c r="P27" s="62"/>
      <c r="Q27" s="214" t="s">
        <v>1640</v>
      </c>
      <c r="R27" s="215"/>
      <c r="S27" s="216"/>
      <c r="T27" s="31"/>
      <c r="W27" s="227"/>
      <c r="X27" s="227"/>
      <c r="Y27" s="227"/>
      <c r="Z27" s="62"/>
      <c r="AA27" s="227"/>
      <c r="AB27" s="227"/>
      <c r="AC27" s="227"/>
      <c r="AD27" s="31"/>
      <c r="AG27" s="227"/>
      <c r="AH27" s="227"/>
      <c r="AI27" s="227"/>
      <c r="AJ27" s="62"/>
      <c r="AK27" s="227"/>
      <c r="AL27" s="227"/>
      <c r="AM27" s="227"/>
      <c r="AN27" s="31"/>
    </row>
    <row r="28" spans="2:40" ht="6.95" customHeight="1" x14ac:dyDescent="0.25">
      <c r="B28" s="59"/>
      <c r="C28" s="62"/>
      <c r="D28" s="62"/>
      <c r="E28" s="62"/>
      <c r="F28" s="62"/>
      <c r="G28" s="62"/>
      <c r="H28" s="62"/>
      <c r="I28" s="62"/>
      <c r="J28" s="60"/>
      <c r="L28" s="59"/>
      <c r="M28" s="62"/>
      <c r="N28" s="62"/>
      <c r="O28" s="62"/>
      <c r="P28" s="62"/>
      <c r="Q28" s="62"/>
      <c r="R28" s="62"/>
      <c r="S28" s="62"/>
      <c r="W28" s="62"/>
      <c r="X28" s="62"/>
      <c r="Y28" s="62"/>
      <c r="Z28" s="62"/>
      <c r="AA28" s="62"/>
      <c r="AB28" s="62"/>
      <c r="AC28" s="62"/>
      <c r="AG28" s="62"/>
      <c r="AH28" s="62"/>
      <c r="AI28" s="62"/>
      <c r="AJ28" s="62"/>
      <c r="AK28" s="62"/>
      <c r="AL28" s="62"/>
      <c r="AM28" s="62"/>
    </row>
    <row r="29" spans="2:40" ht="18" customHeight="1" x14ac:dyDescent="0.25">
      <c r="B29" s="61"/>
      <c r="C29" s="214" t="s">
        <v>701</v>
      </c>
      <c r="D29" s="215"/>
      <c r="E29" s="216"/>
      <c r="F29" s="62"/>
      <c r="G29" s="214" t="s">
        <v>973</v>
      </c>
      <c r="H29" s="215"/>
      <c r="I29" s="216"/>
      <c r="J29" s="63"/>
      <c r="L29" s="61"/>
      <c r="M29" s="214" t="s">
        <v>701</v>
      </c>
      <c r="N29" s="215"/>
      <c r="O29" s="216"/>
      <c r="P29" s="62"/>
      <c r="Q29" s="214" t="s">
        <v>1563</v>
      </c>
      <c r="R29" s="215"/>
      <c r="S29" s="216"/>
      <c r="T29" s="31"/>
      <c r="W29" s="227"/>
      <c r="X29" s="227"/>
      <c r="Y29" s="227"/>
      <c r="Z29" s="62"/>
      <c r="AA29" s="227"/>
      <c r="AB29" s="227"/>
      <c r="AC29" s="227"/>
      <c r="AD29" s="31"/>
      <c r="AG29" s="227"/>
      <c r="AH29" s="227"/>
      <c r="AI29" s="227"/>
      <c r="AJ29" s="62"/>
      <c r="AK29" s="227"/>
      <c r="AL29" s="227"/>
      <c r="AM29" s="227"/>
      <c r="AN29" s="31"/>
    </row>
    <row r="30" spans="2:40" ht="6.95" customHeight="1" x14ac:dyDescent="0.25">
      <c r="B30" s="59"/>
      <c r="C30" s="62"/>
      <c r="D30" s="62"/>
      <c r="E30" s="62"/>
      <c r="F30" s="62"/>
      <c r="G30" s="62"/>
      <c r="H30" s="62"/>
      <c r="I30" s="62"/>
      <c r="J30" s="60"/>
      <c r="L30" s="59"/>
      <c r="M30" s="62"/>
      <c r="N30" s="62"/>
      <c r="O30" s="62"/>
      <c r="P30" s="62"/>
      <c r="Q30" s="62"/>
      <c r="R30" s="62"/>
      <c r="S30" s="62"/>
      <c r="W30" s="62"/>
      <c r="X30" s="62"/>
      <c r="Y30" s="62"/>
      <c r="Z30" s="62"/>
      <c r="AA30" s="62"/>
      <c r="AB30" s="62"/>
      <c r="AC30" s="62"/>
      <c r="AG30" s="62"/>
      <c r="AH30" s="62"/>
      <c r="AI30" s="62"/>
      <c r="AJ30" s="62"/>
      <c r="AK30" s="62"/>
      <c r="AL30" s="62"/>
      <c r="AM30" s="62"/>
    </row>
    <row r="31" spans="2:40" ht="18" customHeight="1" x14ac:dyDescent="0.25">
      <c r="B31" s="61"/>
      <c r="C31" s="214" t="s">
        <v>703</v>
      </c>
      <c r="D31" s="215"/>
      <c r="E31" s="216"/>
      <c r="F31" s="62"/>
      <c r="G31" s="214" t="s">
        <v>109</v>
      </c>
      <c r="H31" s="215"/>
      <c r="I31" s="216"/>
      <c r="J31" s="63"/>
      <c r="L31" s="61"/>
      <c r="M31" s="214" t="s">
        <v>703</v>
      </c>
      <c r="N31" s="215"/>
      <c r="O31" s="216"/>
      <c r="P31" s="62"/>
      <c r="Q31" s="214" t="s">
        <v>109</v>
      </c>
      <c r="R31" s="215"/>
      <c r="S31" s="216"/>
      <c r="T31" s="31"/>
      <c r="W31" s="227"/>
      <c r="X31" s="227"/>
      <c r="Y31" s="227"/>
      <c r="Z31" s="62"/>
      <c r="AA31" s="227"/>
      <c r="AB31" s="227"/>
      <c r="AC31" s="227"/>
      <c r="AD31" s="31"/>
      <c r="AG31" s="227"/>
      <c r="AH31" s="227"/>
      <c r="AI31" s="227"/>
      <c r="AJ31" s="62"/>
      <c r="AK31" s="227"/>
      <c r="AL31" s="227"/>
      <c r="AM31" s="227"/>
      <c r="AN31" s="31"/>
    </row>
    <row r="32" spans="2:40" ht="6.95" customHeight="1" x14ac:dyDescent="0.25">
      <c r="B32" s="59"/>
      <c r="C32" s="62"/>
      <c r="D32" s="62"/>
      <c r="E32" s="62"/>
      <c r="F32" s="62"/>
      <c r="G32" s="62"/>
      <c r="H32" s="62"/>
      <c r="I32" s="62"/>
      <c r="J32" s="60"/>
      <c r="L32" s="59"/>
      <c r="M32" s="62"/>
      <c r="N32" s="62"/>
      <c r="O32" s="62"/>
      <c r="P32" s="62"/>
      <c r="Q32" s="62"/>
      <c r="R32" s="62"/>
      <c r="S32" s="62"/>
      <c r="W32" s="62"/>
      <c r="X32" s="62"/>
      <c r="Y32" s="62"/>
      <c r="Z32" s="62"/>
      <c r="AA32" s="62"/>
      <c r="AB32" s="62"/>
      <c r="AC32" s="62"/>
      <c r="AG32" s="62"/>
      <c r="AH32" s="62"/>
      <c r="AI32" s="62"/>
      <c r="AJ32" s="62"/>
      <c r="AK32" s="62"/>
      <c r="AL32" s="62"/>
      <c r="AM32" s="62"/>
    </row>
    <row r="33" spans="2:40" ht="18" customHeight="1" x14ac:dyDescent="0.25">
      <c r="B33" s="61"/>
      <c r="C33" s="214" t="s">
        <v>705</v>
      </c>
      <c r="D33" s="215"/>
      <c r="E33" s="216"/>
      <c r="F33" s="62"/>
      <c r="G33" s="214" t="s">
        <v>1574</v>
      </c>
      <c r="H33" s="215"/>
      <c r="I33" s="216"/>
      <c r="J33" s="63"/>
      <c r="L33" s="61"/>
      <c r="M33" s="214" t="s">
        <v>705</v>
      </c>
      <c r="N33" s="215"/>
      <c r="O33" s="216"/>
      <c r="P33" s="62"/>
      <c r="Q33" s="214" t="s">
        <v>1564</v>
      </c>
      <c r="R33" s="215"/>
      <c r="S33" s="216"/>
      <c r="T33" s="31"/>
      <c r="W33" s="227"/>
      <c r="X33" s="227"/>
      <c r="Y33" s="227"/>
      <c r="Z33" s="62"/>
      <c r="AA33" s="227"/>
      <c r="AB33" s="227"/>
      <c r="AC33" s="227"/>
      <c r="AD33" s="31"/>
      <c r="AG33" s="227"/>
      <c r="AH33" s="227"/>
      <c r="AI33" s="227"/>
      <c r="AJ33" s="62"/>
      <c r="AK33" s="227"/>
      <c r="AL33" s="227"/>
      <c r="AM33" s="227"/>
      <c r="AN33" s="31"/>
    </row>
    <row r="34" spans="2:40" ht="6.95" customHeight="1" x14ac:dyDescent="0.25">
      <c r="B34" s="59"/>
      <c r="C34" s="62"/>
      <c r="D34" s="62"/>
      <c r="E34" s="62"/>
      <c r="F34" s="62"/>
      <c r="G34" s="62"/>
      <c r="H34" s="62"/>
      <c r="I34" s="62"/>
      <c r="J34" s="60"/>
      <c r="L34" s="59"/>
      <c r="M34" s="62"/>
      <c r="N34" s="62"/>
      <c r="O34" s="62"/>
      <c r="P34" s="62"/>
      <c r="Q34" s="62"/>
      <c r="R34" s="62"/>
      <c r="S34" s="62"/>
      <c r="W34" s="62"/>
      <c r="X34" s="62"/>
      <c r="Y34" s="62"/>
      <c r="Z34" s="62"/>
      <c r="AA34" s="62"/>
      <c r="AB34" s="62"/>
      <c r="AC34" s="62"/>
      <c r="AG34" s="62"/>
      <c r="AH34" s="62"/>
      <c r="AI34" s="62"/>
      <c r="AJ34" s="62"/>
      <c r="AK34" s="62"/>
      <c r="AL34" s="62"/>
      <c r="AM34" s="62"/>
    </row>
    <row r="35" spans="2:40" ht="18" customHeight="1" x14ac:dyDescent="0.25">
      <c r="B35" s="61"/>
      <c r="C35" s="214" t="s">
        <v>708</v>
      </c>
      <c r="D35" s="215"/>
      <c r="E35" s="216"/>
      <c r="F35" s="62"/>
      <c r="G35" s="214" t="s">
        <v>1577</v>
      </c>
      <c r="H35" s="215"/>
      <c r="I35" s="216"/>
      <c r="J35" s="63"/>
      <c r="L35" s="61"/>
      <c r="M35" s="214" t="s">
        <v>708</v>
      </c>
      <c r="N35" s="215"/>
      <c r="O35" s="216"/>
      <c r="P35" s="62"/>
      <c r="Q35" s="214" t="s">
        <v>748</v>
      </c>
      <c r="R35" s="215"/>
      <c r="S35" s="216"/>
      <c r="T35" s="31"/>
      <c r="W35" s="227"/>
      <c r="X35" s="227"/>
      <c r="Y35" s="227"/>
      <c r="Z35" s="62"/>
      <c r="AA35" s="227"/>
      <c r="AB35" s="227"/>
      <c r="AC35" s="227"/>
      <c r="AD35" s="31"/>
      <c r="AG35" s="227"/>
      <c r="AH35" s="227"/>
      <c r="AI35" s="227"/>
      <c r="AJ35" s="62"/>
      <c r="AK35" s="227"/>
      <c r="AL35" s="227"/>
      <c r="AM35" s="227"/>
      <c r="AN35" s="31"/>
    </row>
    <row r="36" spans="2:40" ht="6.95" customHeight="1" x14ac:dyDescent="0.25">
      <c r="B36" s="59"/>
      <c r="C36" s="62"/>
      <c r="D36" s="62"/>
      <c r="E36" s="62"/>
      <c r="F36" s="62"/>
      <c r="G36" s="62"/>
      <c r="H36" s="62"/>
      <c r="I36" s="62"/>
      <c r="J36" s="60"/>
      <c r="L36" s="59"/>
      <c r="M36" s="62"/>
      <c r="N36" s="62"/>
      <c r="O36" s="62"/>
      <c r="P36" s="62"/>
      <c r="Q36" s="62"/>
      <c r="R36" s="62"/>
      <c r="S36" s="62"/>
      <c r="W36" s="62"/>
      <c r="X36" s="62"/>
      <c r="Y36" s="62"/>
      <c r="Z36" s="62"/>
      <c r="AA36" s="62"/>
      <c r="AB36" s="62"/>
      <c r="AC36" s="62"/>
      <c r="AG36" s="62"/>
      <c r="AH36" s="62"/>
      <c r="AI36" s="62"/>
      <c r="AJ36" s="62"/>
      <c r="AK36" s="62"/>
      <c r="AL36" s="62"/>
      <c r="AM36" s="62"/>
    </row>
    <row r="37" spans="2:40" ht="18" customHeight="1" x14ac:dyDescent="0.25">
      <c r="B37" s="61"/>
      <c r="C37" s="214" t="s">
        <v>711</v>
      </c>
      <c r="D37" s="215"/>
      <c r="E37" s="216"/>
      <c r="F37" s="62"/>
      <c r="G37" s="214" t="s">
        <v>712</v>
      </c>
      <c r="H37" s="215"/>
      <c r="I37" s="216"/>
      <c r="J37" s="63"/>
      <c r="L37" s="61"/>
      <c r="M37" s="214" t="s">
        <v>711</v>
      </c>
      <c r="N37" s="215"/>
      <c r="O37" s="216"/>
      <c r="P37" s="62"/>
      <c r="Q37" s="214" t="s">
        <v>712</v>
      </c>
      <c r="R37" s="215"/>
      <c r="S37" s="216"/>
      <c r="T37" s="31"/>
      <c r="W37" s="227"/>
      <c r="X37" s="227"/>
      <c r="Y37" s="227"/>
      <c r="Z37" s="62"/>
      <c r="AA37" s="227"/>
      <c r="AB37" s="227"/>
      <c r="AC37" s="227"/>
      <c r="AD37" s="31"/>
      <c r="AG37" s="227"/>
      <c r="AH37" s="227"/>
      <c r="AI37" s="227"/>
      <c r="AJ37" s="62"/>
      <c r="AK37" s="227"/>
      <c r="AL37" s="227"/>
      <c r="AM37" s="227"/>
      <c r="AN37" s="31"/>
    </row>
    <row r="38" spans="2:40" ht="6.95" customHeight="1" x14ac:dyDescent="0.25">
      <c r="B38" s="59"/>
      <c r="C38" s="62"/>
      <c r="D38" s="62"/>
      <c r="E38" s="62"/>
      <c r="F38" s="62"/>
      <c r="G38" s="62"/>
      <c r="H38" s="62"/>
      <c r="I38" s="62"/>
      <c r="J38" s="60"/>
      <c r="L38" s="59"/>
      <c r="M38" s="62"/>
      <c r="N38" s="62"/>
      <c r="O38" s="62"/>
      <c r="P38" s="62"/>
      <c r="Q38" s="62"/>
      <c r="R38" s="62"/>
      <c r="S38" s="62"/>
      <c r="W38" s="62"/>
      <c r="X38" s="62"/>
      <c r="Y38" s="62"/>
      <c r="Z38" s="62"/>
      <c r="AA38" s="62"/>
      <c r="AB38" s="62"/>
      <c r="AC38" s="62"/>
      <c r="AG38" s="62"/>
      <c r="AH38" s="62"/>
      <c r="AI38" s="62"/>
      <c r="AJ38" s="62"/>
      <c r="AK38" s="62"/>
      <c r="AL38" s="62"/>
      <c r="AM38" s="62"/>
    </row>
    <row r="39" spans="2:40" ht="18" customHeight="1" x14ac:dyDescent="0.25">
      <c r="B39" s="61"/>
      <c r="C39" s="214" t="s">
        <v>1273</v>
      </c>
      <c r="D39" s="215"/>
      <c r="E39" s="216"/>
      <c r="F39" s="62"/>
      <c r="G39" s="214" t="s">
        <v>1580</v>
      </c>
      <c r="H39" s="215"/>
      <c r="I39" s="216"/>
      <c r="J39" s="63"/>
      <c r="L39" s="61"/>
      <c r="M39" s="214" t="s">
        <v>1273</v>
      </c>
      <c r="N39" s="215"/>
      <c r="O39" s="216"/>
      <c r="P39" s="62"/>
      <c r="Q39" s="214" t="s">
        <v>1568</v>
      </c>
      <c r="R39" s="215"/>
      <c r="S39" s="216"/>
      <c r="T39" s="31"/>
      <c r="W39" s="227"/>
      <c r="X39" s="227"/>
      <c r="Y39" s="227"/>
      <c r="Z39" s="62"/>
      <c r="AA39" s="227"/>
      <c r="AB39" s="227"/>
      <c r="AC39" s="227"/>
      <c r="AD39" s="31"/>
      <c r="AG39" s="227"/>
      <c r="AH39" s="227"/>
      <c r="AI39" s="227"/>
      <c r="AJ39" s="62"/>
      <c r="AK39" s="227"/>
      <c r="AL39" s="227"/>
      <c r="AM39" s="227"/>
      <c r="AN39" s="31"/>
    </row>
    <row r="40" spans="2:40" ht="6.95" customHeight="1" x14ac:dyDescent="0.25">
      <c r="B40" s="59"/>
      <c r="C40" s="62"/>
      <c r="D40" s="62"/>
      <c r="E40" s="62"/>
      <c r="F40" s="62"/>
      <c r="G40" s="62"/>
      <c r="H40" s="62"/>
      <c r="I40" s="62"/>
      <c r="J40" s="60"/>
      <c r="L40" s="59"/>
      <c r="M40" s="62"/>
      <c r="N40" s="62"/>
      <c r="O40" s="62"/>
      <c r="P40" s="62"/>
      <c r="Q40" s="62"/>
      <c r="R40" s="62"/>
      <c r="S40" s="62"/>
      <c r="W40" s="62"/>
      <c r="X40" s="62"/>
      <c r="Y40" s="62"/>
      <c r="Z40" s="62"/>
      <c r="AA40" s="62"/>
      <c r="AB40" s="62"/>
      <c r="AC40" s="62"/>
      <c r="AG40" s="62"/>
      <c r="AH40" s="62"/>
      <c r="AI40" s="62"/>
      <c r="AJ40" s="62"/>
      <c r="AK40" s="62"/>
      <c r="AL40" s="62"/>
      <c r="AM40" s="62"/>
    </row>
    <row r="41" spans="2:40" ht="18" customHeight="1" x14ac:dyDescent="0.25">
      <c r="B41" s="61"/>
      <c r="C41" s="214" t="s">
        <v>713</v>
      </c>
      <c r="D41" s="215"/>
      <c r="E41" s="216"/>
      <c r="F41" s="62"/>
      <c r="G41" s="220" t="s">
        <v>1293</v>
      </c>
      <c r="H41" s="220"/>
      <c r="I41" s="220"/>
      <c r="J41" s="63"/>
      <c r="L41" s="61"/>
      <c r="M41" s="214" t="s">
        <v>713</v>
      </c>
      <c r="N41" s="215"/>
      <c r="O41" s="216"/>
      <c r="P41" s="62"/>
      <c r="Q41" s="220" t="s">
        <v>1293</v>
      </c>
      <c r="R41" s="220"/>
      <c r="S41" s="220"/>
      <c r="T41" s="31"/>
      <c r="W41" s="227"/>
      <c r="X41" s="227"/>
      <c r="Y41" s="227"/>
      <c r="Z41" s="62"/>
      <c r="AA41" s="227"/>
      <c r="AB41" s="227"/>
      <c r="AC41" s="227"/>
      <c r="AD41" s="31"/>
      <c r="AG41" s="227"/>
      <c r="AH41" s="227"/>
      <c r="AI41" s="227"/>
      <c r="AJ41" s="62"/>
      <c r="AK41" s="227"/>
      <c r="AL41" s="227"/>
      <c r="AM41" s="227"/>
      <c r="AN41" s="31"/>
    </row>
    <row r="42" spans="2:40" ht="6.95" customHeight="1" x14ac:dyDescent="0.25">
      <c r="B42" s="59"/>
      <c r="C42" s="128"/>
      <c r="D42" s="128"/>
      <c r="E42" s="128"/>
      <c r="F42" s="62"/>
      <c r="G42" s="128"/>
      <c r="H42" s="128"/>
      <c r="I42" s="128"/>
      <c r="J42" s="63"/>
      <c r="L42" s="59"/>
      <c r="M42" s="128"/>
      <c r="N42" s="128"/>
      <c r="O42" s="128"/>
      <c r="P42" s="62"/>
      <c r="Q42" s="128"/>
      <c r="R42" s="128"/>
      <c r="S42" s="128"/>
      <c r="T42" s="31"/>
      <c r="W42" s="128"/>
      <c r="X42" s="128"/>
      <c r="Y42" s="128"/>
      <c r="Z42" s="62"/>
      <c r="AA42" s="128"/>
      <c r="AB42" s="128"/>
      <c r="AC42" s="128"/>
      <c r="AD42" s="31"/>
      <c r="AG42" s="128"/>
      <c r="AH42" s="128"/>
      <c r="AI42" s="128"/>
      <c r="AJ42" s="62"/>
      <c r="AK42" s="128"/>
      <c r="AL42" s="128"/>
      <c r="AM42" s="128"/>
      <c r="AN42" s="31"/>
    </row>
    <row r="43" spans="2:40" ht="18" customHeight="1" x14ac:dyDescent="0.25">
      <c r="B43" s="59"/>
      <c r="C43" s="220" t="s">
        <v>715</v>
      </c>
      <c r="D43" s="220"/>
      <c r="E43" s="220"/>
      <c r="F43" s="62"/>
      <c r="G43" s="220" t="s">
        <v>1270</v>
      </c>
      <c r="H43" s="220"/>
      <c r="I43" s="220"/>
      <c r="J43" s="63"/>
      <c r="L43" s="59"/>
      <c r="M43" s="220" t="s">
        <v>715</v>
      </c>
      <c r="N43" s="220"/>
      <c r="O43" s="220"/>
      <c r="P43" s="62"/>
      <c r="Q43" s="220" t="s">
        <v>1270</v>
      </c>
      <c r="R43" s="220"/>
      <c r="S43" s="220"/>
      <c r="T43" s="31"/>
      <c r="W43" s="227"/>
      <c r="X43" s="227"/>
      <c r="Y43" s="227"/>
      <c r="Z43" s="62"/>
      <c r="AA43" s="227"/>
      <c r="AB43" s="227"/>
      <c r="AC43" s="227"/>
      <c r="AD43" s="31"/>
      <c r="AG43" s="227"/>
      <c r="AH43" s="227"/>
      <c r="AI43" s="227"/>
      <c r="AJ43" s="62"/>
      <c r="AK43" s="227"/>
      <c r="AL43" s="227"/>
      <c r="AM43" s="227"/>
      <c r="AN43" s="31"/>
    </row>
    <row r="44" spans="2:40" ht="6.95" customHeight="1" thickBot="1" x14ac:dyDescent="0.3">
      <c r="B44" s="64"/>
      <c r="C44" s="65"/>
      <c r="D44" s="65"/>
      <c r="E44" s="65"/>
      <c r="F44" s="65"/>
      <c r="G44" s="65"/>
      <c r="H44" s="65"/>
      <c r="I44" s="65"/>
      <c r="J44" s="66"/>
      <c r="L44" s="64"/>
      <c r="M44" s="65"/>
      <c r="N44" s="65"/>
      <c r="O44" s="65"/>
      <c r="P44" s="65"/>
      <c r="Q44" s="65"/>
      <c r="R44" s="65"/>
      <c r="S44" s="65"/>
      <c r="T44" s="65"/>
      <c r="AF44" s="120"/>
      <c r="AG44" s="65"/>
      <c r="AH44" s="65"/>
      <c r="AI44" s="65"/>
      <c r="AJ44" s="65"/>
      <c r="AK44" s="65"/>
      <c r="AL44" s="65"/>
      <c r="AM44" s="65"/>
      <c r="AN44" s="66"/>
    </row>
    <row r="45" spans="2:40" ht="32.1" customHeight="1" thickTop="1" x14ac:dyDescent="0.25">
      <c r="B45" s="57"/>
      <c r="C45" s="58"/>
      <c r="D45" s="217" t="s">
        <v>697</v>
      </c>
      <c r="E45" s="218"/>
      <c r="F45" s="218"/>
      <c r="G45" s="218"/>
      <c r="H45" s="218"/>
      <c r="I45" s="218"/>
      <c r="J45" s="219"/>
      <c r="L45" s="57"/>
      <c r="M45" s="58"/>
      <c r="N45" s="217" t="s">
        <v>697</v>
      </c>
      <c r="O45" s="217"/>
      <c r="P45" s="217"/>
      <c r="Q45" s="217"/>
      <c r="R45" s="217"/>
      <c r="S45" s="217"/>
      <c r="T45" s="225"/>
      <c r="V45" s="59"/>
      <c r="X45" s="222" t="s">
        <v>697</v>
      </c>
      <c r="Y45" s="222"/>
      <c r="Z45" s="222"/>
      <c r="AA45" s="222"/>
      <c r="AB45" s="222"/>
      <c r="AC45" s="222"/>
      <c r="AD45" s="226"/>
      <c r="AF45" s="59"/>
      <c r="AG45" s="58"/>
      <c r="AH45" s="217" t="s">
        <v>697</v>
      </c>
      <c r="AI45" s="217"/>
      <c r="AJ45" s="217"/>
      <c r="AK45" s="217"/>
      <c r="AL45" s="217"/>
      <c r="AM45" s="217"/>
      <c r="AN45" s="225"/>
    </row>
    <row r="46" spans="2:40" ht="6.95" customHeight="1" x14ac:dyDescent="0.25">
      <c r="B46" s="59"/>
      <c r="J46" s="60"/>
      <c r="L46" s="59"/>
      <c r="T46" s="60"/>
      <c r="V46" s="59"/>
      <c r="AD46" s="60"/>
      <c r="AF46" s="59"/>
      <c r="AN46" s="60"/>
    </row>
    <row r="47" spans="2:40" ht="18" customHeight="1" x14ac:dyDescent="0.25">
      <c r="B47" s="61"/>
      <c r="C47" s="214" t="s">
        <v>698</v>
      </c>
      <c r="D47" s="215"/>
      <c r="E47" s="216"/>
      <c r="F47" s="62"/>
      <c r="G47" s="214" t="s">
        <v>1585</v>
      </c>
      <c r="H47" s="215"/>
      <c r="I47" s="216"/>
      <c r="J47" s="63"/>
      <c r="L47" s="61"/>
      <c r="M47" s="214" t="s">
        <v>698</v>
      </c>
      <c r="N47" s="215"/>
      <c r="O47" s="216"/>
      <c r="P47" s="62"/>
      <c r="Q47" s="214" t="s">
        <v>1595</v>
      </c>
      <c r="R47" s="215"/>
      <c r="S47" s="216"/>
      <c r="T47" s="63"/>
      <c r="V47" s="61"/>
      <c r="W47" s="214" t="s">
        <v>698</v>
      </c>
      <c r="X47" s="215"/>
      <c r="Y47" s="216"/>
      <c r="Z47" s="62"/>
      <c r="AA47" s="214" t="s">
        <v>1595</v>
      </c>
      <c r="AB47" s="215"/>
      <c r="AC47" s="216"/>
      <c r="AD47" s="63"/>
      <c r="AF47" s="61"/>
      <c r="AG47" s="214" t="s">
        <v>698</v>
      </c>
      <c r="AH47" s="215"/>
      <c r="AI47" s="216"/>
      <c r="AJ47" s="62"/>
      <c r="AK47" s="214" t="s">
        <v>1595</v>
      </c>
      <c r="AL47" s="215"/>
      <c r="AM47" s="216"/>
      <c r="AN47" s="63"/>
    </row>
    <row r="48" spans="2:40" ht="6.95" customHeight="1" x14ac:dyDescent="0.25">
      <c r="B48" s="59"/>
      <c r="C48" s="62"/>
      <c r="D48" s="62"/>
      <c r="E48" s="62"/>
      <c r="F48" s="62"/>
      <c r="G48" s="62"/>
      <c r="H48" s="62"/>
      <c r="I48" s="62"/>
      <c r="J48" s="60"/>
      <c r="L48" s="59"/>
      <c r="M48" s="62"/>
      <c r="N48" s="62"/>
      <c r="O48" s="62"/>
      <c r="P48" s="62"/>
      <c r="Q48" s="62"/>
      <c r="R48" s="62"/>
      <c r="S48" s="62"/>
      <c r="T48" s="60"/>
      <c r="V48" s="59"/>
      <c r="W48" s="62"/>
      <c r="X48" s="62"/>
      <c r="Y48" s="62"/>
      <c r="Z48" s="62"/>
      <c r="AA48" s="62"/>
      <c r="AB48" s="62"/>
      <c r="AC48" s="62"/>
      <c r="AD48" s="60"/>
      <c r="AF48" s="59"/>
      <c r="AG48" s="62"/>
      <c r="AH48" s="62"/>
      <c r="AI48" s="62"/>
      <c r="AJ48" s="62"/>
      <c r="AK48" s="62"/>
      <c r="AL48" s="62"/>
      <c r="AM48" s="62"/>
      <c r="AN48" s="60"/>
    </row>
    <row r="49" spans="2:40" ht="18" customHeight="1" x14ac:dyDescent="0.25">
      <c r="B49" s="61"/>
      <c r="C49" s="214" t="s">
        <v>699</v>
      </c>
      <c r="D49" s="215"/>
      <c r="E49" s="216"/>
      <c r="F49" s="62"/>
      <c r="G49" s="214" t="s">
        <v>1641</v>
      </c>
      <c r="H49" s="215"/>
      <c r="I49" s="216"/>
      <c r="J49" s="63"/>
      <c r="L49" s="61"/>
      <c r="M49" s="214" t="s">
        <v>699</v>
      </c>
      <c r="N49" s="215"/>
      <c r="O49" s="216"/>
      <c r="P49" s="62"/>
      <c r="Q49" s="214" t="s">
        <v>1641</v>
      </c>
      <c r="R49" s="215"/>
      <c r="S49" s="216"/>
      <c r="T49" s="63"/>
      <c r="V49" s="61"/>
      <c r="W49" s="214" t="s">
        <v>699</v>
      </c>
      <c r="X49" s="215"/>
      <c r="Y49" s="216"/>
      <c r="Z49" s="62"/>
      <c r="AA49" s="214" t="s">
        <v>1641</v>
      </c>
      <c r="AB49" s="215"/>
      <c r="AC49" s="216"/>
      <c r="AD49" s="63"/>
      <c r="AF49" s="61"/>
      <c r="AG49" s="214" t="s">
        <v>699</v>
      </c>
      <c r="AH49" s="215"/>
      <c r="AI49" s="216"/>
      <c r="AJ49" s="62"/>
      <c r="AK49" s="214" t="s">
        <v>1641</v>
      </c>
      <c r="AL49" s="215"/>
      <c r="AM49" s="216"/>
      <c r="AN49" s="63"/>
    </row>
    <row r="50" spans="2:40" ht="6.95" customHeight="1" x14ac:dyDescent="0.25">
      <c r="B50" s="59"/>
      <c r="C50" s="62"/>
      <c r="D50" s="62"/>
      <c r="E50" s="62"/>
      <c r="F50" s="62"/>
      <c r="G50" s="62"/>
      <c r="H50" s="62"/>
      <c r="I50" s="62"/>
      <c r="J50" s="60"/>
      <c r="L50" s="59"/>
      <c r="M50" s="62"/>
      <c r="N50" s="62"/>
      <c r="O50" s="62"/>
      <c r="P50" s="62"/>
      <c r="Q50" s="62"/>
      <c r="R50" s="62"/>
      <c r="S50" s="62"/>
      <c r="T50" s="60"/>
      <c r="V50" s="59"/>
      <c r="W50" s="62"/>
      <c r="X50" s="62"/>
      <c r="Y50" s="62"/>
      <c r="Z50" s="62"/>
      <c r="AA50" s="62"/>
      <c r="AB50" s="62"/>
      <c r="AC50" s="62"/>
      <c r="AD50" s="60"/>
      <c r="AF50" s="59"/>
      <c r="AG50" s="62"/>
      <c r="AH50" s="62"/>
      <c r="AI50" s="62"/>
      <c r="AJ50" s="62"/>
      <c r="AK50" s="62"/>
      <c r="AL50" s="62"/>
      <c r="AM50" s="62"/>
      <c r="AN50" s="60"/>
    </row>
    <row r="51" spans="2:40" ht="18" customHeight="1" x14ac:dyDescent="0.25">
      <c r="B51" s="61"/>
      <c r="C51" s="214" t="s">
        <v>1644</v>
      </c>
      <c r="D51" s="215"/>
      <c r="E51" s="216"/>
      <c r="F51" s="62"/>
      <c r="G51" s="214" t="s">
        <v>1402</v>
      </c>
      <c r="H51" s="215"/>
      <c r="I51" s="216"/>
      <c r="J51" s="63"/>
      <c r="L51" s="61"/>
      <c r="M51" s="214" t="s">
        <v>1644</v>
      </c>
      <c r="N51" s="215"/>
      <c r="O51" s="216"/>
      <c r="P51" s="62"/>
      <c r="Q51" s="214" t="s">
        <v>1402</v>
      </c>
      <c r="R51" s="215"/>
      <c r="S51" s="216"/>
      <c r="T51" s="63"/>
      <c r="V51" s="61"/>
      <c r="W51" s="214" t="s">
        <v>1644</v>
      </c>
      <c r="X51" s="215"/>
      <c r="Y51" s="216"/>
      <c r="Z51" s="62"/>
      <c r="AA51" s="214" t="s">
        <v>1402</v>
      </c>
      <c r="AB51" s="215"/>
      <c r="AC51" s="216"/>
      <c r="AD51" s="63"/>
      <c r="AF51" s="61"/>
      <c r="AG51" s="214" t="s">
        <v>1644</v>
      </c>
      <c r="AH51" s="215"/>
      <c r="AI51" s="216"/>
      <c r="AJ51" s="62"/>
      <c r="AK51" s="214" t="s">
        <v>1402</v>
      </c>
      <c r="AL51" s="215"/>
      <c r="AM51" s="216"/>
      <c r="AN51" s="63"/>
    </row>
    <row r="52" spans="2:40" ht="6.95" customHeight="1" x14ac:dyDescent="0.25">
      <c r="B52" s="59"/>
      <c r="C52" s="62"/>
      <c r="D52" s="62"/>
      <c r="E52" s="62"/>
      <c r="F52" s="62"/>
      <c r="G52" s="62"/>
      <c r="H52" s="62"/>
      <c r="I52" s="62"/>
      <c r="J52" s="60"/>
      <c r="L52" s="59"/>
      <c r="M52" s="62"/>
      <c r="N52" s="62"/>
      <c r="O52" s="62"/>
      <c r="P52" s="62"/>
      <c r="Q52" s="62"/>
      <c r="R52" s="62"/>
      <c r="S52" s="62"/>
      <c r="T52" s="60"/>
      <c r="V52" s="59"/>
      <c r="W52" s="62"/>
      <c r="X52" s="62"/>
      <c r="Y52" s="62"/>
      <c r="Z52" s="62"/>
      <c r="AA52" s="62"/>
      <c r="AB52" s="62"/>
      <c r="AC52" s="62"/>
      <c r="AD52" s="60"/>
      <c r="AF52" s="59"/>
      <c r="AG52" s="62"/>
      <c r="AH52" s="62"/>
      <c r="AI52" s="62"/>
      <c r="AJ52" s="62"/>
      <c r="AK52" s="62"/>
      <c r="AL52" s="62"/>
      <c r="AM52" s="62"/>
      <c r="AN52" s="60"/>
    </row>
    <row r="53" spans="2:40" ht="18" customHeight="1" x14ac:dyDescent="0.25">
      <c r="B53" s="61"/>
      <c r="C53" s="214" t="s">
        <v>703</v>
      </c>
      <c r="D53" s="215"/>
      <c r="E53" s="216"/>
      <c r="F53" s="62"/>
      <c r="G53" s="214" t="s">
        <v>109</v>
      </c>
      <c r="H53" s="215"/>
      <c r="I53" s="216"/>
      <c r="J53" s="63"/>
      <c r="L53" s="61"/>
      <c r="M53" s="214" t="s">
        <v>703</v>
      </c>
      <c r="N53" s="215"/>
      <c r="O53" s="216"/>
      <c r="P53" s="62"/>
      <c r="Q53" s="214" t="s">
        <v>109</v>
      </c>
      <c r="R53" s="215"/>
      <c r="S53" s="216"/>
      <c r="T53" s="63"/>
      <c r="V53" s="61"/>
      <c r="W53" s="214" t="s">
        <v>703</v>
      </c>
      <c r="X53" s="215"/>
      <c r="Y53" s="216"/>
      <c r="Z53" s="62"/>
      <c r="AA53" s="214" t="s">
        <v>109</v>
      </c>
      <c r="AB53" s="215"/>
      <c r="AC53" s="216"/>
      <c r="AD53" s="63"/>
      <c r="AF53" s="61"/>
      <c r="AG53" s="214" t="s">
        <v>703</v>
      </c>
      <c r="AH53" s="215"/>
      <c r="AI53" s="216"/>
      <c r="AJ53" s="62"/>
      <c r="AK53" s="214" t="s">
        <v>109</v>
      </c>
      <c r="AL53" s="215"/>
      <c r="AM53" s="216"/>
      <c r="AN53" s="63"/>
    </row>
    <row r="54" spans="2:40" ht="6.95" customHeight="1" x14ac:dyDescent="0.25">
      <c r="B54" s="59"/>
      <c r="C54" s="62"/>
      <c r="D54" s="62"/>
      <c r="E54" s="62"/>
      <c r="F54" s="62"/>
      <c r="G54" s="62"/>
      <c r="H54" s="62"/>
      <c r="I54" s="62"/>
      <c r="J54" s="60"/>
      <c r="L54" s="59"/>
      <c r="M54" s="62"/>
      <c r="N54" s="62"/>
      <c r="O54" s="62"/>
      <c r="P54" s="62"/>
      <c r="Q54" s="62"/>
      <c r="R54" s="62"/>
      <c r="S54" s="62"/>
      <c r="T54" s="60"/>
      <c r="V54" s="59"/>
      <c r="W54" s="62"/>
      <c r="X54" s="62"/>
      <c r="Y54" s="62"/>
      <c r="Z54" s="62"/>
      <c r="AA54" s="62"/>
      <c r="AB54" s="62"/>
      <c r="AC54" s="62"/>
      <c r="AD54" s="60"/>
      <c r="AF54" s="59"/>
      <c r="AG54" s="62"/>
      <c r="AH54" s="62"/>
      <c r="AI54" s="62"/>
      <c r="AJ54" s="62"/>
      <c r="AK54" s="62"/>
      <c r="AL54" s="62"/>
      <c r="AM54" s="62"/>
      <c r="AN54" s="60"/>
    </row>
    <row r="55" spans="2:40" ht="18" customHeight="1" x14ac:dyDescent="0.25">
      <c r="B55" s="61"/>
      <c r="C55" s="214" t="s">
        <v>705</v>
      </c>
      <c r="D55" s="215"/>
      <c r="E55" s="216"/>
      <c r="F55" s="62"/>
      <c r="G55" s="214" t="s">
        <v>109</v>
      </c>
      <c r="H55" s="215"/>
      <c r="I55" s="216"/>
      <c r="J55" s="63"/>
      <c r="L55" s="61"/>
      <c r="M55" s="214" t="s">
        <v>705</v>
      </c>
      <c r="N55" s="215"/>
      <c r="O55" s="216"/>
      <c r="P55" s="62"/>
      <c r="Q55" s="214" t="s">
        <v>109</v>
      </c>
      <c r="R55" s="215"/>
      <c r="S55" s="216"/>
      <c r="T55" s="63"/>
      <c r="V55" s="61"/>
      <c r="W55" s="214" t="s">
        <v>705</v>
      </c>
      <c r="X55" s="215"/>
      <c r="Y55" s="216"/>
      <c r="Z55" s="62"/>
      <c r="AA55" s="214" t="s">
        <v>109</v>
      </c>
      <c r="AB55" s="215"/>
      <c r="AC55" s="216"/>
      <c r="AD55" s="63"/>
      <c r="AF55" s="61"/>
      <c r="AG55" s="214" t="s">
        <v>705</v>
      </c>
      <c r="AH55" s="215"/>
      <c r="AI55" s="216"/>
      <c r="AJ55" s="62"/>
      <c r="AK55" s="214" t="s">
        <v>109</v>
      </c>
      <c r="AL55" s="215"/>
      <c r="AM55" s="216"/>
      <c r="AN55" s="63"/>
    </row>
    <row r="56" spans="2:40" ht="6.95" customHeight="1" x14ac:dyDescent="0.25">
      <c r="B56" s="59"/>
      <c r="C56" s="62"/>
      <c r="D56" s="62"/>
      <c r="E56" s="62"/>
      <c r="F56" s="62"/>
      <c r="G56" s="62"/>
      <c r="H56" s="62"/>
      <c r="I56" s="62"/>
      <c r="J56" s="60"/>
      <c r="L56" s="59"/>
      <c r="M56" s="62"/>
      <c r="N56" s="62"/>
      <c r="O56" s="62"/>
      <c r="P56" s="62"/>
      <c r="Q56" s="62"/>
      <c r="R56" s="62"/>
      <c r="S56" s="62"/>
      <c r="T56" s="60"/>
      <c r="V56" s="59"/>
      <c r="W56" s="62"/>
      <c r="X56" s="62"/>
      <c r="Y56" s="62"/>
      <c r="Z56" s="62"/>
      <c r="AA56" s="62"/>
      <c r="AB56" s="62"/>
      <c r="AC56" s="62"/>
      <c r="AD56" s="60"/>
      <c r="AF56" s="59"/>
      <c r="AG56" s="62"/>
      <c r="AH56" s="62"/>
      <c r="AI56" s="62"/>
      <c r="AJ56" s="62"/>
      <c r="AK56" s="62"/>
      <c r="AL56" s="62"/>
      <c r="AM56" s="62"/>
      <c r="AN56" s="60"/>
    </row>
    <row r="57" spans="2:40" ht="18" customHeight="1" x14ac:dyDescent="0.25">
      <c r="B57" s="61"/>
      <c r="C57" s="214" t="s">
        <v>708</v>
      </c>
      <c r="D57" s="215"/>
      <c r="E57" s="216"/>
      <c r="F57" s="62"/>
      <c r="G57" s="214" t="s">
        <v>109</v>
      </c>
      <c r="H57" s="215"/>
      <c r="I57" s="216"/>
      <c r="J57" s="63"/>
      <c r="L57" s="61"/>
      <c r="M57" s="214" t="s">
        <v>708</v>
      </c>
      <c r="N57" s="215"/>
      <c r="O57" s="216"/>
      <c r="P57" s="62"/>
      <c r="Q57" s="214" t="s">
        <v>109</v>
      </c>
      <c r="R57" s="215"/>
      <c r="S57" s="216"/>
      <c r="T57" s="63"/>
      <c r="V57" s="61"/>
      <c r="W57" s="214" t="s">
        <v>708</v>
      </c>
      <c r="X57" s="215"/>
      <c r="Y57" s="216"/>
      <c r="Z57" s="62"/>
      <c r="AA57" s="214" t="s">
        <v>109</v>
      </c>
      <c r="AB57" s="215"/>
      <c r="AC57" s="216"/>
      <c r="AD57" s="63"/>
      <c r="AF57" s="61"/>
      <c r="AG57" s="214" t="s">
        <v>708</v>
      </c>
      <c r="AH57" s="215"/>
      <c r="AI57" s="216"/>
      <c r="AJ57" s="62"/>
      <c r="AK57" s="214" t="s">
        <v>109</v>
      </c>
      <c r="AL57" s="215"/>
      <c r="AM57" s="216"/>
      <c r="AN57" s="63"/>
    </row>
    <row r="58" spans="2:40" ht="6.95" customHeight="1" x14ac:dyDescent="0.25">
      <c r="B58" s="59"/>
      <c r="C58" s="62"/>
      <c r="D58" s="62"/>
      <c r="E58" s="62"/>
      <c r="F58" s="62"/>
      <c r="G58" s="62"/>
      <c r="H58" s="62"/>
      <c r="I58" s="62"/>
      <c r="J58" s="60"/>
      <c r="L58" s="59"/>
      <c r="M58" s="62"/>
      <c r="N58" s="62"/>
      <c r="O58" s="62"/>
      <c r="P58" s="62"/>
      <c r="Q58" s="62"/>
      <c r="R58" s="62"/>
      <c r="S58" s="62"/>
      <c r="T58" s="60"/>
      <c r="V58" s="59"/>
      <c r="W58" s="62"/>
      <c r="X58" s="62"/>
      <c r="Y58" s="62"/>
      <c r="Z58" s="62"/>
      <c r="AA58" s="62"/>
      <c r="AB58" s="62"/>
      <c r="AC58" s="62"/>
      <c r="AD58" s="60"/>
      <c r="AF58" s="59"/>
      <c r="AG58" s="62"/>
      <c r="AH58" s="62"/>
      <c r="AI58" s="62"/>
      <c r="AJ58" s="62"/>
      <c r="AK58" s="62"/>
      <c r="AL58" s="62"/>
      <c r="AM58" s="62"/>
      <c r="AN58" s="60"/>
    </row>
    <row r="59" spans="2:40" ht="18" customHeight="1" x14ac:dyDescent="0.25">
      <c r="B59" s="61"/>
      <c r="C59" s="214" t="s">
        <v>711</v>
      </c>
      <c r="D59" s="215"/>
      <c r="E59" s="216"/>
      <c r="F59" s="62"/>
      <c r="G59" s="214" t="s">
        <v>712</v>
      </c>
      <c r="H59" s="215"/>
      <c r="I59" s="216"/>
      <c r="J59" s="63"/>
      <c r="L59" s="61"/>
      <c r="M59" s="214" t="s">
        <v>711</v>
      </c>
      <c r="N59" s="215"/>
      <c r="O59" s="216"/>
      <c r="P59" s="62"/>
      <c r="Q59" s="214" t="s">
        <v>712</v>
      </c>
      <c r="R59" s="215"/>
      <c r="S59" s="216"/>
      <c r="T59" s="63"/>
      <c r="V59" s="61"/>
      <c r="W59" s="214" t="s">
        <v>711</v>
      </c>
      <c r="X59" s="215"/>
      <c r="Y59" s="216"/>
      <c r="Z59" s="62"/>
      <c r="AA59" s="214" t="s">
        <v>712</v>
      </c>
      <c r="AB59" s="215"/>
      <c r="AC59" s="216"/>
      <c r="AD59" s="63"/>
      <c r="AF59" s="61"/>
      <c r="AG59" s="214" t="s">
        <v>711</v>
      </c>
      <c r="AH59" s="215"/>
      <c r="AI59" s="216"/>
      <c r="AJ59" s="62"/>
      <c r="AK59" s="214" t="s">
        <v>712</v>
      </c>
      <c r="AL59" s="215"/>
      <c r="AM59" s="216"/>
      <c r="AN59" s="63"/>
    </row>
    <row r="60" spans="2:40" ht="6.95" customHeight="1" x14ac:dyDescent="0.25">
      <c r="B60" s="59"/>
      <c r="C60" s="62"/>
      <c r="D60" s="62"/>
      <c r="E60" s="62"/>
      <c r="F60" s="62"/>
      <c r="G60" s="62"/>
      <c r="H60" s="62"/>
      <c r="I60" s="62"/>
      <c r="J60" s="60"/>
      <c r="L60" s="59"/>
      <c r="M60" s="62"/>
      <c r="N60" s="62"/>
      <c r="O60" s="62"/>
      <c r="P60" s="62"/>
      <c r="Q60" s="62"/>
      <c r="R60" s="62"/>
      <c r="S60" s="62"/>
      <c r="T60" s="60"/>
      <c r="V60" s="59"/>
      <c r="W60" s="62"/>
      <c r="X60" s="62"/>
      <c r="Y60" s="62"/>
      <c r="Z60" s="62"/>
      <c r="AA60" s="62"/>
      <c r="AB60" s="62"/>
      <c r="AC60" s="62"/>
      <c r="AD60" s="60"/>
      <c r="AF60" s="59"/>
      <c r="AG60" s="62"/>
      <c r="AH60" s="62"/>
      <c r="AI60" s="62"/>
      <c r="AJ60" s="62"/>
      <c r="AK60" s="62"/>
      <c r="AL60" s="62"/>
      <c r="AM60" s="62"/>
      <c r="AN60" s="60"/>
    </row>
    <row r="61" spans="2:40" ht="18" customHeight="1" x14ac:dyDescent="0.25">
      <c r="B61" s="61"/>
      <c r="C61" s="214" t="s">
        <v>1273</v>
      </c>
      <c r="D61" s="215"/>
      <c r="E61" s="216"/>
      <c r="F61" s="62"/>
      <c r="G61" s="214" t="s">
        <v>1591</v>
      </c>
      <c r="H61" s="215"/>
      <c r="I61" s="216"/>
      <c r="J61" s="63"/>
      <c r="L61" s="61"/>
      <c r="M61" s="214" t="s">
        <v>1273</v>
      </c>
      <c r="N61" s="215"/>
      <c r="O61" s="216"/>
      <c r="P61" s="62"/>
      <c r="Q61" s="214" t="s">
        <v>1600</v>
      </c>
      <c r="R61" s="215"/>
      <c r="S61" s="216"/>
      <c r="T61" s="63"/>
      <c r="V61" s="61"/>
      <c r="W61" s="214" t="s">
        <v>1273</v>
      </c>
      <c r="X61" s="215"/>
      <c r="Y61" s="216"/>
      <c r="Z61" s="62"/>
      <c r="AA61" s="214" t="s">
        <v>1600</v>
      </c>
      <c r="AB61" s="215"/>
      <c r="AC61" s="216"/>
      <c r="AD61" s="63"/>
      <c r="AF61" s="61"/>
      <c r="AG61" s="214" t="s">
        <v>1273</v>
      </c>
      <c r="AH61" s="215"/>
      <c r="AI61" s="216"/>
      <c r="AJ61" s="62"/>
      <c r="AK61" s="214" t="s">
        <v>1600</v>
      </c>
      <c r="AL61" s="215"/>
      <c r="AM61" s="216"/>
      <c r="AN61" s="63"/>
    </row>
    <row r="62" spans="2:40" ht="6.95" customHeight="1" x14ac:dyDescent="0.25">
      <c r="B62" s="59"/>
      <c r="C62" s="62"/>
      <c r="D62" s="62"/>
      <c r="E62" s="62"/>
      <c r="F62" s="62"/>
      <c r="G62" s="62"/>
      <c r="H62" s="62"/>
      <c r="I62" s="62"/>
      <c r="J62" s="60"/>
      <c r="L62" s="59"/>
      <c r="M62" s="62"/>
      <c r="N62" s="62"/>
      <c r="O62" s="62"/>
      <c r="P62" s="62"/>
      <c r="Q62" s="62"/>
      <c r="R62" s="62"/>
      <c r="S62" s="62"/>
      <c r="T62" s="60"/>
      <c r="V62" s="59"/>
      <c r="W62" s="62"/>
      <c r="X62" s="62"/>
      <c r="Y62" s="62"/>
      <c r="Z62" s="62"/>
      <c r="AA62" s="62"/>
      <c r="AB62" s="62"/>
      <c r="AC62" s="62"/>
      <c r="AD62" s="60"/>
      <c r="AF62" s="59"/>
      <c r="AG62" s="62"/>
      <c r="AH62" s="62"/>
      <c r="AI62" s="62"/>
      <c r="AJ62" s="62"/>
      <c r="AK62" s="62"/>
      <c r="AL62" s="62"/>
      <c r="AM62" s="62"/>
      <c r="AN62" s="60"/>
    </row>
    <row r="63" spans="2:40" ht="18" customHeight="1" x14ac:dyDescent="0.25">
      <c r="B63" s="61"/>
      <c r="C63" s="214" t="s">
        <v>713</v>
      </c>
      <c r="D63" s="215"/>
      <c r="E63" s="216"/>
      <c r="F63" s="62"/>
      <c r="G63" s="220" t="s">
        <v>1293</v>
      </c>
      <c r="H63" s="220"/>
      <c r="I63" s="220"/>
      <c r="J63" s="63"/>
      <c r="L63" s="61"/>
      <c r="M63" s="214" t="s">
        <v>713</v>
      </c>
      <c r="N63" s="215"/>
      <c r="O63" s="216"/>
      <c r="P63" s="62"/>
      <c r="Q63" s="214" t="s">
        <v>1293</v>
      </c>
      <c r="R63" s="215"/>
      <c r="S63" s="216"/>
      <c r="T63" s="63"/>
      <c r="V63" s="61"/>
      <c r="W63" s="214" t="s">
        <v>713</v>
      </c>
      <c r="X63" s="215"/>
      <c r="Y63" s="216"/>
      <c r="Z63" s="62"/>
      <c r="AA63" s="214" t="s">
        <v>1293</v>
      </c>
      <c r="AB63" s="215"/>
      <c r="AC63" s="216"/>
      <c r="AD63" s="63"/>
      <c r="AF63" s="61"/>
      <c r="AG63" s="214" t="s">
        <v>713</v>
      </c>
      <c r="AH63" s="215"/>
      <c r="AI63" s="216"/>
      <c r="AJ63" s="62"/>
      <c r="AK63" s="214" t="s">
        <v>1293</v>
      </c>
      <c r="AL63" s="215"/>
      <c r="AM63" s="216"/>
      <c r="AN63" s="63"/>
    </row>
    <row r="64" spans="2:40" ht="6.95" customHeight="1" x14ac:dyDescent="0.25">
      <c r="B64" s="59"/>
      <c r="C64" s="128"/>
      <c r="D64" s="128"/>
      <c r="E64" s="128"/>
      <c r="F64" s="62"/>
      <c r="G64" s="128"/>
      <c r="H64" s="128"/>
      <c r="I64" s="128"/>
      <c r="J64" s="63"/>
      <c r="L64" s="59"/>
      <c r="M64" s="128"/>
      <c r="N64" s="128"/>
      <c r="O64" s="128"/>
      <c r="P64" s="62"/>
      <c r="Q64" s="128"/>
      <c r="R64" s="128"/>
      <c r="S64" s="128"/>
      <c r="T64" s="63"/>
      <c r="V64" s="59"/>
      <c r="W64" s="128"/>
      <c r="X64" s="128"/>
      <c r="Y64" s="128"/>
      <c r="Z64" s="62"/>
      <c r="AA64" s="128"/>
      <c r="AB64" s="128"/>
      <c r="AC64" s="128"/>
      <c r="AD64" s="63"/>
      <c r="AF64" s="59"/>
      <c r="AG64" s="128"/>
      <c r="AH64" s="128"/>
      <c r="AI64" s="128"/>
      <c r="AJ64" s="62"/>
      <c r="AK64" s="128"/>
      <c r="AL64" s="128"/>
      <c r="AM64" s="128"/>
      <c r="AN64" s="63"/>
    </row>
    <row r="65" spans="2:40" ht="18" customHeight="1" x14ac:dyDescent="0.25">
      <c r="B65" s="59"/>
      <c r="C65" s="220" t="s">
        <v>715</v>
      </c>
      <c r="D65" s="220"/>
      <c r="E65" s="220"/>
      <c r="F65" s="62"/>
      <c r="G65" s="220" t="s">
        <v>1270</v>
      </c>
      <c r="H65" s="220"/>
      <c r="I65" s="220"/>
      <c r="J65" s="63"/>
      <c r="L65" s="59"/>
      <c r="M65" s="214" t="s">
        <v>715</v>
      </c>
      <c r="N65" s="215"/>
      <c r="O65" s="216"/>
      <c r="P65" s="62"/>
      <c r="Q65" s="214" t="s">
        <v>1270</v>
      </c>
      <c r="R65" s="215"/>
      <c r="S65" s="216"/>
      <c r="T65" s="63"/>
      <c r="V65" s="59"/>
      <c r="W65" s="214" t="s">
        <v>715</v>
      </c>
      <c r="X65" s="215"/>
      <c r="Y65" s="216"/>
      <c r="Z65" s="62"/>
      <c r="AA65" s="214" t="s">
        <v>1270</v>
      </c>
      <c r="AB65" s="215"/>
      <c r="AC65" s="216"/>
      <c r="AD65" s="63"/>
      <c r="AF65" s="59"/>
      <c r="AG65" s="214" t="s">
        <v>715</v>
      </c>
      <c r="AH65" s="215"/>
      <c r="AI65" s="216"/>
      <c r="AJ65" s="62"/>
      <c r="AK65" s="214" t="s">
        <v>1270</v>
      </c>
      <c r="AL65" s="215"/>
      <c r="AM65" s="216"/>
      <c r="AN65" s="63"/>
    </row>
    <row r="66" spans="2:40" ht="6.95" customHeight="1" thickBot="1" x14ac:dyDescent="0.3">
      <c r="B66" s="64"/>
      <c r="C66" s="65"/>
      <c r="D66" s="65"/>
      <c r="E66" s="65"/>
      <c r="F66" s="65"/>
      <c r="G66" s="65"/>
      <c r="H66" s="65"/>
      <c r="I66" s="65"/>
      <c r="J66" s="66"/>
      <c r="L66" s="64"/>
      <c r="M66" s="65"/>
      <c r="N66" s="65"/>
      <c r="O66" s="65"/>
      <c r="P66" s="65"/>
      <c r="Q66" s="65"/>
      <c r="R66" s="65"/>
      <c r="S66" s="65"/>
      <c r="T66" s="66"/>
      <c r="V66" s="64"/>
      <c r="W66" s="65"/>
      <c r="X66" s="65"/>
      <c r="Y66" s="65"/>
      <c r="Z66" s="65"/>
      <c r="AA66" s="65"/>
      <c r="AB66" s="65"/>
      <c r="AC66" s="65"/>
      <c r="AD66" s="66"/>
      <c r="AF66" s="64"/>
      <c r="AG66" s="65"/>
      <c r="AH66" s="65"/>
      <c r="AI66" s="65"/>
      <c r="AJ66" s="65"/>
      <c r="AK66" s="65"/>
      <c r="AL66" s="65"/>
      <c r="AM66" s="65"/>
      <c r="AN66" s="66"/>
    </row>
    <row r="67" spans="2:40" ht="32.1" customHeight="1" thickTop="1" x14ac:dyDescent="0.25">
      <c r="B67" s="57"/>
      <c r="C67" s="58"/>
      <c r="D67" s="217" t="s">
        <v>697</v>
      </c>
      <c r="E67" s="218"/>
      <c r="F67" s="218"/>
      <c r="G67" s="218"/>
      <c r="H67" s="218"/>
      <c r="I67" s="218"/>
      <c r="J67" s="219"/>
    </row>
    <row r="68" spans="2:40" ht="18" customHeight="1" x14ac:dyDescent="0.25">
      <c r="B68" s="61"/>
      <c r="C68" s="214" t="s">
        <v>698</v>
      </c>
      <c r="D68" s="215"/>
      <c r="E68" s="216"/>
      <c r="F68" s="62"/>
      <c r="G68" s="214" t="s">
        <v>204</v>
      </c>
      <c r="H68" s="215"/>
      <c r="I68" s="216"/>
      <c r="J68" s="63"/>
    </row>
    <row r="69" spans="2:40" ht="6.95" customHeight="1" x14ac:dyDescent="0.25">
      <c r="B69" s="59"/>
      <c r="C69" s="62"/>
      <c r="D69" s="62"/>
      <c r="E69" s="62"/>
      <c r="F69" s="62"/>
      <c r="G69" s="62"/>
      <c r="H69" s="62"/>
      <c r="I69" s="62"/>
      <c r="J69" s="60"/>
    </row>
    <row r="70" spans="2:40" ht="18" customHeight="1" x14ac:dyDescent="0.25">
      <c r="B70" s="61"/>
      <c r="C70" s="214" t="s">
        <v>699</v>
      </c>
      <c r="D70" s="215"/>
      <c r="E70" s="216"/>
      <c r="F70" s="62"/>
      <c r="G70" s="214" t="s">
        <v>1639</v>
      </c>
      <c r="H70" s="215"/>
      <c r="I70" s="216"/>
      <c r="J70" s="63"/>
    </row>
    <row r="71" spans="2:40" ht="6.95" customHeight="1" x14ac:dyDescent="0.25">
      <c r="B71" s="59"/>
      <c r="C71" s="62"/>
      <c r="D71" s="62"/>
      <c r="E71" s="62"/>
      <c r="F71" s="62"/>
      <c r="G71" s="62"/>
      <c r="H71" s="62"/>
      <c r="I71" s="62"/>
      <c r="J71" s="60"/>
    </row>
    <row r="72" spans="2:40" ht="18" customHeight="1" x14ac:dyDescent="0.25">
      <c r="B72" s="61"/>
      <c r="C72" s="214" t="s">
        <v>701</v>
      </c>
      <c r="D72" s="215"/>
      <c r="E72" s="216"/>
      <c r="F72" s="62"/>
      <c r="G72" s="214" t="s">
        <v>975</v>
      </c>
      <c r="H72" s="215"/>
      <c r="I72" s="216"/>
      <c r="J72" s="63"/>
    </row>
    <row r="73" spans="2:40" ht="6.95" customHeight="1" x14ac:dyDescent="0.25">
      <c r="B73" s="59"/>
      <c r="C73" s="62"/>
      <c r="D73" s="62"/>
      <c r="E73" s="62"/>
      <c r="F73" s="62"/>
      <c r="G73" s="62"/>
      <c r="H73" s="62"/>
      <c r="I73" s="62"/>
      <c r="J73" s="60"/>
    </row>
    <row r="74" spans="2:40" ht="18" customHeight="1" x14ac:dyDescent="0.25">
      <c r="B74" s="61"/>
      <c r="C74" s="214" t="s">
        <v>703</v>
      </c>
      <c r="D74" s="215"/>
      <c r="E74" s="216"/>
      <c r="F74" s="62"/>
      <c r="G74" s="214" t="s">
        <v>109</v>
      </c>
      <c r="H74" s="215"/>
      <c r="I74" s="216"/>
      <c r="J74" s="63"/>
    </row>
    <row r="75" spans="2:40" ht="6.95" customHeight="1" x14ac:dyDescent="0.25">
      <c r="B75" s="59"/>
      <c r="C75" s="62"/>
      <c r="D75" s="62"/>
      <c r="E75" s="62"/>
      <c r="F75" s="62"/>
      <c r="G75" s="62"/>
      <c r="H75" s="62"/>
      <c r="I75" s="62"/>
      <c r="J75" s="60"/>
    </row>
    <row r="76" spans="2:40" ht="18" customHeight="1" x14ac:dyDescent="0.25">
      <c r="B76" s="61"/>
      <c r="C76" s="214" t="s">
        <v>705</v>
      </c>
      <c r="D76" s="215"/>
      <c r="E76" s="216"/>
      <c r="F76" s="62"/>
      <c r="G76" s="214" t="s">
        <v>109</v>
      </c>
      <c r="H76" s="215"/>
      <c r="I76" s="216"/>
      <c r="J76" s="63"/>
    </row>
    <row r="77" spans="2:40" ht="6.95" customHeight="1" x14ac:dyDescent="0.25">
      <c r="B77" s="59"/>
      <c r="C77" s="62"/>
      <c r="D77" s="62"/>
      <c r="E77" s="62"/>
      <c r="F77" s="62"/>
      <c r="G77" s="62"/>
      <c r="H77" s="62"/>
      <c r="I77" s="62"/>
      <c r="J77" s="60"/>
    </row>
    <row r="78" spans="2:40" ht="18" customHeight="1" x14ac:dyDescent="0.25">
      <c r="B78" s="61"/>
      <c r="C78" s="214" t="s">
        <v>708</v>
      </c>
      <c r="D78" s="215"/>
      <c r="E78" s="216"/>
      <c r="F78" s="62"/>
      <c r="G78" s="214" t="s">
        <v>109</v>
      </c>
      <c r="H78" s="215"/>
      <c r="I78" s="216"/>
      <c r="J78" s="63"/>
    </row>
    <row r="79" spans="2:40" ht="6.95" customHeight="1" x14ac:dyDescent="0.25">
      <c r="B79" s="59"/>
      <c r="C79" s="62"/>
      <c r="D79" s="62"/>
      <c r="E79" s="62"/>
      <c r="F79" s="62"/>
      <c r="G79" s="62"/>
      <c r="H79" s="62"/>
      <c r="I79" s="62"/>
      <c r="J79" s="60"/>
    </row>
    <row r="80" spans="2:40" ht="18" customHeight="1" x14ac:dyDescent="0.25">
      <c r="B80" s="61"/>
      <c r="C80" s="214" t="s">
        <v>711</v>
      </c>
      <c r="D80" s="215"/>
      <c r="E80" s="216"/>
      <c r="F80" s="62"/>
      <c r="G80" s="214" t="s">
        <v>712</v>
      </c>
      <c r="H80" s="215"/>
      <c r="I80" s="216"/>
      <c r="J80" s="63"/>
    </row>
    <row r="81" spans="2:10" ht="6.95" customHeight="1" x14ac:dyDescent="0.25">
      <c r="B81" s="59"/>
      <c r="C81" s="62"/>
      <c r="D81" s="62"/>
      <c r="E81" s="62"/>
      <c r="F81" s="62"/>
      <c r="G81" s="62"/>
      <c r="H81" s="62"/>
      <c r="I81" s="62"/>
      <c r="J81" s="60"/>
    </row>
    <row r="82" spans="2:10" ht="18" customHeight="1" x14ac:dyDescent="0.25">
      <c r="B82" s="61"/>
      <c r="C82" s="214" t="s">
        <v>1273</v>
      </c>
      <c r="D82" s="215"/>
      <c r="E82" s="216"/>
      <c r="F82" s="62"/>
      <c r="G82" s="214" t="s">
        <v>1342</v>
      </c>
      <c r="H82" s="215"/>
      <c r="I82" s="216"/>
      <c r="J82" s="63"/>
    </row>
    <row r="83" spans="2:10" ht="6.95" customHeight="1" x14ac:dyDescent="0.25">
      <c r="B83" s="59"/>
      <c r="C83" s="62"/>
      <c r="D83" s="62"/>
      <c r="E83" s="62"/>
      <c r="F83" s="62"/>
      <c r="G83" s="62"/>
      <c r="H83" s="62"/>
      <c r="I83" s="62"/>
      <c r="J83" s="60"/>
    </row>
    <row r="84" spans="2:10" ht="18" customHeight="1" x14ac:dyDescent="0.25">
      <c r="B84" s="61"/>
      <c r="C84" s="214" t="s">
        <v>713</v>
      </c>
      <c r="D84" s="215"/>
      <c r="E84" s="216"/>
      <c r="F84" s="62"/>
      <c r="G84" s="220" t="s">
        <v>1293</v>
      </c>
      <c r="H84" s="220"/>
      <c r="I84" s="220"/>
      <c r="J84" s="63"/>
    </row>
    <row r="85" spans="2:10" ht="6.95" customHeight="1" x14ac:dyDescent="0.25">
      <c r="B85" s="59"/>
      <c r="C85" s="128"/>
      <c r="D85" s="128"/>
      <c r="E85" s="128"/>
      <c r="F85" s="62"/>
      <c r="G85" s="128"/>
      <c r="H85" s="128"/>
      <c r="I85" s="128"/>
      <c r="J85" s="63"/>
    </row>
    <row r="86" spans="2:10" ht="18" customHeight="1" x14ac:dyDescent="0.25">
      <c r="B86" s="59"/>
      <c r="C86" s="220" t="s">
        <v>715</v>
      </c>
      <c r="D86" s="220"/>
      <c r="E86" s="220"/>
      <c r="F86" s="62"/>
      <c r="G86" s="220" t="s">
        <v>1288</v>
      </c>
      <c r="H86" s="220"/>
      <c r="I86" s="220"/>
      <c r="J86" s="63"/>
    </row>
    <row r="87" spans="2:10" ht="6.95" customHeight="1" thickBot="1" x14ac:dyDescent="0.3">
      <c r="B87" s="64"/>
      <c r="C87" s="65"/>
      <c r="D87" s="65"/>
      <c r="E87" s="65"/>
      <c r="F87" s="65"/>
      <c r="G87" s="65"/>
      <c r="H87" s="65"/>
      <c r="I87" s="65"/>
      <c r="J87" s="66"/>
    </row>
    <row r="88" spans="2:10" ht="15.75" thickTop="1" x14ac:dyDescent="0.25"/>
  </sheetData>
  <mergeCells count="273">
    <mergeCell ref="D1:J1"/>
    <mergeCell ref="C3:E3"/>
    <mergeCell ref="G3:I3"/>
    <mergeCell ref="C5:E5"/>
    <mergeCell ref="G5:I5"/>
    <mergeCell ref="C7:E7"/>
    <mergeCell ref="G7:I7"/>
    <mergeCell ref="G15:I15"/>
    <mergeCell ref="C17:E17"/>
    <mergeCell ref="G17:I17"/>
    <mergeCell ref="N1:T1"/>
    <mergeCell ref="M3:O3"/>
    <mergeCell ref="Q3:S3"/>
    <mergeCell ref="M5:O5"/>
    <mergeCell ref="Q5:S5"/>
    <mergeCell ref="M7:O7"/>
    <mergeCell ref="Q15:S15"/>
    <mergeCell ref="Q17:S17"/>
    <mergeCell ref="Q19:S19"/>
    <mergeCell ref="Q7:S7"/>
    <mergeCell ref="M9:O9"/>
    <mergeCell ref="Q9:S9"/>
    <mergeCell ref="M11:O11"/>
    <mergeCell ref="Q11:S11"/>
    <mergeCell ref="M13:O13"/>
    <mergeCell ref="Q13:S13"/>
    <mergeCell ref="M15:O15"/>
    <mergeCell ref="M17:O17"/>
    <mergeCell ref="M19:O19"/>
    <mergeCell ref="C29:E29"/>
    <mergeCell ref="G29:I29"/>
    <mergeCell ref="C31:E31"/>
    <mergeCell ref="G31:I31"/>
    <mergeCell ref="C33:E33"/>
    <mergeCell ref="G33:I33"/>
    <mergeCell ref="C19:E19"/>
    <mergeCell ref="G19:I19"/>
    <mergeCell ref="C9:E9"/>
    <mergeCell ref="G9:I9"/>
    <mergeCell ref="C11:E11"/>
    <mergeCell ref="G11:I11"/>
    <mergeCell ref="C13:E13"/>
    <mergeCell ref="G13:I13"/>
    <mergeCell ref="C21:E21"/>
    <mergeCell ref="G21:I21"/>
    <mergeCell ref="D23:J23"/>
    <mergeCell ref="C25:E25"/>
    <mergeCell ref="G25:I25"/>
    <mergeCell ref="C27:E27"/>
    <mergeCell ref="G27:I27"/>
    <mergeCell ref="C15:E15"/>
    <mergeCell ref="M29:O29"/>
    <mergeCell ref="Q29:S29"/>
    <mergeCell ref="M31:O31"/>
    <mergeCell ref="Q31:S31"/>
    <mergeCell ref="M33:O33"/>
    <mergeCell ref="Q33:S33"/>
    <mergeCell ref="M21:O21"/>
    <mergeCell ref="Q21:S21"/>
    <mergeCell ref="N23:T23"/>
    <mergeCell ref="M25:O25"/>
    <mergeCell ref="Q25:S25"/>
    <mergeCell ref="M27:O27"/>
    <mergeCell ref="Q27:S27"/>
    <mergeCell ref="M41:O41"/>
    <mergeCell ref="Q41:S41"/>
    <mergeCell ref="M43:O43"/>
    <mergeCell ref="Q43:S43"/>
    <mergeCell ref="D45:J45"/>
    <mergeCell ref="N45:T45"/>
    <mergeCell ref="M35:O35"/>
    <mergeCell ref="Q35:S35"/>
    <mergeCell ref="M37:O37"/>
    <mergeCell ref="Q37:S37"/>
    <mergeCell ref="M39:O39"/>
    <mergeCell ref="Q39:S39"/>
    <mergeCell ref="C41:E41"/>
    <mergeCell ref="G41:I41"/>
    <mergeCell ref="C43:E43"/>
    <mergeCell ref="G43:I43"/>
    <mergeCell ref="C39:E39"/>
    <mergeCell ref="G39:I39"/>
    <mergeCell ref="C35:E35"/>
    <mergeCell ref="G35:I35"/>
    <mergeCell ref="C37:E37"/>
    <mergeCell ref="G37:I37"/>
    <mergeCell ref="M53:O53"/>
    <mergeCell ref="Q53:S53"/>
    <mergeCell ref="C47:E47"/>
    <mergeCell ref="G47:I47"/>
    <mergeCell ref="M47:O47"/>
    <mergeCell ref="Q47:S47"/>
    <mergeCell ref="C49:E49"/>
    <mergeCell ref="G49:I49"/>
    <mergeCell ref="M49:O49"/>
    <mergeCell ref="Q49:S49"/>
    <mergeCell ref="C65:E65"/>
    <mergeCell ref="G65:I65"/>
    <mergeCell ref="M65:O65"/>
    <mergeCell ref="Q65:S65"/>
    <mergeCell ref="C59:E59"/>
    <mergeCell ref="G59:I59"/>
    <mergeCell ref="M59:O59"/>
    <mergeCell ref="Q59:S59"/>
    <mergeCell ref="C61:E61"/>
    <mergeCell ref="G61:I61"/>
    <mergeCell ref="M61:O61"/>
    <mergeCell ref="Q61:S61"/>
    <mergeCell ref="X1:AD1"/>
    <mergeCell ref="AH1:AN1"/>
    <mergeCell ref="W3:Y3"/>
    <mergeCell ref="AA3:AC3"/>
    <mergeCell ref="AG3:AI3"/>
    <mergeCell ref="AK3:AM3"/>
    <mergeCell ref="C63:E63"/>
    <mergeCell ref="G63:I63"/>
    <mergeCell ref="M63:O63"/>
    <mergeCell ref="Q63:S63"/>
    <mergeCell ref="C55:E55"/>
    <mergeCell ref="G55:I55"/>
    <mergeCell ref="M55:O55"/>
    <mergeCell ref="Q55:S55"/>
    <mergeCell ref="C57:E57"/>
    <mergeCell ref="G57:I57"/>
    <mergeCell ref="M57:O57"/>
    <mergeCell ref="Q57:S57"/>
    <mergeCell ref="C51:E51"/>
    <mergeCell ref="G51:I51"/>
    <mergeCell ref="M51:O51"/>
    <mergeCell ref="Q51:S51"/>
    <mergeCell ref="C53:E53"/>
    <mergeCell ref="G53:I53"/>
    <mergeCell ref="W9:Y9"/>
    <mergeCell ref="AA9:AC9"/>
    <mergeCell ref="AG9:AI9"/>
    <mergeCell ref="AK9:AM9"/>
    <mergeCell ref="W11:Y11"/>
    <mergeCell ref="AA11:AC11"/>
    <mergeCell ref="AG11:AI11"/>
    <mergeCell ref="AK11:AM11"/>
    <mergeCell ref="W5:Y5"/>
    <mergeCell ref="AA5:AC5"/>
    <mergeCell ref="AG5:AI5"/>
    <mergeCell ref="AK5:AM5"/>
    <mergeCell ref="W7:Y7"/>
    <mergeCell ref="AA7:AC7"/>
    <mergeCell ref="AG7:AI7"/>
    <mergeCell ref="AK7:AM7"/>
    <mergeCell ref="W17:Y17"/>
    <mergeCell ref="AA17:AC17"/>
    <mergeCell ref="AG17:AI17"/>
    <mergeCell ref="AK17:AM17"/>
    <mergeCell ref="W19:Y19"/>
    <mergeCell ref="AA19:AC19"/>
    <mergeCell ref="AG19:AI19"/>
    <mergeCell ref="AK19:AM19"/>
    <mergeCell ref="W13:Y13"/>
    <mergeCell ref="AA13:AC13"/>
    <mergeCell ref="AG13:AI13"/>
    <mergeCell ref="AK13:AM13"/>
    <mergeCell ref="W15:Y15"/>
    <mergeCell ref="AA15:AC15"/>
    <mergeCell ref="AG15:AI15"/>
    <mergeCell ref="AK15:AM15"/>
    <mergeCell ref="W25:Y25"/>
    <mergeCell ref="AA25:AC25"/>
    <mergeCell ref="AG25:AI25"/>
    <mergeCell ref="AK25:AM25"/>
    <mergeCell ref="W27:Y27"/>
    <mergeCell ref="AA27:AC27"/>
    <mergeCell ref="AG27:AI27"/>
    <mergeCell ref="AK27:AM27"/>
    <mergeCell ref="W21:Y21"/>
    <mergeCell ref="AA21:AC21"/>
    <mergeCell ref="AG21:AI21"/>
    <mergeCell ref="AK21:AM21"/>
    <mergeCell ref="X23:AD23"/>
    <mergeCell ref="AH23:AN23"/>
    <mergeCell ref="W33:Y33"/>
    <mergeCell ref="AA33:AC33"/>
    <mergeCell ref="AG33:AI33"/>
    <mergeCell ref="AK33:AM33"/>
    <mergeCell ref="W35:Y35"/>
    <mergeCell ref="AA35:AC35"/>
    <mergeCell ref="AG35:AI35"/>
    <mergeCell ref="AK35:AM35"/>
    <mergeCell ref="W29:Y29"/>
    <mergeCell ref="AA29:AC29"/>
    <mergeCell ref="AG29:AI29"/>
    <mergeCell ref="AK29:AM29"/>
    <mergeCell ref="W31:Y31"/>
    <mergeCell ref="AA31:AC31"/>
    <mergeCell ref="AG31:AI31"/>
    <mergeCell ref="AK31:AM31"/>
    <mergeCell ref="W41:Y41"/>
    <mergeCell ref="AA41:AC41"/>
    <mergeCell ref="AG41:AI41"/>
    <mergeCell ref="AK41:AM41"/>
    <mergeCell ref="W43:Y43"/>
    <mergeCell ref="AA43:AC43"/>
    <mergeCell ref="AG43:AI43"/>
    <mergeCell ref="AK43:AM43"/>
    <mergeCell ref="W37:Y37"/>
    <mergeCell ref="AA37:AC37"/>
    <mergeCell ref="AG37:AI37"/>
    <mergeCell ref="AK37:AM37"/>
    <mergeCell ref="W39:Y39"/>
    <mergeCell ref="AA39:AC39"/>
    <mergeCell ref="AG39:AI39"/>
    <mergeCell ref="AK39:AM39"/>
    <mergeCell ref="W49:Y49"/>
    <mergeCell ref="AA49:AC49"/>
    <mergeCell ref="AG49:AI49"/>
    <mergeCell ref="AK49:AM49"/>
    <mergeCell ref="W51:Y51"/>
    <mergeCell ref="AA51:AC51"/>
    <mergeCell ref="AG51:AI51"/>
    <mergeCell ref="AK51:AM51"/>
    <mergeCell ref="X45:AD45"/>
    <mergeCell ref="AH45:AN45"/>
    <mergeCell ref="W47:Y47"/>
    <mergeCell ref="AA47:AC47"/>
    <mergeCell ref="AG47:AI47"/>
    <mergeCell ref="AK47:AM47"/>
    <mergeCell ref="W57:Y57"/>
    <mergeCell ref="AA57:AC57"/>
    <mergeCell ref="AG57:AI57"/>
    <mergeCell ref="AK57:AM57"/>
    <mergeCell ref="W59:Y59"/>
    <mergeCell ref="AA59:AC59"/>
    <mergeCell ref="AG59:AI59"/>
    <mergeCell ref="AK59:AM59"/>
    <mergeCell ref="W53:Y53"/>
    <mergeCell ref="AA53:AC53"/>
    <mergeCell ref="AG53:AI53"/>
    <mergeCell ref="AK53:AM53"/>
    <mergeCell ref="W55:Y55"/>
    <mergeCell ref="AA55:AC55"/>
    <mergeCell ref="AG55:AI55"/>
    <mergeCell ref="AK55:AM55"/>
    <mergeCell ref="W65:Y65"/>
    <mergeCell ref="AA65:AC65"/>
    <mergeCell ref="AG65:AI65"/>
    <mergeCell ref="AK65:AM65"/>
    <mergeCell ref="W61:Y61"/>
    <mergeCell ref="AA61:AC61"/>
    <mergeCell ref="AG61:AI61"/>
    <mergeCell ref="AK61:AM61"/>
    <mergeCell ref="W63:Y63"/>
    <mergeCell ref="AA63:AC63"/>
    <mergeCell ref="AG63:AI63"/>
    <mergeCell ref="AK63:AM63"/>
    <mergeCell ref="C70:E70"/>
    <mergeCell ref="G70:I70"/>
    <mergeCell ref="C72:E72"/>
    <mergeCell ref="G72:I72"/>
    <mergeCell ref="C74:E74"/>
    <mergeCell ref="G74:I74"/>
    <mergeCell ref="D67:J67"/>
    <mergeCell ref="C68:E68"/>
    <mergeCell ref="G68:I68"/>
    <mergeCell ref="C82:E82"/>
    <mergeCell ref="G82:I82"/>
    <mergeCell ref="C84:E84"/>
    <mergeCell ref="G84:I84"/>
    <mergeCell ref="C86:E86"/>
    <mergeCell ref="G86:I86"/>
    <mergeCell ref="C76:E76"/>
    <mergeCell ref="G76:I76"/>
    <mergeCell ref="C78:E78"/>
    <mergeCell ref="G78:I78"/>
    <mergeCell ref="C80:E80"/>
    <mergeCell ref="G80:I80"/>
  </mergeCells>
  <pageMargins left="0.511811024" right="0.511811024" top="0.78740157499999996" bottom="0.78740157499999996" header="0.31496062000000002" footer="0.31496062000000002"/>
  <pageSetup paperSize="9" scale="78" orientation="portrait" r:id="rId1"/>
  <rowBreaks count="1" manualBreakCount="1">
    <brk id="66" max="16383" man="1"/>
  </rowBreaks>
  <colBreaks count="1" manualBreakCount="1">
    <brk id="20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4735-66B3-44B7-AA0F-A104B86699EC}">
  <dimension ref="A1:I12"/>
  <sheetViews>
    <sheetView workbookViewId="0">
      <selection activeCell="I13" sqref="I13"/>
    </sheetView>
  </sheetViews>
  <sheetFormatPr defaultRowHeight="15" x14ac:dyDescent="0.25"/>
  <cols>
    <col min="1" max="1" width="11.7109375" customWidth="1"/>
  </cols>
  <sheetData>
    <row r="1" spans="1:9" ht="15.75" x14ac:dyDescent="0.25">
      <c r="A1" s="2"/>
    </row>
    <row r="2" spans="1:9" ht="15.75" x14ac:dyDescent="0.25">
      <c r="A2" s="2" t="s">
        <v>128</v>
      </c>
      <c r="B2">
        <v>2022</v>
      </c>
      <c r="C2">
        <v>220</v>
      </c>
      <c r="D2" s="125">
        <v>30093974</v>
      </c>
    </row>
    <row r="3" spans="1:9" ht="15.75" x14ac:dyDescent="0.25">
      <c r="A3" s="16" t="s">
        <v>296</v>
      </c>
      <c r="B3">
        <v>653</v>
      </c>
      <c r="C3">
        <v>600</v>
      </c>
      <c r="D3" s="125">
        <v>20014819</v>
      </c>
    </row>
    <row r="4" spans="1:9" ht="15.75" x14ac:dyDescent="0.25">
      <c r="A4" s="43" t="s">
        <v>111</v>
      </c>
      <c r="B4">
        <v>6284</v>
      </c>
      <c r="C4">
        <v>320</v>
      </c>
      <c r="D4" s="126">
        <v>20016373</v>
      </c>
    </row>
    <row r="5" spans="1:9" ht="15.75" x14ac:dyDescent="0.25">
      <c r="A5" s="55" t="s">
        <v>455</v>
      </c>
      <c r="B5">
        <v>1741</v>
      </c>
      <c r="C5">
        <v>200</v>
      </c>
      <c r="D5" s="126">
        <v>20016041</v>
      </c>
    </row>
    <row r="6" spans="1:9" ht="15.75" x14ac:dyDescent="0.25">
      <c r="A6" s="44" t="s">
        <v>334</v>
      </c>
      <c r="B6">
        <v>3352</v>
      </c>
      <c r="C6">
        <v>302</v>
      </c>
      <c r="D6" s="126">
        <v>20002899</v>
      </c>
    </row>
    <row r="7" spans="1:9" x14ac:dyDescent="0.25">
      <c r="A7" t="s">
        <v>1283</v>
      </c>
      <c r="B7">
        <f>SUM(B2:B6)</f>
        <v>14052</v>
      </c>
      <c r="C7">
        <f>SUM(C2:C6)</f>
        <v>1642</v>
      </c>
    </row>
    <row r="10" spans="1:9" x14ac:dyDescent="0.25">
      <c r="H10">
        <v>12030.7</v>
      </c>
    </row>
    <row r="11" spans="1:9" ht="15.75" x14ac:dyDescent="0.25">
      <c r="A11" s="2" t="s">
        <v>110</v>
      </c>
      <c r="C11">
        <v>320</v>
      </c>
      <c r="D11" s="126">
        <v>20026071</v>
      </c>
      <c r="H11">
        <v>2022.5</v>
      </c>
    </row>
    <row r="12" spans="1:9" ht="15.75" customHeight="1" x14ac:dyDescent="0.25">
      <c r="A12" s="44" t="s">
        <v>125</v>
      </c>
      <c r="C12">
        <v>0</v>
      </c>
      <c r="D12" s="126">
        <v>20026070</v>
      </c>
      <c r="H12">
        <f>SUM(H10:H11)</f>
        <v>14053.2</v>
      </c>
      <c r="I12" t="s">
        <v>1284</v>
      </c>
    </row>
  </sheetData>
  <conditionalFormatting sqref="A1:A2">
    <cfRule type="cellIs" dxfId="12" priority="17" operator="equal">
      <formula>"CM32"</formula>
    </cfRule>
  </conditionalFormatting>
  <conditionalFormatting sqref="A3">
    <cfRule type="cellIs" dxfId="11" priority="13" operator="equal">
      <formula>"HM 68"</formula>
    </cfRule>
    <cfRule type="cellIs" dxfId="10" priority="14" operator="equal">
      <formula>"HM 68"</formula>
    </cfRule>
  </conditionalFormatting>
  <conditionalFormatting sqref="A3:A4">
    <cfRule type="cellIs" dxfId="9" priority="9" operator="equal">
      <formula>"C"</formula>
    </cfRule>
    <cfRule type="cellIs" dxfId="8" priority="10" operator="equal">
      <formula>"A"</formula>
    </cfRule>
    <cfRule type="cellIs" dxfId="7" priority="11" operator="equal">
      <formula>"RS-460"</formula>
    </cfRule>
  </conditionalFormatting>
  <conditionalFormatting sqref="A6">
    <cfRule type="cellIs" dxfId="6" priority="6" operator="equal">
      <formula>"RS-460"</formula>
    </cfRule>
    <cfRule type="cellIs" dxfId="5" priority="7" operator="equal">
      <formula>"C"</formula>
    </cfRule>
    <cfRule type="cellIs" dxfId="4" priority="8" operator="equal">
      <formula>"A"</formula>
    </cfRule>
  </conditionalFormatting>
  <conditionalFormatting sqref="A11">
    <cfRule type="cellIs" dxfId="3" priority="1" operator="equal">
      <formula>"220 EP"</formula>
    </cfRule>
  </conditionalFormatting>
  <conditionalFormatting sqref="A12">
    <cfRule type="cellIs" dxfId="2" priority="2" operator="equal">
      <formula>"RS-460"</formula>
    </cfRule>
    <cfRule type="cellIs" dxfId="1" priority="3" operator="equal">
      <formula>"C"</formula>
    </cfRule>
    <cfRule type="cellIs" dxfId="0" priority="4" operator="equal">
      <formula>"A"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27055-739A-4828-8E1F-AD08DA9FFD3C}">
  <dimension ref="A1:O40"/>
  <sheetViews>
    <sheetView workbookViewId="0">
      <selection activeCell="AU13" sqref="AU13"/>
    </sheetView>
  </sheetViews>
  <sheetFormatPr defaultColWidth="1.140625" defaultRowHeight="15" x14ac:dyDescent="0.25"/>
  <cols>
    <col min="1" max="1" width="4.5703125" customWidth="1"/>
    <col min="2" max="2" width="28.140625" bestFit="1" customWidth="1"/>
    <col min="3" max="3" width="6.42578125" style="135" bestFit="1" customWidth="1"/>
    <col min="4" max="4" width="6.42578125" style="135" customWidth="1"/>
    <col min="5" max="5" width="4.5703125" customWidth="1"/>
    <col min="6" max="6" width="28.140625" bestFit="1" customWidth="1"/>
    <col min="7" max="7" width="6.42578125" bestFit="1" customWidth="1"/>
    <col min="8" max="8" width="6.42578125" customWidth="1"/>
    <col min="9" max="9" width="4.5703125" customWidth="1"/>
    <col min="10" max="10" width="28.140625" bestFit="1" customWidth="1"/>
    <col min="11" max="11" width="6.42578125" bestFit="1" customWidth="1"/>
    <col min="12" max="12" width="6.42578125" customWidth="1"/>
    <col min="13" max="13" width="4.5703125" customWidth="1"/>
    <col min="14" max="14" width="28.140625" bestFit="1" customWidth="1"/>
    <col min="15" max="15" width="6.42578125" bestFit="1" customWidth="1"/>
  </cols>
  <sheetData>
    <row r="1" spans="1:15" ht="18.75" thickBot="1" x14ac:dyDescent="0.3">
      <c r="A1" s="132"/>
      <c r="B1" s="132" t="s">
        <v>1643</v>
      </c>
      <c r="C1" s="133">
        <v>1</v>
      </c>
      <c r="D1" s="134"/>
      <c r="E1" s="132"/>
      <c r="F1" s="132" t="s">
        <v>1643</v>
      </c>
      <c r="G1" s="133">
        <f>C40+1</f>
        <v>41</v>
      </c>
      <c r="H1" s="134"/>
      <c r="I1" s="132"/>
      <c r="J1" s="132" t="s">
        <v>1643</v>
      </c>
      <c r="K1" s="133">
        <f>G40+1</f>
        <v>81</v>
      </c>
      <c r="L1" s="134"/>
      <c r="M1" s="132"/>
      <c r="N1" s="132" t="s">
        <v>1643</v>
      </c>
      <c r="O1" s="133">
        <f>K40+1</f>
        <v>121</v>
      </c>
    </row>
    <row r="2" spans="1:15" ht="18.75" thickBot="1" x14ac:dyDescent="0.3">
      <c r="A2" s="132"/>
      <c r="B2" s="132" t="s">
        <v>1643</v>
      </c>
      <c r="C2" s="133">
        <f>C1+1</f>
        <v>2</v>
      </c>
      <c r="D2" s="134"/>
      <c r="E2" s="132"/>
      <c r="F2" s="132" t="s">
        <v>1643</v>
      </c>
      <c r="G2" s="133">
        <f>G1+1</f>
        <v>42</v>
      </c>
      <c r="H2" s="134"/>
      <c r="I2" s="132"/>
      <c r="J2" s="132" t="s">
        <v>1643</v>
      </c>
      <c r="K2" s="133">
        <f>K1+1</f>
        <v>82</v>
      </c>
      <c r="L2" s="134"/>
      <c r="M2" s="132"/>
      <c r="N2" s="132" t="s">
        <v>1643</v>
      </c>
      <c r="O2" s="133">
        <f t="shared" ref="O2:O40" si="0">O1+1</f>
        <v>122</v>
      </c>
    </row>
    <row r="3" spans="1:15" ht="18.75" thickBot="1" x14ac:dyDescent="0.3">
      <c r="A3" s="132"/>
      <c r="B3" s="132" t="s">
        <v>1643</v>
      </c>
      <c r="C3" s="133">
        <f t="shared" ref="C3:C40" si="1">C2+1</f>
        <v>3</v>
      </c>
      <c r="D3" s="134"/>
      <c r="E3" s="132"/>
      <c r="F3" s="132" t="s">
        <v>1643</v>
      </c>
      <c r="G3" s="133">
        <f t="shared" ref="G3:G40" si="2">G2+1</f>
        <v>43</v>
      </c>
      <c r="H3" s="134"/>
      <c r="I3" s="132"/>
      <c r="J3" s="132" t="s">
        <v>1643</v>
      </c>
      <c r="K3" s="133">
        <f t="shared" ref="K3:K40" si="3">K2+1</f>
        <v>83</v>
      </c>
      <c r="L3" s="134"/>
      <c r="M3" s="132"/>
      <c r="N3" s="132" t="s">
        <v>1643</v>
      </c>
      <c r="O3" s="133">
        <f t="shared" si="0"/>
        <v>123</v>
      </c>
    </row>
    <row r="4" spans="1:15" ht="18.75" thickBot="1" x14ac:dyDescent="0.3">
      <c r="A4" s="132"/>
      <c r="B4" s="132" t="s">
        <v>1643</v>
      </c>
      <c r="C4" s="133">
        <f t="shared" si="1"/>
        <v>4</v>
      </c>
      <c r="D4" s="134"/>
      <c r="E4" s="132"/>
      <c r="F4" s="132" t="s">
        <v>1643</v>
      </c>
      <c r="G4" s="133">
        <f t="shared" si="2"/>
        <v>44</v>
      </c>
      <c r="H4" s="134"/>
      <c r="I4" s="132"/>
      <c r="J4" s="132" t="s">
        <v>1643</v>
      </c>
      <c r="K4" s="133">
        <f t="shared" si="3"/>
        <v>84</v>
      </c>
      <c r="L4" s="134"/>
      <c r="M4" s="132"/>
      <c r="N4" s="132" t="s">
        <v>1643</v>
      </c>
      <c r="O4" s="133">
        <f t="shared" si="0"/>
        <v>124</v>
      </c>
    </row>
    <row r="5" spans="1:15" ht="18.75" thickBot="1" x14ac:dyDescent="0.3">
      <c r="A5" s="132"/>
      <c r="B5" s="132" t="s">
        <v>1643</v>
      </c>
      <c r="C5" s="133">
        <f t="shared" si="1"/>
        <v>5</v>
      </c>
      <c r="D5" s="134"/>
      <c r="E5" s="132"/>
      <c r="F5" s="132" t="s">
        <v>1643</v>
      </c>
      <c r="G5" s="133">
        <f t="shared" si="2"/>
        <v>45</v>
      </c>
      <c r="H5" s="134"/>
      <c r="I5" s="132"/>
      <c r="J5" s="132" t="s">
        <v>1643</v>
      </c>
      <c r="K5" s="133">
        <f t="shared" si="3"/>
        <v>85</v>
      </c>
      <c r="L5" s="134"/>
      <c r="M5" s="132"/>
      <c r="N5" s="132" t="s">
        <v>1643</v>
      </c>
      <c r="O5" s="133">
        <f t="shared" si="0"/>
        <v>125</v>
      </c>
    </row>
    <row r="6" spans="1:15" ht="18.75" thickBot="1" x14ac:dyDescent="0.3">
      <c r="A6" s="132"/>
      <c r="B6" s="132" t="s">
        <v>1643</v>
      </c>
      <c r="C6" s="133">
        <f t="shared" si="1"/>
        <v>6</v>
      </c>
      <c r="D6" s="134"/>
      <c r="E6" s="132"/>
      <c r="F6" s="132" t="s">
        <v>1643</v>
      </c>
      <c r="G6" s="133">
        <f t="shared" si="2"/>
        <v>46</v>
      </c>
      <c r="H6" s="134"/>
      <c r="I6" s="132"/>
      <c r="J6" s="132" t="s">
        <v>1643</v>
      </c>
      <c r="K6" s="133">
        <f t="shared" si="3"/>
        <v>86</v>
      </c>
      <c r="L6" s="134"/>
      <c r="M6" s="132"/>
      <c r="N6" s="132" t="s">
        <v>1643</v>
      </c>
      <c r="O6" s="133">
        <f t="shared" si="0"/>
        <v>126</v>
      </c>
    </row>
    <row r="7" spans="1:15" ht="18.75" thickBot="1" x14ac:dyDescent="0.3">
      <c r="A7" s="132"/>
      <c r="B7" s="132" t="s">
        <v>1643</v>
      </c>
      <c r="C7" s="133">
        <f t="shared" si="1"/>
        <v>7</v>
      </c>
      <c r="D7" s="134"/>
      <c r="E7" s="132"/>
      <c r="F7" s="132" t="s">
        <v>1643</v>
      </c>
      <c r="G7" s="133">
        <f t="shared" si="2"/>
        <v>47</v>
      </c>
      <c r="H7" s="134"/>
      <c r="I7" s="132"/>
      <c r="J7" s="132" t="s">
        <v>1643</v>
      </c>
      <c r="K7" s="133">
        <f t="shared" si="3"/>
        <v>87</v>
      </c>
      <c r="L7" s="134"/>
      <c r="M7" s="132"/>
      <c r="N7" s="132" t="s">
        <v>1643</v>
      </c>
      <c r="O7" s="133">
        <f t="shared" si="0"/>
        <v>127</v>
      </c>
    </row>
    <row r="8" spans="1:15" ht="18.75" thickBot="1" x14ac:dyDescent="0.3">
      <c r="A8" s="132"/>
      <c r="B8" s="132" t="s">
        <v>1643</v>
      </c>
      <c r="C8" s="133">
        <f t="shared" si="1"/>
        <v>8</v>
      </c>
      <c r="D8" s="134"/>
      <c r="E8" s="132"/>
      <c r="F8" s="132" t="s">
        <v>1643</v>
      </c>
      <c r="G8" s="133">
        <f t="shared" si="2"/>
        <v>48</v>
      </c>
      <c r="H8" s="134"/>
      <c r="I8" s="132"/>
      <c r="J8" s="132" t="s">
        <v>1643</v>
      </c>
      <c r="K8" s="133">
        <f t="shared" si="3"/>
        <v>88</v>
      </c>
      <c r="L8" s="134"/>
      <c r="M8" s="132"/>
      <c r="N8" s="132" t="s">
        <v>1643</v>
      </c>
      <c r="O8" s="133">
        <f t="shared" si="0"/>
        <v>128</v>
      </c>
    </row>
    <row r="9" spans="1:15" ht="18.75" thickBot="1" x14ac:dyDescent="0.3">
      <c r="A9" s="132"/>
      <c r="B9" s="132" t="s">
        <v>1643</v>
      </c>
      <c r="C9" s="133">
        <f t="shared" si="1"/>
        <v>9</v>
      </c>
      <c r="D9" s="134"/>
      <c r="E9" s="132"/>
      <c r="F9" s="132" t="s">
        <v>1643</v>
      </c>
      <c r="G9" s="133">
        <f t="shared" si="2"/>
        <v>49</v>
      </c>
      <c r="H9" s="134"/>
      <c r="I9" s="132"/>
      <c r="J9" s="132" t="s">
        <v>1643</v>
      </c>
      <c r="K9" s="133">
        <f t="shared" si="3"/>
        <v>89</v>
      </c>
      <c r="L9" s="134"/>
      <c r="M9" s="132"/>
      <c r="N9" s="132" t="s">
        <v>1643</v>
      </c>
      <c r="O9" s="133">
        <f t="shared" si="0"/>
        <v>129</v>
      </c>
    </row>
    <row r="10" spans="1:15" ht="18.75" thickBot="1" x14ac:dyDescent="0.3">
      <c r="A10" s="132"/>
      <c r="B10" s="132" t="s">
        <v>1643</v>
      </c>
      <c r="C10" s="133">
        <f t="shared" si="1"/>
        <v>10</v>
      </c>
      <c r="D10" s="134"/>
      <c r="E10" s="132"/>
      <c r="F10" s="132" t="s">
        <v>1643</v>
      </c>
      <c r="G10" s="133">
        <f t="shared" si="2"/>
        <v>50</v>
      </c>
      <c r="H10" s="134"/>
      <c r="I10" s="132"/>
      <c r="J10" s="132" t="s">
        <v>1643</v>
      </c>
      <c r="K10" s="133">
        <f t="shared" si="3"/>
        <v>90</v>
      </c>
      <c r="L10" s="134"/>
      <c r="M10" s="132"/>
      <c r="N10" s="132" t="s">
        <v>1643</v>
      </c>
      <c r="O10" s="133">
        <f t="shared" si="0"/>
        <v>130</v>
      </c>
    </row>
    <row r="11" spans="1:15" ht="18.75" thickBot="1" x14ac:dyDescent="0.3">
      <c r="A11" s="132"/>
      <c r="B11" s="132" t="s">
        <v>1643</v>
      </c>
      <c r="C11" s="133">
        <f t="shared" si="1"/>
        <v>11</v>
      </c>
      <c r="D11" s="134"/>
      <c r="E11" s="132"/>
      <c r="F11" s="132" t="s">
        <v>1643</v>
      </c>
      <c r="G11" s="133">
        <f t="shared" si="2"/>
        <v>51</v>
      </c>
      <c r="H11" s="134"/>
      <c r="I11" s="132"/>
      <c r="J11" s="132" t="s">
        <v>1643</v>
      </c>
      <c r="K11" s="133">
        <f t="shared" si="3"/>
        <v>91</v>
      </c>
      <c r="L11" s="134"/>
      <c r="M11" s="132"/>
      <c r="N11" s="132" t="s">
        <v>1643</v>
      </c>
      <c r="O11" s="133">
        <f t="shared" si="0"/>
        <v>131</v>
      </c>
    </row>
    <row r="12" spans="1:15" ht="18.75" thickBot="1" x14ac:dyDescent="0.3">
      <c r="A12" s="132"/>
      <c r="B12" s="132" t="s">
        <v>1643</v>
      </c>
      <c r="C12" s="133">
        <f t="shared" si="1"/>
        <v>12</v>
      </c>
      <c r="D12" s="134"/>
      <c r="E12" s="132"/>
      <c r="F12" s="132" t="s">
        <v>1643</v>
      </c>
      <c r="G12" s="133">
        <f t="shared" si="2"/>
        <v>52</v>
      </c>
      <c r="H12" s="134"/>
      <c r="I12" s="132"/>
      <c r="J12" s="132" t="s">
        <v>1643</v>
      </c>
      <c r="K12" s="133">
        <f t="shared" si="3"/>
        <v>92</v>
      </c>
      <c r="L12" s="134"/>
      <c r="M12" s="132"/>
      <c r="N12" s="132" t="s">
        <v>1643</v>
      </c>
      <c r="O12" s="133">
        <f t="shared" si="0"/>
        <v>132</v>
      </c>
    </row>
    <row r="13" spans="1:15" ht="18.75" thickBot="1" x14ac:dyDescent="0.3">
      <c r="A13" s="132"/>
      <c r="B13" s="132" t="s">
        <v>1643</v>
      </c>
      <c r="C13" s="133">
        <f t="shared" si="1"/>
        <v>13</v>
      </c>
      <c r="D13" s="134"/>
      <c r="E13" s="132"/>
      <c r="F13" s="132" t="s">
        <v>1643</v>
      </c>
      <c r="G13" s="133">
        <f t="shared" si="2"/>
        <v>53</v>
      </c>
      <c r="H13" s="134"/>
      <c r="I13" s="132"/>
      <c r="J13" s="132" t="s">
        <v>1643</v>
      </c>
      <c r="K13" s="133">
        <f t="shared" si="3"/>
        <v>93</v>
      </c>
      <c r="L13" s="134"/>
      <c r="M13" s="132"/>
      <c r="N13" s="132" t="s">
        <v>1643</v>
      </c>
      <c r="O13" s="133">
        <f t="shared" si="0"/>
        <v>133</v>
      </c>
    </row>
    <row r="14" spans="1:15" ht="18.75" thickBot="1" x14ac:dyDescent="0.3">
      <c r="A14" s="132"/>
      <c r="B14" s="132" t="s">
        <v>1643</v>
      </c>
      <c r="C14" s="133">
        <f t="shared" si="1"/>
        <v>14</v>
      </c>
      <c r="D14" s="134"/>
      <c r="E14" s="132"/>
      <c r="F14" s="132" t="s">
        <v>1643</v>
      </c>
      <c r="G14" s="133">
        <f t="shared" si="2"/>
        <v>54</v>
      </c>
      <c r="H14" s="134"/>
      <c r="I14" s="132"/>
      <c r="J14" s="132" t="s">
        <v>1643</v>
      </c>
      <c r="K14" s="133">
        <f t="shared" si="3"/>
        <v>94</v>
      </c>
      <c r="L14" s="134"/>
      <c r="M14" s="132"/>
      <c r="N14" s="132" t="s">
        <v>1643</v>
      </c>
      <c r="O14" s="133">
        <f t="shared" si="0"/>
        <v>134</v>
      </c>
    </row>
    <row r="15" spans="1:15" ht="18.75" thickBot="1" x14ac:dyDescent="0.3">
      <c r="A15" s="132"/>
      <c r="B15" s="132" t="s">
        <v>1643</v>
      </c>
      <c r="C15" s="133">
        <f t="shared" si="1"/>
        <v>15</v>
      </c>
      <c r="D15" s="134"/>
      <c r="E15" s="132"/>
      <c r="F15" s="132" t="s">
        <v>1643</v>
      </c>
      <c r="G15" s="133">
        <f t="shared" si="2"/>
        <v>55</v>
      </c>
      <c r="H15" s="134"/>
      <c r="I15" s="132"/>
      <c r="J15" s="132" t="s">
        <v>1643</v>
      </c>
      <c r="K15" s="133">
        <f t="shared" si="3"/>
        <v>95</v>
      </c>
      <c r="L15" s="134"/>
      <c r="M15" s="132"/>
      <c r="N15" s="132" t="s">
        <v>1643</v>
      </c>
      <c r="O15" s="133">
        <f t="shared" si="0"/>
        <v>135</v>
      </c>
    </row>
    <row r="16" spans="1:15" ht="18.75" thickBot="1" x14ac:dyDescent="0.3">
      <c r="A16" s="132"/>
      <c r="B16" s="132" t="s">
        <v>1643</v>
      </c>
      <c r="C16" s="133">
        <f t="shared" si="1"/>
        <v>16</v>
      </c>
      <c r="D16" s="134"/>
      <c r="E16" s="132"/>
      <c r="F16" s="132" t="s">
        <v>1643</v>
      </c>
      <c r="G16" s="133">
        <f t="shared" si="2"/>
        <v>56</v>
      </c>
      <c r="H16" s="134"/>
      <c r="I16" s="132"/>
      <c r="J16" s="132" t="s">
        <v>1643</v>
      </c>
      <c r="K16" s="133">
        <f t="shared" si="3"/>
        <v>96</v>
      </c>
      <c r="L16" s="134"/>
      <c r="M16" s="132"/>
      <c r="N16" s="132" t="s">
        <v>1643</v>
      </c>
      <c r="O16" s="133">
        <f t="shared" si="0"/>
        <v>136</v>
      </c>
    </row>
    <row r="17" spans="1:15" ht="18.75" thickBot="1" x14ac:dyDescent="0.3">
      <c r="A17" s="132"/>
      <c r="B17" s="132" t="s">
        <v>1643</v>
      </c>
      <c r="C17" s="133">
        <f t="shared" si="1"/>
        <v>17</v>
      </c>
      <c r="D17" s="134"/>
      <c r="E17" s="132"/>
      <c r="F17" s="132" t="s">
        <v>1643</v>
      </c>
      <c r="G17" s="133">
        <f t="shared" si="2"/>
        <v>57</v>
      </c>
      <c r="H17" s="134"/>
      <c r="I17" s="132"/>
      <c r="J17" s="132" t="s">
        <v>1643</v>
      </c>
      <c r="K17" s="133">
        <f t="shared" si="3"/>
        <v>97</v>
      </c>
      <c r="L17" s="134"/>
      <c r="M17" s="132"/>
      <c r="N17" s="132" t="s">
        <v>1643</v>
      </c>
      <c r="O17" s="133">
        <f t="shared" si="0"/>
        <v>137</v>
      </c>
    </row>
    <row r="18" spans="1:15" ht="18.75" thickBot="1" x14ac:dyDescent="0.3">
      <c r="A18" s="132"/>
      <c r="B18" s="132" t="s">
        <v>1643</v>
      </c>
      <c r="C18" s="133">
        <f t="shared" si="1"/>
        <v>18</v>
      </c>
      <c r="D18" s="134"/>
      <c r="E18" s="132"/>
      <c r="F18" s="132" t="s">
        <v>1643</v>
      </c>
      <c r="G18" s="133">
        <f t="shared" si="2"/>
        <v>58</v>
      </c>
      <c r="H18" s="134"/>
      <c r="I18" s="132"/>
      <c r="J18" s="132" t="s">
        <v>1643</v>
      </c>
      <c r="K18" s="133">
        <f t="shared" si="3"/>
        <v>98</v>
      </c>
      <c r="L18" s="134"/>
      <c r="M18" s="132"/>
      <c r="N18" s="132" t="s">
        <v>1643</v>
      </c>
      <c r="O18" s="133">
        <f t="shared" si="0"/>
        <v>138</v>
      </c>
    </row>
    <row r="19" spans="1:15" ht="18.75" thickBot="1" x14ac:dyDescent="0.3">
      <c r="A19" s="132"/>
      <c r="B19" s="132" t="s">
        <v>1643</v>
      </c>
      <c r="C19" s="133">
        <f t="shared" si="1"/>
        <v>19</v>
      </c>
      <c r="D19" s="134"/>
      <c r="E19" s="132"/>
      <c r="F19" s="132" t="s">
        <v>1643</v>
      </c>
      <c r="G19" s="133">
        <f t="shared" si="2"/>
        <v>59</v>
      </c>
      <c r="H19" s="134"/>
      <c r="I19" s="132"/>
      <c r="J19" s="132" t="s">
        <v>1643</v>
      </c>
      <c r="K19" s="133">
        <f t="shared" si="3"/>
        <v>99</v>
      </c>
      <c r="L19" s="134"/>
      <c r="M19" s="132"/>
      <c r="N19" s="132" t="s">
        <v>1643</v>
      </c>
      <c r="O19" s="133">
        <f t="shared" si="0"/>
        <v>139</v>
      </c>
    </row>
    <row r="20" spans="1:15" ht="18.75" thickBot="1" x14ac:dyDescent="0.3">
      <c r="A20" s="132"/>
      <c r="B20" s="132" t="s">
        <v>1643</v>
      </c>
      <c r="C20" s="133">
        <f t="shared" si="1"/>
        <v>20</v>
      </c>
      <c r="D20" s="134"/>
      <c r="E20" s="132"/>
      <c r="F20" s="132" t="s">
        <v>1643</v>
      </c>
      <c r="G20" s="133">
        <f t="shared" si="2"/>
        <v>60</v>
      </c>
      <c r="H20" s="134"/>
      <c r="I20" s="132"/>
      <c r="J20" s="132" t="s">
        <v>1643</v>
      </c>
      <c r="K20" s="133">
        <f t="shared" si="3"/>
        <v>100</v>
      </c>
      <c r="L20" s="134"/>
      <c r="M20" s="132"/>
      <c r="N20" s="132" t="s">
        <v>1643</v>
      </c>
      <c r="O20" s="133">
        <f t="shared" si="0"/>
        <v>140</v>
      </c>
    </row>
    <row r="21" spans="1:15" ht="18.75" thickBot="1" x14ac:dyDescent="0.3">
      <c r="A21" s="132"/>
      <c r="B21" s="132" t="s">
        <v>1643</v>
      </c>
      <c r="C21" s="133">
        <f t="shared" si="1"/>
        <v>21</v>
      </c>
      <c r="D21" s="134"/>
      <c r="E21" s="132"/>
      <c r="F21" s="132" t="s">
        <v>1643</v>
      </c>
      <c r="G21" s="133">
        <f t="shared" si="2"/>
        <v>61</v>
      </c>
      <c r="H21" s="134"/>
      <c r="I21" s="132"/>
      <c r="J21" s="132" t="s">
        <v>1643</v>
      </c>
      <c r="K21" s="133">
        <f t="shared" si="3"/>
        <v>101</v>
      </c>
      <c r="L21" s="134"/>
      <c r="M21" s="132"/>
      <c r="N21" s="132" t="s">
        <v>1643</v>
      </c>
      <c r="O21" s="133">
        <f t="shared" si="0"/>
        <v>141</v>
      </c>
    </row>
    <row r="22" spans="1:15" ht="18.75" thickBot="1" x14ac:dyDescent="0.3">
      <c r="A22" s="132"/>
      <c r="B22" s="132" t="s">
        <v>1643</v>
      </c>
      <c r="C22" s="133">
        <f t="shared" si="1"/>
        <v>22</v>
      </c>
      <c r="D22" s="134"/>
      <c r="E22" s="132"/>
      <c r="F22" s="132" t="s">
        <v>1643</v>
      </c>
      <c r="G22" s="133">
        <f t="shared" si="2"/>
        <v>62</v>
      </c>
      <c r="H22" s="134"/>
      <c r="I22" s="132"/>
      <c r="J22" s="132" t="s">
        <v>1643</v>
      </c>
      <c r="K22" s="133">
        <f t="shared" si="3"/>
        <v>102</v>
      </c>
      <c r="L22" s="134"/>
      <c r="M22" s="132"/>
      <c r="N22" s="132" t="s">
        <v>1643</v>
      </c>
      <c r="O22" s="133">
        <f t="shared" si="0"/>
        <v>142</v>
      </c>
    </row>
    <row r="23" spans="1:15" ht="18.75" thickBot="1" x14ac:dyDescent="0.3">
      <c r="A23" s="132"/>
      <c r="B23" s="132" t="s">
        <v>1643</v>
      </c>
      <c r="C23" s="133">
        <f t="shared" si="1"/>
        <v>23</v>
      </c>
      <c r="D23" s="134"/>
      <c r="E23" s="132"/>
      <c r="F23" s="132" t="s">
        <v>1643</v>
      </c>
      <c r="G23" s="133">
        <f t="shared" si="2"/>
        <v>63</v>
      </c>
      <c r="H23" s="134"/>
      <c r="I23" s="132"/>
      <c r="J23" s="132" t="s">
        <v>1643</v>
      </c>
      <c r="K23" s="133">
        <f t="shared" si="3"/>
        <v>103</v>
      </c>
      <c r="L23" s="134"/>
      <c r="M23" s="132"/>
      <c r="N23" s="132" t="s">
        <v>1643</v>
      </c>
      <c r="O23" s="133">
        <f t="shared" si="0"/>
        <v>143</v>
      </c>
    </row>
    <row r="24" spans="1:15" ht="18.75" thickBot="1" x14ac:dyDescent="0.3">
      <c r="A24" s="132"/>
      <c r="B24" s="132" t="s">
        <v>1643</v>
      </c>
      <c r="C24" s="133">
        <f t="shared" si="1"/>
        <v>24</v>
      </c>
      <c r="D24" s="134"/>
      <c r="E24" s="132"/>
      <c r="F24" s="132" t="s">
        <v>1643</v>
      </c>
      <c r="G24" s="133">
        <f t="shared" si="2"/>
        <v>64</v>
      </c>
      <c r="H24" s="134"/>
      <c r="I24" s="132"/>
      <c r="J24" s="132" t="s">
        <v>1643</v>
      </c>
      <c r="K24" s="133">
        <f t="shared" si="3"/>
        <v>104</v>
      </c>
      <c r="L24" s="134"/>
      <c r="M24" s="132"/>
      <c r="N24" s="132" t="s">
        <v>1643</v>
      </c>
      <c r="O24" s="133">
        <f t="shared" si="0"/>
        <v>144</v>
      </c>
    </row>
    <row r="25" spans="1:15" ht="18.75" thickBot="1" x14ac:dyDescent="0.3">
      <c r="A25" s="132"/>
      <c r="B25" s="132" t="s">
        <v>1643</v>
      </c>
      <c r="C25" s="133">
        <f t="shared" si="1"/>
        <v>25</v>
      </c>
      <c r="D25" s="134"/>
      <c r="E25" s="132"/>
      <c r="F25" s="132" t="s">
        <v>1643</v>
      </c>
      <c r="G25" s="133">
        <f t="shared" si="2"/>
        <v>65</v>
      </c>
      <c r="H25" s="134"/>
      <c r="I25" s="132"/>
      <c r="J25" s="132" t="s">
        <v>1643</v>
      </c>
      <c r="K25" s="133">
        <f t="shared" si="3"/>
        <v>105</v>
      </c>
      <c r="L25" s="134"/>
      <c r="M25" s="132"/>
      <c r="N25" s="132" t="s">
        <v>1643</v>
      </c>
      <c r="O25" s="133">
        <f t="shared" si="0"/>
        <v>145</v>
      </c>
    </row>
    <row r="26" spans="1:15" ht="18.75" thickBot="1" x14ac:dyDescent="0.3">
      <c r="A26" s="132"/>
      <c r="B26" s="132" t="s">
        <v>1643</v>
      </c>
      <c r="C26" s="133">
        <f t="shared" si="1"/>
        <v>26</v>
      </c>
      <c r="D26" s="134"/>
      <c r="E26" s="132"/>
      <c r="F26" s="132" t="s">
        <v>1643</v>
      </c>
      <c r="G26" s="133">
        <f t="shared" si="2"/>
        <v>66</v>
      </c>
      <c r="H26" s="134"/>
      <c r="I26" s="132"/>
      <c r="J26" s="132" t="s">
        <v>1643</v>
      </c>
      <c r="K26" s="133">
        <f t="shared" si="3"/>
        <v>106</v>
      </c>
      <c r="L26" s="134"/>
      <c r="M26" s="132"/>
      <c r="N26" s="132" t="s">
        <v>1643</v>
      </c>
      <c r="O26" s="133">
        <f t="shared" si="0"/>
        <v>146</v>
      </c>
    </row>
    <row r="27" spans="1:15" ht="18.75" thickBot="1" x14ac:dyDescent="0.3">
      <c r="A27" s="132"/>
      <c r="B27" s="132" t="s">
        <v>1643</v>
      </c>
      <c r="C27" s="133">
        <f t="shared" si="1"/>
        <v>27</v>
      </c>
      <c r="D27" s="134"/>
      <c r="E27" s="132"/>
      <c r="F27" s="132" t="s">
        <v>1643</v>
      </c>
      <c r="G27" s="133">
        <f t="shared" si="2"/>
        <v>67</v>
      </c>
      <c r="H27" s="134"/>
      <c r="I27" s="132"/>
      <c r="J27" s="132" t="s">
        <v>1643</v>
      </c>
      <c r="K27" s="133">
        <f t="shared" si="3"/>
        <v>107</v>
      </c>
      <c r="L27" s="134"/>
      <c r="M27" s="132"/>
      <c r="N27" s="132" t="s">
        <v>1643</v>
      </c>
      <c r="O27" s="133">
        <f t="shared" si="0"/>
        <v>147</v>
      </c>
    </row>
    <row r="28" spans="1:15" ht="18.75" thickBot="1" x14ac:dyDescent="0.3">
      <c r="A28" s="132"/>
      <c r="B28" s="132" t="s">
        <v>1643</v>
      </c>
      <c r="C28" s="133">
        <f t="shared" si="1"/>
        <v>28</v>
      </c>
      <c r="D28" s="134"/>
      <c r="E28" s="132"/>
      <c r="F28" s="132" t="s">
        <v>1643</v>
      </c>
      <c r="G28" s="133">
        <f t="shared" si="2"/>
        <v>68</v>
      </c>
      <c r="H28" s="134"/>
      <c r="I28" s="132"/>
      <c r="J28" s="132" t="s">
        <v>1643</v>
      </c>
      <c r="K28" s="133">
        <f t="shared" si="3"/>
        <v>108</v>
      </c>
      <c r="L28" s="134"/>
      <c r="M28" s="132"/>
      <c r="N28" s="132" t="s">
        <v>1643</v>
      </c>
      <c r="O28" s="133">
        <f t="shared" si="0"/>
        <v>148</v>
      </c>
    </row>
    <row r="29" spans="1:15" ht="18.75" thickBot="1" x14ac:dyDescent="0.3">
      <c r="A29" s="132"/>
      <c r="B29" s="132" t="s">
        <v>1643</v>
      </c>
      <c r="C29" s="133">
        <f t="shared" si="1"/>
        <v>29</v>
      </c>
      <c r="D29" s="134"/>
      <c r="E29" s="132"/>
      <c r="F29" s="132" t="s">
        <v>1643</v>
      </c>
      <c r="G29" s="133">
        <f t="shared" si="2"/>
        <v>69</v>
      </c>
      <c r="H29" s="134"/>
      <c r="I29" s="132"/>
      <c r="J29" s="132" t="s">
        <v>1643</v>
      </c>
      <c r="K29" s="133">
        <f t="shared" si="3"/>
        <v>109</v>
      </c>
      <c r="L29" s="134"/>
      <c r="M29" s="132"/>
      <c r="N29" s="132" t="s">
        <v>1643</v>
      </c>
      <c r="O29" s="133">
        <f t="shared" si="0"/>
        <v>149</v>
      </c>
    </row>
    <row r="30" spans="1:15" ht="18.75" thickBot="1" x14ac:dyDescent="0.3">
      <c r="A30" s="132"/>
      <c r="B30" s="132" t="s">
        <v>1643</v>
      </c>
      <c r="C30" s="133">
        <f t="shared" si="1"/>
        <v>30</v>
      </c>
      <c r="D30" s="134"/>
      <c r="E30" s="132"/>
      <c r="F30" s="132" t="s">
        <v>1643</v>
      </c>
      <c r="G30" s="133">
        <f t="shared" si="2"/>
        <v>70</v>
      </c>
      <c r="H30" s="134"/>
      <c r="I30" s="132"/>
      <c r="J30" s="132" t="s">
        <v>1643</v>
      </c>
      <c r="K30" s="133">
        <f t="shared" si="3"/>
        <v>110</v>
      </c>
      <c r="L30" s="134"/>
      <c r="M30" s="132"/>
      <c r="N30" s="132" t="s">
        <v>1643</v>
      </c>
      <c r="O30" s="133">
        <f t="shared" si="0"/>
        <v>150</v>
      </c>
    </row>
    <row r="31" spans="1:15" ht="18.75" thickBot="1" x14ac:dyDescent="0.3">
      <c r="A31" s="132"/>
      <c r="B31" s="132" t="s">
        <v>1643</v>
      </c>
      <c r="C31" s="133">
        <f t="shared" si="1"/>
        <v>31</v>
      </c>
      <c r="D31" s="134"/>
      <c r="E31" s="132"/>
      <c r="F31" s="132" t="s">
        <v>1643</v>
      </c>
      <c r="G31" s="133">
        <f t="shared" si="2"/>
        <v>71</v>
      </c>
      <c r="H31" s="134"/>
      <c r="I31" s="132"/>
      <c r="J31" s="132" t="s">
        <v>1643</v>
      </c>
      <c r="K31" s="133">
        <f t="shared" si="3"/>
        <v>111</v>
      </c>
      <c r="L31" s="134"/>
      <c r="M31" s="132"/>
      <c r="N31" s="132" t="s">
        <v>1643</v>
      </c>
      <c r="O31" s="133">
        <f t="shared" si="0"/>
        <v>151</v>
      </c>
    </row>
    <row r="32" spans="1:15" ht="18.75" thickBot="1" x14ac:dyDescent="0.3">
      <c r="A32" s="132"/>
      <c r="B32" s="132" t="s">
        <v>1643</v>
      </c>
      <c r="C32" s="133">
        <f t="shared" si="1"/>
        <v>32</v>
      </c>
      <c r="D32" s="134"/>
      <c r="E32" s="132"/>
      <c r="F32" s="132" t="s">
        <v>1643</v>
      </c>
      <c r="G32" s="133">
        <f t="shared" si="2"/>
        <v>72</v>
      </c>
      <c r="H32" s="134"/>
      <c r="I32" s="132"/>
      <c r="J32" s="132" t="s">
        <v>1643</v>
      </c>
      <c r="K32" s="133">
        <f t="shared" si="3"/>
        <v>112</v>
      </c>
      <c r="L32" s="134"/>
      <c r="M32" s="132"/>
      <c r="N32" s="132" t="s">
        <v>1643</v>
      </c>
      <c r="O32" s="133">
        <f t="shared" si="0"/>
        <v>152</v>
      </c>
    </row>
    <row r="33" spans="1:15" ht="18.75" thickBot="1" x14ac:dyDescent="0.3">
      <c r="A33" s="132"/>
      <c r="B33" s="132" t="s">
        <v>1643</v>
      </c>
      <c r="C33" s="133">
        <f t="shared" si="1"/>
        <v>33</v>
      </c>
      <c r="D33" s="134"/>
      <c r="E33" s="132"/>
      <c r="F33" s="132" t="s">
        <v>1643</v>
      </c>
      <c r="G33" s="133">
        <f t="shared" si="2"/>
        <v>73</v>
      </c>
      <c r="H33" s="134"/>
      <c r="I33" s="132"/>
      <c r="J33" s="132" t="s">
        <v>1643</v>
      </c>
      <c r="K33" s="133">
        <f t="shared" si="3"/>
        <v>113</v>
      </c>
      <c r="L33" s="134"/>
      <c r="M33" s="132"/>
      <c r="N33" s="132" t="s">
        <v>1643</v>
      </c>
      <c r="O33" s="133">
        <f t="shared" si="0"/>
        <v>153</v>
      </c>
    </row>
    <row r="34" spans="1:15" ht="18.75" thickBot="1" x14ac:dyDescent="0.3">
      <c r="A34" s="132"/>
      <c r="B34" s="132" t="s">
        <v>1643</v>
      </c>
      <c r="C34" s="133">
        <f t="shared" si="1"/>
        <v>34</v>
      </c>
      <c r="D34" s="134"/>
      <c r="E34" s="132"/>
      <c r="F34" s="132" t="s">
        <v>1643</v>
      </c>
      <c r="G34" s="133">
        <f t="shared" si="2"/>
        <v>74</v>
      </c>
      <c r="H34" s="134"/>
      <c r="I34" s="132"/>
      <c r="J34" s="132" t="s">
        <v>1643</v>
      </c>
      <c r="K34" s="133">
        <f t="shared" si="3"/>
        <v>114</v>
      </c>
      <c r="L34" s="134"/>
      <c r="M34" s="132"/>
      <c r="N34" s="132" t="s">
        <v>1643</v>
      </c>
      <c r="O34" s="133">
        <f t="shared" si="0"/>
        <v>154</v>
      </c>
    </row>
    <row r="35" spans="1:15" ht="18.75" thickBot="1" x14ac:dyDescent="0.3">
      <c r="A35" s="132"/>
      <c r="B35" s="132" t="s">
        <v>1643</v>
      </c>
      <c r="C35" s="133">
        <f t="shared" si="1"/>
        <v>35</v>
      </c>
      <c r="D35" s="134"/>
      <c r="E35" s="132"/>
      <c r="F35" s="132" t="s">
        <v>1643</v>
      </c>
      <c r="G35" s="133">
        <f t="shared" si="2"/>
        <v>75</v>
      </c>
      <c r="H35" s="134"/>
      <c r="I35" s="132"/>
      <c r="J35" s="132" t="s">
        <v>1643</v>
      </c>
      <c r="K35" s="133">
        <f t="shared" si="3"/>
        <v>115</v>
      </c>
      <c r="L35" s="134"/>
      <c r="M35" s="132"/>
      <c r="N35" s="132" t="s">
        <v>1643</v>
      </c>
      <c r="O35" s="133">
        <f t="shared" si="0"/>
        <v>155</v>
      </c>
    </row>
    <row r="36" spans="1:15" ht="18.75" thickBot="1" x14ac:dyDescent="0.3">
      <c r="A36" s="132"/>
      <c r="B36" s="132" t="s">
        <v>1643</v>
      </c>
      <c r="C36" s="133">
        <f t="shared" si="1"/>
        <v>36</v>
      </c>
      <c r="D36" s="134"/>
      <c r="E36" s="132"/>
      <c r="F36" s="132" t="s">
        <v>1643</v>
      </c>
      <c r="G36" s="133">
        <f t="shared" si="2"/>
        <v>76</v>
      </c>
      <c r="H36" s="134"/>
      <c r="I36" s="132"/>
      <c r="J36" s="132" t="s">
        <v>1643</v>
      </c>
      <c r="K36" s="133">
        <f t="shared" si="3"/>
        <v>116</v>
      </c>
      <c r="L36" s="134"/>
      <c r="M36" s="132"/>
      <c r="N36" s="132" t="s">
        <v>1643</v>
      </c>
      <c r="O36" s="133">
        <f t="shared" si="0"/>
        <v>156</v>
      </c>
    </row>
    <row r="37" spans="1:15" ht="18.75" thickBot="1" x14ac:dyDescent="0.3">
      <c r="A37" s="132"/>
      <c r="B37" s="132" t="s">
        <v>1643</v>
      </c>
      <c r="C37" s="133">
        <f t="shared" si="1"/>
        <v>37</v>
      </c>
      <c r="D37" s="134"/>
      <c r="E37" s="132"/>
      <c r="F37" s="132" t="s">
        <v>1643</v>
      </c>
      <c r="G37" s="133">
        <f t="shared" si="2"/>
        <v>77</v>
      </c>
      <c r="H37" s="134"/>
      <c r="I37" s="132"/>
      <c r="J37" s="132" t="s">
        <v>1643</v>
      </c>
      <c r="K37" s="133">
        <f t="shared" si="3"/>
        <v>117</v>
      </c>
      <c r="L37" s="134"/>
      <c r="M37" s="132"/>
      <c r="N37" s="132" t="s">
        <v>1643</v>
      </c>
      <c r="O37" s="133">
        <f t="shared" si="0"/>
        <v>157</v>
      </c>
    </row>
    <row r="38" spans="1:15" ht="18.75" thickBot="1" x14ac:dyDescent="0.3">
      <c r="A38" s="132"/>
      <c r="B38" s="132" t="s">
        <v>1643</v>
      </c>
      <c r="C38" s="133">
        <f t="shared" si="1"/>
        <v>38</v>
      </c>
      <c r="D38" s="134"/>
      <c r="E38" s="132"/>
      <c r="F38" s="132" t="s">
        <v>1643</v>
      </c>
      <c r="G38" s="133">
        <f t="shared" si="2"/>
        <v>78</v>
      </c>
      <c r="H38" s="134"/>
      <c r="I38" s="132"/>
      <c r="J38" s="132" t="s">
        <v>1643</v>
      </c>
      <c r="K38" s="133">
        <f t="shared" si="3"/>
        <v>118</v>
      </c>
      <c r="L38" s="134"/>
      <c r="M38" s="132"/>
      <c r="N38" s="132" t="s">
        <v>1643</v>
      </c>
      <c r="O38" s="133">
        <f t="shared" si="0"/>
        <v>158</v>
      </c>
    </row>
    <row r="39" spans="1:15" ht="18.75" thickBot="1" x14ac:dyDescent="0.3">
      <c r="A39" s="132"/>
      <c r="B39" s="132" t="s">
        <v>1643</v>
      </c>
      <c r="C39" s="133">
        <f t="shared" si="1"/>
        <v>39</v>
      </c>
      <c r="D39" s="134"/>
      <c r="E39" s="132"/>
      <c r="F39" s="132" t="s">
        <v>1643</v>
      </c>
      <c r="G39" s="133">
        <f t="shared" si="2"/>
        <v>79</v>
      </c>
      <c r="H39" s="134"/>
      <c r="I39" s="132"/>
      <c r="J39" s="132" t="s">
        <v>1643</v>
      </c>
      <c r="K39" s="133">
        <f t="shared" si="3"/>
        <v>119</v>
      </c>
      <c r="L39" s="134"/>
      <c r="M39" s="132"/>
      <c r="N39" s="132" t="s">
        <v>1643</v>
      </c>
      <c r="O39" s="133">
        <f t="shared" si="0"/>
        <v>159</v>
      </c>
    </row>
    <row r="40" spans="1:15" ht="18.75" thickBot="1" x14ac:dyDescent="0.3">
      <c r="A40" s="132"/>
      <c r="B40" s="132" t="s">
        <v>1643</v>
      </c>
      <c r="C40" s="133">
        <f t="shared" si="1"/>
        <v>40</v>
      </c>
      <c r="D40" s="134"/>
      <c r="E40" s="132"/>
      <c r="F40" s="132" t="s">
        <v>1643</v>
      </c>
      <c r="G40" s="133">
        <f t="shared" si="2"/>
        <v>80</v>
      </c>
      <c r="H40" s="134"/>
      <c r="I40" s="132"/>
      <c r="J40" s="132" t="s">
        <v>1643</v>
      </c>
      <c r="K40" s="133">
        <f t="shared" si="3"/>
        <v>120</v>
      </c>
      <c r="L40" s="134"/>
      <c r="M40" s="132"/>
      <c r="N40" s="132" t="s">
        <v>1643</v>
      </c>
      <c r="O40" s="133">
        <f t="shared" si="0"/>
        <v>160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38F5DD6532284DBA59634AB0AFCA8D" ma:contentTypeVersion="10" ma:contentTypeDescription="Create a new document." ma:contentTypeScope="" ma:versionID="d7889c66bba7b549f20006815628dbe6">
  <xsd:schema xmlns:xsd="http://www.w3.org/2001/XMLSchema" xmlns:xs="http://www.w3.org/2001/XMLSchema" xmlns:p="http://schemas.microsoft.com/office/2006/metadata/properties" xmlns:ns3="3f1b5a5d-e3d0-48de-831d-8c7a8a60cfc6" xmlns:ns4="acddf163-9210-4391-91ec-8f072a7ed87f" targetNamespace="http://schemas.microsoft.com/office/2006/metadata/properties" ma:root="true" ma:fieldsID="581dd5e77693ff36540ce44f52c65590" ns3:_="" ns4:_="">
    <xsd:import namespace="3f1b5a5d-e3d0-48de-831d-8c7a8a60cfc6"/>
    <xsd:import namespace="acddf163-9210-4391-91ec-8f072a7ed87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1b5a5d-e3d0-48de-831d-8c7a8a60cfc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ddf163-9210-4391-91ec-8f072a7ed8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8FA701-29E7-419A-BC78-929901AA63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E60E11-E82D-49BB-9CFA-32361106146B}">
  <ds:schemaRefs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acddf163-9210-4391-91ec-8f072a7ed87f"/>
    <ds:schemaRef ds:uri="3f1b5a5d-e3d0-48de-831d-8c7a8a60cfc6"/>
  </ds:schemaRefs>
</ds:datastoreItem>
</file>

<file path=customXml/itemProps3.xml><?xml version="1.0" encoding="utf-8"?>
<ds:datastoreItem xmlns:ds="http://schemas.openxmlformats.org/officeDocument/2006/customXml" ds:itemID="{4A7062BA-EF61-47EB-A6A2-1E7202DAB2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1b5a5d-e3d0-48de-831d-8c7a8a60cfc6"/>
    <ds:schemaRef ds:uri="acddf163-9210-4391-91ec-8f072a7e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2</vt:i4>
      </vt:variant>
    </vt:vector>
  </HeadingPairs>
  <TitlesOfParts>
    <vt:vector size="12" baseType="lpstr">
      <vt:lpstr>Lista Técnica</vt:lpstr>
      <vt:lpstr>ALIMENTICIO</vt:lpstr>
      <vt:lpstr>Planilha1</vt:lpstr>
      <vt:lpstr>Lista Técnica 2</vt:lpstr>
      <vt:lpstr>Planilha2</vt:lpstr>
      <vt:lpstr>Pendencias</vt:lpstr>
      <vt:lpstr>RG</vt:lpstr>
      <vt:lpstr>IMPRIMIR</vt:lpstr>
      <vt:lpstr>Planilha7</vt:lpstr>
      <vt:lpstr>TAG PONTO DE COLETA</vt:lpstr>
      <vt:lpstr>'Lista Técnica'!Area_de_impressao</vt:lpstr>
      <vt:lpstr>RG!Area_de_impressao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Martins Costa</dc:creator>
  <cp:lastModifiedBy>Luciano Santos Menezes</cp:lastModifiedBy>
  <cp:lastPrinted>2026-01-30T16:55:12Z</cp:lastPrinted>
  <dcterms:created xsi:type="dcterms:W3CDTF">2022-07-22T13:00:47Z</dcterms:created>
  <dcterms:modified xsi:type="dcterms:W3CDTF">2026-06-11T19:25:10Z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0x0101009F38F5DD6532284DBA59634AB0AFCA8D</vt:lpwstr>
  </property>
</Properties>
</file>